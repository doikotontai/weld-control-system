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esktop\Project Luu\huongtt\"/>
    </mc:Choice>
  </mc:AlternateContent>
  <xr:revisionPtr revIDLastSave="0" documentId="8_{B1472831-2B97-4199-BBA4-3347F1E5F2AB}" xr6:coauthVersionLast="47" xr6:coauthVersionMax="47" xr10:uidLastSave="{00000000-0000-0000-0000-000000000000}"/>
  <bookViews>
    <workbookView xWindow="-96" yWindow="-96" windowWidth="23232" windowHeight="12552" xr2:uid="{BB14E926-F69D-48DC-BE7A-95F04467DD18}"/>
  </bookViews>
  <sheets>
    <sheet name="REQUEST" sheetId="1" r:id="rId1"/>
  </sheets>
  <externalReferences>
    <externalReference r:id="rId2"/>
    <externalReference r:id="rId3"/>
    <externalReference r:id="rId4"/>
    <externalReference r:id="rId5"/>
  </externalReferences>
  <definedNames>
    <definedName name="_.._mik" localSheetId="0">#REF!</definedName>
    <definedName name="__PVT1">#REF!</definedName>
    <definedName name="_1">#N/A</definedName>
    <definedName name="_1000A01">#N/A</definedName>
    <definedName name="_1BA2500">#REF!</definedName>
    <definedName name="_1BA3250">#REF!</definedName>
    <definedName name="_1BA400P">#REF!</definedName>
    <definedName name="_1CAP001">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MCCBO2">#REF!</definedName>
    <definedName name="_1PKCAP1">#REF!</definedName>
    <definedName name="_1PKTT01">#REF!</definedName>
    <definedName name="_1TCD101">#REF!</definedName>
    <definedName name="_1TCD201">#REF!</definedName>
    <definedName name="_1TD2001">#REF!</definedName>
    <definedName name="_1TIHT01">#REF!</definedName>
    <definedName name="_1TRU121">#REF!</definedName>
    <definedName name="_2">#N/A</definedName>
    <definedName name="_2BLA100">#REF!</definedName>
    <definedName name="_2DAL201">#REF!</definedName>
    <definedName name="_3BLXMD">#REF!</definedName>
    <definedName name="_3TU0609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OSLCTT">#REF!</definedName>
    <definedName name="_a1" localSheetId="0" hidden="1">{"'Sheet1'!$L$16"}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EP1">#REF!</definedName>
    <definedName name="_boi1">#REF!</definedName>
    <definedName name="_boi2">#REF!</definedName>
    <definedName name="_boi3">#REF!</definedName>
    <definedName name="_boi4">#REF!</definedName>
    <definedName name="_btc20">#REF!</definedName>
    <definedName name="_btc30">#REF!</definedName>
    <definedName name="_btc35">#REF!</definedName>
    <definedName name="_btm10">#REF!</definedName>
    <definedName name="_btm100">#REF!</definedName>
    <definedName name="_BTM150">#REF!</definedName>
    <definedName name="_btm200">#REF!</definedName>
    <definedName name="_BTM250">#REF!</definedName>
    <definedName name="_btm300">#REF!</definedName>
    <definedName name="_BTM50">#REF!</definedName>
    <definedName name="_C_Lphi_4ab">#REF!</definedName>
    <definedName name="_cau10">#REF!</definedName>
    <definedName name="_cau16">#REF!</definedName>
    <definedName name="_cau25">#REF!</definedName>
    <definedName name="_cau40">#REF!</definedName>
    <definedName name="_cau50">#REF!</definedName>
    <definedName name="_CON1">#REF!</definedName>
    <definedName name="_CON2">#REF!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hk1">#REF!</definedName>
    <definedName name="_ddn400">#REF!</definedName>
    <definedName name="_ddn600">#REF!</definedName>
    <definedName name="_Fill" hidden="1">#REF!</definedName>
    <definedName name="_xlnm._FilterDatabase" localSheetId="0" hidden="1">REQUEST!#REF!</definedName>
    <definedName name="_Goi8" localSheetId="0" hidden="1">{"'Sheet1'!$L$16"}</definedName>
    <definedName name="_gon4">#REF!</definedName>
    <definedName name="_han23">#REF!</definedName>
    <definedName name="_hom2">#REF!</definedName>
    <definedName name="_hsm2">1.1289</definedName>
    <definedName name="_HTD1">#REF!</definedName>
    <definedName name="_HTN1">#REF!</definedName>
    <definedName name="_IR993407">#REF!</definedName>
    <definedName name="_Key1" hidden="1">#REF!</definedName>
    <definedName name="_Key2" hidden="1">#REF!</definedName>
    <definedName name="_kl1">#REF!</definedName>
    <definedName name="_Lan1" localSheetId="0" hidden="1">{"'Sheet1'!$L$16"}</definedName>
    <definedName name="_LAN3" localSheetId="0" hidden="1">{"'Sheet1'!$L$16"}</definedName>
    <definedName name="_lap1">#REF!</definedName>
    <definedName name="_lap2">#REF!</definedName>
    <definedName name="_LCB1">#REF!</definedName>
    <definedName name="_MAC12">#REF!</definedName>
    <definedName name="_MAC46">#REF!</definedName>
    <definedName name="_mix6">#REF!</definedName>
    <definedName name="_mtc3">#REF!</definedName>
    <definedName name="_nc1">#REF!</definedName>
    <definedName name="_nc151">#REF!</definedName>
    <definedName name="_nc2">#REF!</definedName>
    <definedName name="_nc6">#REF!</definedName>
    <definedName name="_nc7">#REF!</definedName>
    <definedName name="_ncc2">#REF!</definedName>
    <definedName name="_ncc3">#REF!</definedName>
    <definedName name="_ncc4">#REF!</definedName>
    <definedName name="_ncc5">#REF!</definedName>
    <definedName name="_ncc6">#REF!</definedName>
    <definedName name="_ncc7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1">#REF!</definedName>
    <definedName name="_Order1" hidden="1">255</definedName>
    <definedName name="_Order2" hidden="1">255</definedName>
    <definedName name="_oto12">#REF!</definedName>
    <definedName name="_PA3" localSheetId="0" hidden="1">{"'Sheet1'!$L$16"}</definedName>
    <definedName name="_PVT1">#REF!</definedName>
    <definedName name="_pZ1">#REF!</definedName>
    <definedName name="_pZ2">#REF!</definedName>
    <definedName name="_pZ3">#REF!</definedName>
    <definedName name="_RFZ3">#REF!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o1">#REF!</definedName>
    <definedName name="_san108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l2">#REF!</definedName>
    <definedName name="_SN3">#REF!</definedName>
    <definedName name="_Sort" hidden="1">#REF!</definedName>
    <definedName name="_sua20">#REF!</definedName>
    <definedName name="_sua30">#REF!</definedName>
    <definedName name="_TB1">#REF!</definedName>
    <definedName name="_tct5">#REF!</definedName>
    <definedName name="_tg42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t3" localSheetId="0" hidden="1">{"'Sheet1'!$L$16"}</definedName>
    <definedName name="_TX1">#REF!</definedName>
    <definedName name="_tz593">#REF!</definedName>
    <definedName name="_TH1">#REF!</definedName>
    <definedName name="_TH2">#REF!</definedName>
    <definedName name="_TH20">#REF!</definedName>
    <definedName name="_TH3">#REF!</definedName>
    <definedName name="_ui108">#REF!</definedName>
    <definedName name="_ui180">#REF!</definedName>
    <definedName name="_UT2">#REF!</definedName>
    <definedName name="_vb1">#REF!</definedName>
    <definedName name="_vb2">#REF!</definedName>
    <definedName name="_VCD4">#REF!</definedName>
    <definedName name="_VL100">#REF!</definedName>
    <definedName name="_VL200">#REF!</definedName>
    <definedName name="_VL250">#REF!</definedName>
    <definedName name="_xm30">#REF!</definedName>
    <definedName name="_xo1">#REF!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A">#REF!</definedName>
    <definedName name="A.">#REF!</definedName>
    <definedName name="a_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a" hidden="1">#REF!</definedName>
    <definedName name="aaaaa">#REF!</definedName>
    <definedName name="Ab">#REF!</definedName>
    <definedName name="ab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DAY">#REF!</definedName>
    <definedName name="ADEQ">#REF!</definedName>
    <definedName name="Ads" hidden="1">#REF!</definedName>
    <definedName name="Ag_">#REF!</definedName>
    <definedName name="ag15F80">#REF!</definedName>
    <definedName name="All_Item">#REF!</definedName>
    <definedName name="ALPIN">#N/A</definedName>
    <definedName name="ALPJYOU">#N/A</definedName>
    <definedName name="ALPTOI">#N/A</definedName>
    <definedName name="am.">#REF!</definedName>
    <definedName name="AnGiang_dg">#REF!</definedName>
    <definedName name="anscount" hidden="1">1</definedName>
    <definedName name="Ap">#REF!</definedName>
    <definedName name="AQ">#REF!</definedName>
    <definedName name="as">#REF!</definedName>
    <definedName name="As_">#REF!</definedName>
    <definedName name="ATRAM">#REF!</definedName>
    <definedName name="auto">#REF!</definedName>
    <definedName name="b">#REF!</definedName>
    <definedName name="b_240">#REF!</definedName>
    <definedName name="b_280">#REF!</definedName>
    <definedName name="b_320">#REF!</definedName>
    <definedName name="B_Isc">#REF!</definedName>
    <definedName name="B_tinh">#REF!</definedName>
    <definedName name="b1_">#REF!</definedName>
    <definedName name="b2_">#REF!</definedName>
    <definedName name="b3_">#REF!</definedName>
    <definedName name="b4_">#REF!</definedName>
    <definedName name="b60x">#REF!</definedName>
    <definedName name="b80x">#REF!</definedName>
    <definedName name="BacThai_dg">#REF!</definedName>
    <definedName name="banmo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Gia">#REF!</definedName>
    <definedName name="BarData">#REF!</definedName>
    <definedName name="BaRia_dg">#REF!</definedName>
    <definedName name="BB">#REF!</definedName>
    <definedName name="BC">#REF!</definedName>
    <definedName name="bc_1">#REF!</definedName>
    <definedName name="bc_2">#REF!</definedName>
    <definedName name="BCONG">#REF!</definedName>
    <definedName name="BDAY">#REF!</definedName>
    <definedName name="bdd">1.5</definedName>
    <definedName name="Bentre_dg">#REF!</definedName>
    <definedName name="benhvien">#REF!</definedName>
    <definedName name="Bep">#REF!</definedName>
    <definedName name="bg">#REF!</definedName>
    <definedName name="bia">#REF!</definedName>
    <definedName name="binh">#REF!</definedName>
    <definedName name="BinhDinh_dg">#REF!</definedName>
    <definedName name="BinhThuan_dg">#REF!</definedName>
    <definedName name="blang">#REF!</definedName>
    <definedName name="blkh">#REF!</definedName>
    <definedName name="blkh1">#REF!</definedName>
    <definedName name="BLOCK">#REF!</definedName>
    <definedName name="blong">#REF!</definedName>
    <definedName name="Bóa_can_3_m3KN_ph">#REF!</definedName>
    <definedName name="Bóa_khoan_TRC_15">#REF!</definedName>
    <definedName name="Bóa_khoan_VRM1500_800_H">#REF!</definedName>
    <definedName name="bombt50">#REF!</definedName>
    <definedName name="bombt60">#REF!</definedName>
    <definedName name="bomnuoc20kw">#REF!</definedName>
    <definedName name="bomvua1.5">#REF!</definedName>
    <definedName name="Book2">#REF!</definedName>
    <definedName name="BOQ">#REF!</definedName>
    <definedName name="botda">#REF!</definedName>
    <definedName name="bson">#REF!</definedName>
    <definedName name="btcocM400">#REF!</definedName>
    <definedName name="btchiuaxitm300">#REF!</definedName>
    <definedName name="BTchiuaxm200">#REF!</definedName>
    <definedName name="BTlotm100">#REF!</definedName>
    <definedName name="btham">#REF!</definedName>
    <definedName name="BTRAM">#REF!</definedName>
    <definedName name="bua1.2">#REF!</definedName>
    <definedName name="bua1.8">#REF!</definedName>
    <definedName name="buarung170">#REF!</definedName>
    <definedName name="bùc" localSheetId="0">{"Book1","Dt tonghop.xls"}</definedName>
    <definedName name="BVCISUMMARY">#REF!</definedName>
    <definedName name="BVT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n">#REF!</definedName>
    <definedName name="Canon">#REF!</definedName>
    <definedName name="CanTho_dg">#REF!</definedName>
    <definedName name="CaoBang_dg">#REF!</definedName>
    <definedName name="cap">#REF!</definedName>
    <definedName name="cap0.7">#REF!</definedName>
    <definedName name="capdul">#REF!</definedName>
    <definedName name="casing">#REF!</definedName>
    <definedName name="Cat">#REF!</definedName>
    <definedName name="catcap">#REF!</definedName>
    <definedName name="Category_All">#REF!</definedName>
    <definedName name="CATIN">#N/A</definedName>
    <definedName name="CATJYOU">#N/A</definedName>
    <definedName name="catm">#REF!</definedName>
    <definedName name="catn">#REF!</definedName>
    <definedName name="CATSYU">#N/A</definedName>
    <definedName name="catuon">#REF!</definedName>
    <definedName name="CATREC">#N/A</definedName>
    <definedName name="Cau_DaiTu">#REF!</definedName>
    <definedName name="Cau_MaiDich">#REF!</definedName>
    <definedName name="Cau_ThanhXuan">#REF!</definedName>
    <definedName name="caunoi30">#REF!</definedName>
    <definedName name="CayXanh">#REF!</definedName>
    <definedName name="Cb">#REF!</definedName>
    <definedName name="cc">#REF!</definedName>
    <definedName name="CÇn_cÈu_10_T">#REF!</definedName>
    <definedName name="CÇn_cÈu_16_T">#REF!</definedName>
    <definedName name="CÇn_cÈu_25_T">#REF!</definedName>
    <definedName name="CCS">#REF!</definedName>
    <definedName name="CDAI">#REF!</definedName>
    <definedName name="CDAY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">#REF!</definedName>
    <definedName name="Cdnum">#REF!</definedName>
    <definedName name="CertRate">#REF!</definedName>
    <definedName name="CÈu_long_mon_10_T">#REF!</definedName>
    <definedName name="CÈu_long_mon_30_T">#REF!</definedName>
    <definedName name="cfc">#REF!</definedName>
    <definedName name="cfk">#REF!</definedName>
    <definedName name="CK">#REF!</definedName>
    <definedName name="CL">#REF!</definedName>
    <definedName name="CLVC3">0.1</definedName>
    <definedName name="CLVC35">#REF!</definedName>
    <definedName name="CLVCTB">#REF!</definedName>
    <definedName name="CLVL">#REF!</definedName>
    <definedName name="cn">#REF!</definedName>
    <definedName name="CNC">#REF!</definedName>
    <definedName name="CND">#REF!</definedName>
    <definedName name="cne">#REF!</definedName>
    <definedName name="CNG">#REF!</definedName>
    <definedName name="CO">#REF!</definedName>
    <definedName name="co.">#REF!</definedName>
    <definedName name="co..">#REF!</definedName>
    <definedName name="COBA">#REF!</definedName>
    <definedName name="coc">#REF!</definedName>
    <definedName name="CocTieu_Bienbao">#REF!</definedName>
    <definedName name="cocvt">#REF!</definedName>
    <definedName name="code">#REF!</definedName>
    <definedName name="Cöï_ly_vaän_chuyeãn">#REF!</definedName>
    <definedName name="CÖÏ_LY_VAÄN_CHUYEÅN">#REF!</definedName>
    <definedName name="COLOK">#REF!</definedName>
    <definedName name="COMENT1">#REF!</definedName>
    <definedName name="Comm" localSheetId="0">BlankMacro1</definedName>
    <definedName name="COMMON" localSheetId="0">#REF!</definedName>
    <definedName name="CON_EQP_COS">#REF!</definedName>
    <definedName name="CON_EQP_COST">#REF!</definedName>
    <definedName name="ConRate">#REF!</definedName>
    <definedName name="CONST_EQ">#REF!</definedName>
    <definedName name="Cong_HM_DTCT">#REF!</definedName>
    <definedName name="Cong_M_DTCT">#REF!</definedName>
    <definedName name="Cong_NC_DTCT">#REF!</definedName>
    <definedName name="Cong_suat_dat">#REF!</definedName>
    <definedName name="Cong_VL_DTCT">#REF!</definedName>
    <definedName name="cong2.7">#REF!</definedName>
    <definedName name="cong3.0">#REF!</definedName>
    <definedName name="cong3.5">#REF!</definedName>
    <definedName name="cong3.7">#REF!</definedName>
    <definedName name="cong4.0">#REF!</definedName>
    <definedName name="cong4.3">#REF!</definedName>
    <definedName name="cong4.5">#REF!</definedName>
    <definedName name="cong4.7">#REF!</definedName>
    <definedName name="cot7.5">#REF!</definedName>
    <definedName name="cot8.5">#REF!</definedName>
    <definedName name="counxlkcs">#REF!</definedName>
    <definedName name="couxlkcs">#REF!</definedName>
    <definedName name="couxlkd">#REF!</definedName>
    <definedName name="couxlktnl">#REF!</definedName>
    <definedName name="couxlkttv">#REF!</definedName>
    <definedName name="couxlkh">#REF!</definedName>
    <definedName name="couxlpxsx">#REF!</definedName>
    <definedName name="couxltc">#REF!</definedName>
    <definedName name="COV">#REF!</definedName>
    <definedName name="COVER">#REF!</definedName>
    <definedName name="CPC">#REF!</definedName>
    <definedName name="CPKDP">#REF!</definedName>
    <definedName name="CPKTW">#REF!</definedName>
    <definedName name="cptkdp">#REF!</definedName>
    <definedName name="CPVC100">#REF!</definedName>
    <definedName name="CPVC35">#REF!</definedName>
    <definedName name="CPVCDN">#REF!</definedName>
    <definedName name="CRD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et">#REF!</definedName>
    <definedName name="csht3p">#REF!</definedName>
    <definedName name="CT">#REF!</definedName>
    <definedName name="CT_50">#REF!</definedName>
    <definedName name="CT_KSTK">#REF!</definedName>
    <definedName name="CT_MCX">#REF!</definedName>
    <definedName name="CTCT1" localSheetId="0" hidden="1">{"'Sheet1'!$L$16"}</definedName>
    <definedName name="ctdn9697">#REF!</definedName>
    <definedName name="ctiep">#REF!</definedName>
    <definedName name="CTIET">#REF!</definedName>
    <definedName name="CTL">#REF!</definedName>
    <definedName name="ctmai">#REF!</definedName>
    <definedName name="ctong">#REF!</definedName>
    <definedName name="CTH">#REF!</definedName>
    <definedName name="CTRAM">#REF!</definedName>
    <definedName name="ctre">#REF!</definedName>
    <definedName name="cu">#REF!</definedName>
    <definedName name="cu_ly">#REF!</definedName>
    <definedName name="CUK">#REF!</definedName>
    <definedName name="CuLy">#REF!</definedName>
    <definedName name="CuLy_Q">#REF!</definedName>
    <definedName name="cuoc_vc">#REF!</definedName>
    <definedName name="CuocVC">#REF!</definedName>
    <definedName name="cuond">#REF!</definedName>
    <definedName name="CURRENCY">#REF!</definedName>
    <definedName name="cutback">#REF!</definedName>
    <definedName name="CVC_Q">#REF!</definedName>
    <definedName name="CX">#REF!</definedName>
    <definedName name="CH">#REF!</definedName>
    <definedName name="Chi_phi_OM">#REF!</definedName>
    <definedName name="Chi_tieát_phi">#REF!</definedName>
    <definedName name="chi_tiÕt_vËt_liÖu___nh_n_c_ng___m_y_thi_c_ng">#REF!</definedName>
    <definedName name="ChieuSang">#REF!</definedName>
    <definedName name="chk">#REF!</definedName>
    <definedName name="chon">#REF!</definedName>
    <definedName name="chon1">#REF!</definedName>
    <definedName name="chon2">#REF!</definedName>
    <definedName name="chon3">#REF!</definedName>
    <definedName name="chung">66</definedName>
    <definedName name="D" hidden="1">#REF!</definedName>
    <definedName name="d_">#REF!</definedName>
    <definedName name="D_7101A_B">#REF!</definedName>
    <definedName name="D_L">#REF!</definedName>
    <definedName name="D_n">#REF!</definedName>
    <definedName name="d1_">#REF!</definedName>
    <definedName name="d2_">#REF!</definedName>
    <definedName name="d3_">#REF!</definedName>
    <definedName name="d4_">#REF!</definedName>
    <definedName name="d5_">#REF!</definedName>
    <definedName name="da1x1">#REF!</definedName>
    <definedName name="da1x2">#REF!</definedName>
    <definedName name="DacLac_dg">#REF!</definedName>
    <definedName name="dah">#REF!</definedName>
    <definedName name="dahoc">#REF!</definedName>
    <definedName name="Daily_Expenses_Outside_Angola">#REF!</definedName>
    <definedName name="dam">78000</definedName>
    <definedName name="dam_24">#REF!</definedName>
    <definedName name="damban1kw">#REF!</definedName>
    <definedName name="damcoc60">#REF!</definedName>
    <definedName name="damcoc80">#REF!</definedName>
    <definedName name="damdui1.5">#REF!</definedName>
    <definedName name="DamNgang">#REF!</definedName>
    <definedName name="DaNang_dg">#REF!</definedName>
    <definedName name="dao">#REF!</definedName>
    <definedName name="dao0.65">#REF!</definedName>
    <definedName name="dao1.0">#REF!</definedName>
    <definedName name="DAT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ATATKDT">#REF!</definedName>
    <definedName name="DBASE">#REF!</definedName>
    <definedName name="dc">#REF!</definedName>
    <definedName name="dche">#REF!</definedName>
    <definedName name="DD">#REF!</definedName>
    <definedName name="DDAY">#REF!</definedName>
    <definedName name="ddd">#REF!</definedName>
    <definedName name="dden">#REF!</definedName>
    <definedName name="ddia">#REF!</definedName>
    <definedName name="de">#REF!</definedName>
    <definedName name="DeckFabRate">#REF!</definedName>
    <definedName name="den_bu">#REF!</definedName>
    <definedName name="denbu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_Crosstab">#REF!</definedName>
    <definedName name="df">#REF!</definedName>
    <definedName name="DFFS">#REF!</definedName>
    <definedName name="dg">#REF!</definedName>
    <definedName name="DG.Dam">#REF!</definedName>
    <definedName name="DG.Duong">#REF!</definedName>
    <definedName name="DG.Matcau">#REF!</definedName>
    <definedName name="DG.Phanduoi">#REF!</definedName>
    <definedName name="dg_5cau">#REF!</definedName>
    <definedName name="DG_M_C_X">#REF!</definedName>
    <definedName name="dgbdII">#REF!</definedName>
    <definedName name="dgc">#REF!</definedName>
    <definedName name="DGCT_T.Quy_P.Thuy_Q">#REF!</definedName>
    <definedName name="DGCT_TRAUQUYPHUTHUY_HN">#REF!</definedName>
    <definedName name="DGCTI592">#REF!</definedName>
    <definedName name="dgd">#REF!</definedName>
    <definedName name="DGNC">#REF!</definedName>
    <definedName name="dgqndn">#REF!</definedName>
    <definedName name="DGTV">#REF!</definedName>
    <definedName name="dgvl">#REF!</definedName>
    <definedName name="DGVT">#REF!</definedName>
    <definedName name="DGIA">#REF!</definedName>
    <definedName name="DGIA2">#REF!</definedName>
    <definedName name="dh">#REF!</definedName>
    <definedName name="dhom">#REF!</definedName>
    <definedName name="dien">#REF!</definedName>
    <definedName name="dinh2">#REF!</definedName>
    <definedName name="dlap">#REF!</definedName>
    <definedName name="DLC">#REF!</definedName>
    <definedName name="DLCC">#REF!</definedName>
    <definedName name="DM">#REF!</definedName>
    <definedName name="dm56bxd">#REF!</definedName>
    <definedName name="dmoi">#REF!</definedName>
    <definedName name="DN">#REF!</definedName>
    <definedName name="dneo">#REF!</definedName>
    <definedName name="DÑt45x4">#REF!</definedName>
    <definedName name="dobt">#REF!</definedName>
    <definedName name="doclb">#REF!</definedName>
    <definedName name="Document_array" localSheetId="0">{"Book1"}</definedName>
    <definedName name="dolcb">#REF!</definedName>
    <definedName name="Domestic_Round_Trip_Air_Fare">#REF!</definedName>
    <definedName name="DonGia">#REF!</definedName>
    <definedName name="DongNai_dg">#REF!</definedName>
    <definedName name="DongThap_dg">#REF!</definedName>
    <definedName name="dry..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PK1p1nc">#REF!</definedName>
    <definedName name="DSPK1p1vl">#REF!</definedName>
    <definedName name="DSPK1pnc">#REF!</definedName>
    <definedName name="DSPK1pvl">#REF!</definedName>
    <definedName name="DSTD_Clear" localSheetId="0">[0]!f92F56</definedName>
    <definedName name="DSUMDATA" localSheetId="0">#REF!</definedName>
    <definedName name="dt">#REF!</definedName>
    <definedName name="dtdt">#REF!</definedName>
    <definedName name="duoi">#REF!</definedName>
    <definedName name="DUT">#REF!</definedName>
    <definedName name="DutoanDongmo">#REF!</definedName>
    <definedName name="DZ">#REF!</definedName>
    <definedName name="e">13</definedName>
    <definedName name="Ea">#REF!</definedName>
    <definedName name="EDR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gRate">#REF!</definedName>
    <definedName name="EQI">#REF!</definedName>
    <definedName name="EquipDPP">#REF!</definedName>
    <definedName name="EquipFPSO">#REF!</definedName>
    <definedName name="EVNB">#REF!</definedName>
    <definedName name="EXC">#REF!</definedName>
    <definedName name="EXCH">#REF!</definedName>
    <definedName name="f">#REF!</definedName>
    <definedName name="f82E46">#REF!</definedName>
    <definedName name="fa">#REF!</definedName>
    <definedName name="fac">#REF!</definedName>
    <definedName name="FACTOR">#REF!</definedName>
    <definedName name="fasa">#REF!</definedName>
    <definedName name="Fax">#REF!</definedName>
    <definedName name="Fay">#REF!</definedName>
    <definedName name="fbsdggdsf" localSheetId="0">{"DZ-TDTB2.XLS","Dcksat.xls"}</definedName>
    <definedName name="fc">#REF!</definedName>
    <definedName name="fc_">#REF!</definedName>
    <definedName name="FC5_total">#REF!</definedName>
    <definedName name="FC6_total">#REF!</definedName>
    <definedName name="Fdaymong">#REF!</definedName>
    <definedName name="FDR">#REF!</definedName>
    <definedName name="FFF" localSheetId="0">BlankMacro1</definedName>
    <definedName name="Fg" localSheetId="0">#REF!</definedName>
    <definedName name="Fi">#REF!</definedName>
    <definedName name="finclb">#REF!</definedName>
    <definedName name="FIT" localSheetId="0">BlankMacro1</definedName>
    <definedName name="FITT2" localSheetId="0">BlankMacro1</definedName>
    <definedName name="FITTING2" localSheetId="0">BlankMacro1</definedName>
    <definedName name="FLG" localSheetId="0">BlankMacro1</definedName>
    <definedName name="Flv" localSheetId="0">#REF!</definedName>
    <definedName name="Foreign_Round_Trip_Air_Fare">#REF!</definedName>
    <definedName name="Formula">#REF!</definedName>
    <definedName name="FPSOFabRate">#REF!</definedName>
    <definedName name="FS">#REF!</definedName>
    <definedName name="fsdfdsf" localSheetId="0" hidden="1">{"'Sheet1'!$L$16"}</definedName>
    <definedName name="fuji">#REF!</definedName>
    <definedName name="fy">#REF!</definedName>
    <definedName name="Fy_">#REF!</definedName>
    <definedName name="g">#REF!</definedName>
    <definedName name="g_">#REF!</definedName>
    <definedName name="G_ME">#REF!</definedName>
    <definedName name="gachlat">#REF!</definedName>
    <definedName name="gachxay">#REF!</definedName>
    <definedName name="GAHT">#REF!</definedName>
    <definedName name="gas">#REF!</definedName>
    <definedName name="GC_DN">#REF!</definedName>
    <definedName name="GC_HT">#REF!</definedName>
    <definedName name="GC_TD">#REF!</definedName>
    <definedName name="gchi">#REF!</definedName>
    <definedName name="GDFGFGF">#REF!</definedName>
    <definedName name="GDL">#REF!</definedName>
    <definedName name="geff">#REF!</definedName>
    <definedName name="GGG" localSheetId="0" hidden="1">{"'Sheet1'!$L$16"}</definedName>
    <definedName name="ghip">#REF!</definedName>
    <definedName name="gkGTGT">#REF!</definedName>
    <definedName name="gl3p">#REF!</definedName>
    <definedName name="gld">#REF!</definedName>
    <definedName name="GLL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n">#REF!</definedName>
    <definedName name="Grand_Sum">#REF!</definedName>
    <definedName name="Grand_Sum_Title">#REF!</definedName>
    <definedName name="grB">#REF!</definedName>
    <definedName name="gs">#REF!</definedName>
    <definedName name="gse">#REF!</definedName>
    <definedName name="GT">#REF!</definedName>
    <definedName name="Gtb">#REF!</definedName>
    <definedName name="gtbtt">#REF!</definedName>
    <definedName name="gtc">#REF!</definedName>
    <definedName name="GTDTXL">#REF!</definedName>
    <definedName name="GTXL">#REF!</definedName>
    <definedName name="GTRI">#REF!</definedName>
    <definedName name="GVL_LDT">#REF!</definedName>
    <definedName name="Gxl">#REF!</definedName>
    <definedName name="gxltt">#REF!</definedName>
    <definedName name="gxm">#REF!</definedName>
    <definedName name="gi">0.4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aD10">#REF!</definedName>
    <definedName name="giaD12_22">#REF!</definedName>
    <definedName name="GiaLai_dg">#REF!</definedName>
    <definedName name="Giathitruong">#REF!</definedName>
    <definedName name="GIAVL_TRALY">#REF!</definedName>
    <definedName name="GIAVLIEUTN">#REF!</definedName>
    <definedName name="Giocong">#REF!</definedName>
    <definedName name="h">#REF!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_THUCTT">#REF!</definedName>
    <definedName name="H_THUCHTHH">#REF!</definedName>
    <definedName name="h18x">#REF!</definedName>
    <definedName name="h30x">#REF!</definedName>
    <definedName name="HaBac_dg">#REF!</definedName>
    <definedName name="HaGiang_dg">#REF!</definedName>
    <definedName name="HaiDuong_dg">#REF!</definedName>
    <definedName name="HaiPhong_dg">#REF!</definedName>
    <definedName name="Ham">#REF!</definedName>
    <definedName name="HaNoi_dg">#REF!</definedName>
    <definedName name="HaoKT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Tay_dg">#REF!</definedName>
    <definedName name="HaTinh_dg">#REF!</definedName>
    <definedName name="hb">#REF!</definedName>
    <definedName name="HBC">#REF!</definedName>
    <definedName name="HBL">#REF!</definedName>
    <definedName name="HC">#REF!</definedName>
    <definedName name="HCPH">#REF!</definedName>
    <definedName name="HCS">#REF!</definedName>
    <definedName name="HCT">#REF!</definedName>
    <definedName name="HCU">#REF!</definedName>
    <definedName name="HCHANH1">#REF!</definedName>
    <definedName name="HDC">#REF!</definedName>
    <definedName name="HDU">#REF!</definedName>
    <definedName name="HDV">#REF!</definedName>
    <definedName name="Heä_soá_laép_xaø_H">1.7</definedName>
    <definedName name="heä_soá_sình_laày">#REF!</definedName>
    <definedName name="HF">#REF!</definedName>
    <definedName name="Hg">#REF!</definedName>
    <definedName name="HH">#REF!</definedName>
    <definedName name="HHcat">#REF!</definedName>
    <definedName name="HHda">#REF!</definedName>
    <definedName name="hhhh">#REF!</definedName>
    <definedName name="HHIC">#REF!</definedName>
    <definedName name="HHT">#REF!</definedName>
    <definedName name="HHTT">#REF!</definedName>
    <definedName name="HHxm">#REF!</definedName>
    <definedName name="hien">#REF!</definedName>
    <definedName name="Hinh_thuc">#REF!</definedName>
    <definedName name="HKE">#REF!</definedName>
    <definedName name="HKL">#REF!</definedName>
    <definedName name="HKLHI">#REF!</definedName>
    <definedName name="HKLL">#REF!</definedName>
    <definedName name="HKLLLO">#REF!</definedName>
    <definedName name="HLC">#REF!</definedName>
    <definedName name="HLIC">#REF!</definedName>
    <definedName name="HLU">#REF!</definedName>
    <definedName name="Ho">#REF!</definedName>
    <definedName name="HoaBinh_dg">#REF!</definedName>
    <definedName name="hoancong">#REF!</definedName>
    <definedName name="hoc">55000</definedName>
    <definedName name="HoChiMInh_dg">#REF!</definedName>
    <definedName name="HOME_MANP">#REF!</definedName>
    <definedName name="HOMEOFFICE_COST">#REF!</definedName>
    <definedName name="HR">#REF!</definedName>
    <definedName name="HRC">#REF!</definedName>
    <definedName name="HS">#REF!</definedName>
    <definedName name="Hsc">#REF!</definedName>
    <definedName name="HSCPC">#REF!</definedName>
    <definedName name="HSCT3">0.1</definedName>
    <definedName name="hsd">#REF!</definedName>
    <definedName name="hsdc1">#REF!</definedName>
    <definedName name="HSDN">2.5</definedName>
    <definedName name="HSGG">#REF!</definedName>
    <definedName name="HSHH">#REF!</definedName>
    <definedName name="HSHHUT">#REF!</definedName>
    <definedName name="hsk">#REF!</definedName>
    <definedName name="HSKK35">#REF!</definedName>
    <definedName name="HSLX">#REF!</definedName>
    <definedName name="HSLXH">1.7</definedName>
    <definedName name="HSLXP">#REF!</definedName>
    <definedName name="hsm">#REF!</definedName>
    <definedName name="HSMTC">#REF!</definedName>
    <definedName name="hsn">0.5</definedName>
    <definedName name="HSNC">#REF!</definedName>
    <definedName name="hsnc_cau2">1.626</definedName>
    <definedName name="hsnc_d">1.6356</definedName>
    <definedName name="hsnc_d2">1.6356</definedName>
    <definedName name="hßm4">#REF!</definedName>
    <definedName name="hstb">#REF!</definedName>
    <definedName name="hstdtk">#REF!</definedName>
    <definedName name="hsthep">#REF!</definedName>
    <definedName name="HSTHUE">#REF!</definedName>
    <definedName name="HSVAT">#REF!</definedName>
    <definedName name="HSVC1">#REF!</definedName>
    <definedName name="HSVC2">#REF!</definedName>
    <definedName name="HSVC3">#REF!</definedName>
    <definedName name="hsvl">#REF!</definedName>
    <definedName name="HTC">#REF!</definedName>
    <definedName name="HTD">#REF!</definedName>
    <definedName name="HTML_CodePage" hidden="1">950</definedName>
    <definedName name="HTML_Control" localSheetId="0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">#REF!</definedName>
    <definedName name="HTNC">#REF!</definedName>
    <definedName name="HTS">#REF!</definedName>
    <definedName name="HTT">#REF!</definedName>
    <definedName name="HTU">#REF!</definedName>
    <definedName name="HTV">#REF!</definedName>
    <definedName name="HTVL">#REF!</definedName>
    <definedName name="HTHH">#REF!</definedName>
    <definedName name="hu">#REF!</definedName>
    <definedName name="HungYen_dg">#REF!</definedName>
    <definedName name="huy" localSheetId="0" hidden="1">{"'Sheet1'!$L$16"}</definedName>
    <definedName name="HV">#REF!</definedName>
    <definedName name="HVBC">#REF!</definedName>
    <definedName name="HVC">#REF!</definedName>
    <definedName name="HVK">#REF!</definedName>
    <definedName name="HVL">#REF!</definedName>
    <definedName name="HVP">#REF!</definedName>
    <definedName name="HVT">#REF!</definedName>
    <definedName name="i">1.11</definedName>
    <definedName name="I_A">#REF!</definedName>
    <definedName name="I_B">#REF!</definedName>
    <definedName name="I_c">#REF!</definedName>
    <definedName name="IDLAB_COST">#REF!</definedName>
    <definedName name="Idm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ND_LAB">#REF!</definedName>
    <definedName name="INDMANP">#REF!</definedName>
    <definedName name="INPUT">#REF!</definedName>
    <definedName name="inputCosti">#REF!</definedName>
    <definedName name="inputLf">#REF!</definedName>
    <definedName name="inputWTP">#REF!</definedName>
    <definedName name="InspRate">#REF!</definedName>
    <definedName name="INT">#REF!</definedName>
    <definedName name="Ip">#REF!</definedName>
    <definedName name="IR19780999999">#REF!</definedName>
    <definedName name="IWTP">#REF!</definedName>
    <definedName name="j">#REF!</definedName>
    <definedName name="J_TYPE">#REF!</definedName>
    <definedName name="j356C8">#REF!</definedName>
    <definedName name="JacketFabRate">#REF!</definedName>
    <definedName name="JONO">#REF!</definedName>
    <definedName name="k">#REF!</definedName>
    <definedName name="K_L">#REF!</definedName>
    <definedName name="k2b">#REF!</definedName>
    <definedName name="KA">#REF!</definedName>
    <definedName name="KAE">#REF!</definedName>
    <definedName name="KAS">#REF!</definedName>
    <definedName name="kcong">#REF!</definedName>
    <definedName name="kdien">#REF!</definedName>
    <definedName name="KE_HOACH_VON_PHU_THU">#REF!</definedName>
    <definedName name="kich250">#REF!</definedName>
    <definedName name="kich500">#REF!</definedName>
    <definedName name="kiem">#REF!</definedName>
    <definedName name="Kiem_tra_trung_ten">#REF!</definedName>
    <definedName name="KienGiang_dg">#REF!</definedName>
    <definedName name="kk">0.8</definedName>
    <definedName name="kl_ME">#REF!</definedName>
    <definedName name="KLAM">#REF!</definedName>
    <definedName name="KLC">#REF!</definedName>
    <definedName name="kldb">#REF!</definedName>
    <definedName name="kldi">#REF!</definedName>
    <definedName name="KLTHDN">#REF!</definedName>
    <definedName name="KLVANKHUON">#REF!</definedName>
    <definedName name="KonTum_dg">#REF!</definedName>
    <definedName name="KP">#REF!</definedName>
    <definedName name="kp1ph">#REF!</definedName>
    <definedName name="Ks">#REF!</definedName>
    <definedName name="KSTK">#REF!</definedName>
    <definedName name="Kte">#REF!</definedName>
    <definedName name="KVC">#REF!</definedName>
    <definedName name="KÝch_100_T">#REF!</definedName>
    <definedName name="KÝch_200_T">#REF!</definedName>
    <definedName name="KÝch_50_T">#REF!</definedName>
    <definedName name="kh">#REF!</definedName>
    <definedName name="KH_Chang">#REF!</definedName>
    <definedName name="khac">2</definedName>
    <definedName name="khanang">#REF!</definedName>
    <definedName name="KhanhHoa_dg">#REF!</definedName>
    <definedName name="Khäúi_læåüng">#REF!</definedName>
    <definedName name="khoannhoi">#REF!</definedName>
    <definedName name="khong">#REF!</definedName>
    <definedName name="Khung">#REF!</definedName>
    <definedName name="L">#REF!</definedName>
    <definedName name="l_1">#REF!</definedName>
    <definedName name="L_mong">#REF!</definedName>
    <definedName name="LaiChau_dg">#REF!</definedName>
    <definedName name="LamDong_dg">#REF!</definedName>
    <definedName name="lan">#REF!</definedName>
    <definedName name="LangSon_dg">#REF!</definedName>
    <definedName name="LaoCai_dg">#REF!</definedName>
    <definedName name="Lc">#REF!</definedName>
    <definedName name="LC5_total">#REF!</definedName>
    <definedName name="LC6_total">#REF!</definedName>
    <definedName name="LCB">#REF!</definedName>
    <definedName name="LCD">#REF!</definedName>
    <definedName name="LCT">#REF!</definedName>
    <definedName name="LDAM">#REF!</definedName>
    <definedName name="LDM">#REF!</definedName>
    <definedName name="LgL">#REF!</definedName>
    <definedName name="Line1">#REF!</definedName>
    <definedName name="Line2">#REF!</definedName>
    <definedName name="Line3">#REF!</definedName>
    <definedName name="LK_hathe">#REF!</definedName>
    <definedName name="LL">[2]Rinci!#REF!</definedName>
    <definedName name="LLs" localSheetId="0">#REF!</definedName>
    <definedName name="Lmk">#REF!</definedName>
    <definedName name="LN">#REF!</definedName>
    <definedName name="Lnsc">#REF!</definedName>
    <definedName name="Lo">#REF!</definedName>
    <definedName name="LOAI">#REF!</definedName>
    <definedName name="LOAI_DUONG">#REF!</definedName>
    <definedName name="Loai_TD">#REF!</definedName>
    <definedName name="LOCTHEOMOIHAN">#REF!</definedName>
    <definedName name="LongAn_dg">#REF!</definedName>
    <definedName name="LRMC">#REF!</definedName>
    <definedName name="LTD">#REF!</definedName>
    <definedName name="LTT">#REF!</definedName>
    <definedName name="ltre">#REF!</definedName>
    <definedName name="lulop16">#REF!</definedName>
    <definedName name="luoncap">#REF!</definedName>
    <definedName name="lurung16">#REF!</definedName>
    <definedName name="luthep10">#REF!</definedName>
    <definedName name="lv..">#REF!</definedName>
    <definedName name="lVC">#REF!</definedName>
    <definedName name="lvr..">#REF!</definedName>
    <definedName name="LVT">#REF!</definedName>
    <definedName name="m">#REF!</definedName>
    <definedName name="M_CSCT">#REF!</definedName>
    <definedName name="M_TD">#REF!</definedName>
    <definedName name="M0.4">#REF!</definedName>
    <definedName name="m1_">#REF!</definedName>
    <definedName name="m10_">#REF!</definedName>
    <definedName name="m11_">#REF!</definedName>
    <definedName name="M12aavl">#REF!</definedName>
    <definedName name="M12ba3p">#REF!</definedName>
    <definedName name="M12bb1p">#REF!</definedName>
    <definedName name="M14bb1p">#REF!</definedName>
    <definedName name="m2_">#REF!</definedName>
    <definedName name="m3_">#REF!</definedName>
    <definedName name="m4_">#REF!</definedName>
    <definedName name="m5_">#REF!</definedName>
    <definedName name="m6_">#REF!</definedName>
    <definedName name="m7_">#REF!</definedName>
    <definedName name="m8_">#REF!</definedName>
    <definedName name="M8a">#REF!</definedName>
    <definedName name="M8aa">#REF!</definedName>
    <definedName name="m8aanc">#REF!</definedName>
    <definedName name="m8aavl">#REF!</definedName>
    <definedName name="m9_">#REF!</definedName>
    <definedName name="MA_DML">#REF!</definedName>
    <definedName name="Ma3pnc">#REF!</definedName>
    <definedName name="Ma3pvl">#REF!</definedName>
    <definedName name="Maa3pnc">#REF!</definedName>
    <definedName name="Maa3pvl">#REF!</definedName>
    <definedName name="Macro2">#REF!</definedName>
    <definedName name="Maïy">#REF!</definedName>
    <definedName name="MAJ_CON_EQP">#REF!</definedName>
    <definedName name="MaMay_Q">#REF!</definedName>
    <definedName name="ManualRate">#REF!</definedName>
    <definedName name="MatDuong">#REF!</definedName>
    <definedName name="MAVANKHUON">#REF!</definedName>
    <definedName name="MAVLTHDN">#REF!</definedName>
    <definedName name="may">#REF!</definedName>
    <definedName name="May_bom_nuíc_10.0_CV">#REF!</definedName>
    <definedName name="May_bom_nuíc_15.0_CV">#REF!</definedName>
    <definedName name="May_bom_nuíc_20.0_CV">#REF!</definedName>
    <definedName name="May_bom_nuíc_20_KW">#REF!</definedName>
    <definedName name="May_bom_nuíc_45.0_CV">#REF!</definedName>
    <definedName name="May_cat_uèn">#REF!</definedName>
    <definedName name="may_dao0.4m3">#REF!</definedName>
    <definedName name="May_dao0.8m3">#REF!</definedName>
    <definedName name="May_dao1.25m3">#REF!</definedName>
    <definedName name="May_dÇm_ban_1_KW">#REF!</definedName>
    <definedName name="May_dÇm_dïi_1.5_KW">#REF!</definedName>
    <definedName name="May_dong_cäc_1.2_T">#REF!</definedName>
    <definedName name="May_dong_cäc_1.8_T">#REF!</definedName>
    <definedName name="May_dong_cäc_2.5_T">#REF!</definedName>
    <definedName name="May_han_23_KW">#REF!</definedName>
    <definedName name="May_khoan_4.5_KW">#REF!</definedName>
    <definedName name="May_khoan_BT_1.5KW">#REF!</definedName>
    <definedName name="May_luån_cap_15_KW">#REF!</definedName>
    <definedName name="May_mai_2.7_KW">#REF!</definedName>
    <definedName name="May_nÐn_khÝ_10m3_ph">#REF!</definedName>
    <definedName name="May_nÐn_khÝ_4_m3_ph">#REF!</definedName>
    <definedName name="May_nÐn_khÝ_9m3_ph">#REF!</definedName>
    <definedName name="May_ñi_110_CV">#REF!</definedName>
    <definedName name="May_phun_son">#REF!</definedName>
    <definedName name="May_trén_vua_250_lÝt">#REF!</definedName>
    <definedName name="May_trén_vua_80_lÝt">#REF!</definedName>
    <definedName name="May_vËn_thang_0.8_T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e">#REF!</definedName>
    <definedName name="mf">#REF!</definedName>
    <definedName name="MG_A">#REF!</definedName>
    <definedName name="Minolta">#REF!</definedName>
    <definedName name="MinhHai_dg">#REF!</definedName>
    <definedName name="Mita">#REF!</definedName>
    <definedName name="MN">#REF!</definedName>
    <definedName name="mneo">#REF!</definedName>
    <definedName name="mocchau">#REF!</definedName>
    <definedName name="Morong">#REF!</definedName>
    <definedName name="Morong4054_85">#REF!</definedName>
    <definedName name="Moùng">#REF!</definedName>
    <definedName name="ms">#REF!</definedName>
    <definedName name="MSCT">#REF!</definedName>
    <definedName name="MTCLD">#REF!</definedName>
    <definedName name="MTMAC12">#REF!</definedName>
    <definedName name="MTN">#REF!</definedName>
    <definedName name="mtram">#REF!</definedName>
    <definedName name="Mu">#REF!</definedName>
    <definedName name="Mu_">#REF!</definedName>
    <definedName name="MVC">#REF!</definedName>
    <definedName name="myle">#REF!</definedName>
    <definedName name="n">#REF!</definedName>
    <definedName name="n1_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t">#REF!</definedName>
    <definedName name="n1ping">#REF!</definedName>
    <definedName name="N1pINGvc">#REF!</definedName>
    <definedName name="n2_">#REF!</definedName>
    <definedName name="n3_">#REF!</definedName>
    <definedName name="n4_">#REF!</definedName>
    <definedName name="NamDinh_dg">#REF!</definedName>
    <definedName name="Nan_khoi_cong">#REF!</definedName>
    <definedName name="nc">#REF!</definedName>
    <definedName name="nc_btm10">#REF!</definedName>
    <definedName name="nc_btm100">#REF!</definedName>
    <definedName name="NC_CSCT">#REF!</definedName>
    <definedName name="NC_CTXD">#REF!</definedName>
    <definedName name="NC_RD">#REF!</definedName>
    <definedName name="NC_TD">#REF!</definedName>
    <definedName name="nc2.5">#REF!</definedName>
    <definedName name="nc2.7">#REF!</definedName>
    <definedName name="nc3.2">#REF!</definedName>
    <definedName name="nc3p">#REF!</definedName>
    <definedName name="nc4.3">#REF!</definedName>
    <definedName name="nc4.6I">#REF!</definedName>
    <definedName name="NC4.7">#REF!</definedName>
    <definedName name="nc5.5">#REF!</definedName>
    <definedName name="nc5.7">#REF!</definedName>
    <definedName name="nc6.5">#REF!</definedName>
    <definedName name="nc6.7">#REF!</definedName>
    <definedName name="NCBD">#REF!</definedName>
    <definedName name="NCBD100">#REF!</definedName>
    <definedName name="NCBD200">#REF!</definedName>
    <definedName name="NCBD250">#REF!</definedName>
    <definedName name="ncc2.5">#REF!</definedName>
    <definedName name="ncc2.7">#REF!</definedName>
    <definedName name="ncc3.2">#REF!</definedName>
    <definedName name="ncc3.5">#REF!</definedName>
    <definedName name="ncc3.7">#REF!</definedName>
    <definedName name="ncc4.3">#REF!</definedName>
    <definedName name="ncc4.5">#REF!</definedName>
    <definedName name="NCC4.7">#REF!</definedName>
    <definedName name="ncc5.5">#REF!</definedName>
    <definedName name="ncc5.7">#REF!</definedName>
    <definedName name="ncc6.5">#REF!</definedName>
    <definedName name="ncc6.7">#REF!</definedName>
    <definedName name="NCcap0.7">#REF!</definedName>
    <definedName name="NCcap1">#REF!</definedName>
    <definedName name="nccs">#REF!</definedName>
    <definedName name="NCCT3p">#REF!</definedName>
    <definedName name="ncgff">#REF!</definedName>
    <definedName name="ncII">#REF!</definedName>
    <definedName name="NCKday">#REF!</definedName>
    <definedName name="NCKT">#REF!</definedName>
    <definedName name="NCLD">#REF!</definedName>
    <definedName name="ncong">#REF!</definedName>
    <definedName name="NCPP">#REF!</definedName>
    <definedName name="nctn">#REF!</definedName>
    <definedName name="nctram">#REF!</definedName>
    <definedName name="NCVC">#REF!</definedName>
    <definedName name="NCVC_BD">#REF!</definedName>
    <definedName name="NCVC100">#REF!</definedName>
    <definedName name="NCVC200">#REF!</definedName>
    <definedName name="NCVC250">#REF!</definedName>
    <definedName name="NCVC3P">#REF!</definedName>
    <definedName name="ncxlkcs">#REF!</definedName>
    <definedName name="ncxlkd">#REF!</definedName>
    <definedName name="ncxlkt">#REF!</definedName>
    <definedName name="ncxlktnl">#REF!</definedName>
    <definedName name="ncxlkh">#REF!</definedName>
    <definedName name="ncxlpxsx">#REF!</definedName>
    <definedName name="ncxltc">#REF!</definedName>
    <definedName name="NenDuong">#REF!</definedName>
    <definedName name="nenkhi10m3">#REF!</definedName>
    <definedName name="nenkhi1200">#REF!</definedName>
    <definedName name="neo32mm">#REF!</definedName>
    <definedName name="neo4T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vc">#REF!</definedName>
    <definedName name="NINDvl">#REF!</definedName>
    <definedName name="nindvl1p">#REF!</definedName>
    <definedName name="NINnc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g1p">#REF!</definedName>
    <definedName name="ningnc1p">#REF!</definedName>
    <definedName name="ningvl1p">#REF!</definedName>
    <definedName name="NinhBinh_dg">#REF!</definedName>
    <definedName name="NinhThuan_dg">#REF!</definedName>
    <definedName name="nl">#REF!</definedName>
    <definedName name="nl1p">#REF!</definedName>
    <definedName name="nl3p">#REF!</definedName>
    <definedName name="nlht">#REF!</definedName>
    <definedName name="NLTK1p">#REF!</definedName>
    <definedName name="nlvl3p">#REF!</definedName>
    <definedName name="Nms">#REF!</definedName>
    <definedName name="NMXFBZG" localSheetId="0" hidden="1">{"'Sheet1'!$L$16"}</definedName>
    <definedName name="nn">#REF!</definedName>
    <definedName name="nn1p">#REF!</definedName>
    <definedName name="nn3p">#REF!</definedName>
    <definedName name="NO">#REF!</definedName>
    <definedName name="Np">#REF!</definedName>
    <definedName name="Nq">#REF!</definedName>
    <definedName name="nsc">#REF!</definedName>
    <definedName name="nsk">#REF!</definedName>
    <definedName name="nx">#REF!</definedName>
    <definedName name="ngau">#REF!</definedName>
    <definedName name="NgheAn_dg">#REF!</definedName>
    <definedName name="nght">#REF!</definedName>
    <definedName name="NH">#REF!</definedName>
    <definedName name="NHAÂN_COÂNG" localSheetId="0">CAPDAT</definedName>
    <definedName name="Nhán_cäng" localSheetId="0">#REF!</definedName>
    <definedName name="Nhan_xet_cua_dai">"Picture 1"</definedName>
    <definedName name="nhfffd" localSheetId="0">{"DZ-TDTB2.XLS","Dcksat.xls"}</definedName>
    <definedName name="nhn">#REF!</definedName>
    <definedName name="NHot">#REF!</definedName>
    <definedName name="nhu">#REF!</definedName>
    <definedName name="nhua">#REF!</definedName>
    <definedName name="nhuad">#REF!</definedName>
    <definedName name="O_M">#REF!</definedName>
    <definedName name="o_to_tù_dæ_10_T">#REF!</definedName>
    <definedName name="OD">#REF!</definedName>
    <definedName name="ODC">#REF!</definedName>
    <definedName name="ODS">#REF!</definedName>
    <definedName name="ODU">#REF!</definedName>
    <definedName name="OffshoreLaborRate">#REF!</definedName>
    <definedName name="OM">#REF!</definedName>
    <definedName name="OMC">#REF!</definedName>
    <definedName name="OME">#REF!</definedName>
    <definedName name="OMW">#REF!</definedName>
    <definedName name="ong">#REF!</definedName>
    <definedName name="ongsattrangkem">#REF!</definedName>
    <definedName name="OOM">#REF!</definedName>
    <definedName name="OP">'[3]JOINT-DET'!$A$3:$N$24</definedName>
    <definedName name="open" localSheetId="0">#REF!</definedName>
    <definedName name="ophom">#REF!</definedName>
    <definedName name="ORD">#REF!</definedName>
    <definedName name="ORF">#REF!</definedName>
    <definedName name="osc">#REF!</definedName>
    <definedName name="oü0">#REF!</definedName>
    <definedName name="oxy">#REF!</definedName>
    <definedName name="PA">#REF!</definedName>
    <definedName name="PA.2314">#REF!</definedName>
    <definedName name="PA.3114">#REF!</definedName>
    <definedName name="PANEL">#REF!</definedName>
    <definedName name="PChe">#REF!</definedName>
    <definedName name="Pd">#REF!</definedName>
    <definedName name="pgia">#REF!</definedName>
    <definedName name="PileSize">#REF!</definedName>
    <definedName name="PileType">#REF!</definedName>
    <definedName name="PIP" localSheetId="0">BlankMacro1</definedName>
    <definedName name="PIPE2" localSheetId="0">BlankMacro1</definedName>
    <definedName name="PK" localSheetId="0">#REF!</definedName>
    <definedName name="PKmayin">#REF!</definedName>
    <definedName name="PLFabRate">#REF!</definedName>
    <definedName name="pm..">#REF!</definedName>
    <definedName name="PMS" localSheetId="0" hidden="1">{"'Sheet1'!$L$16"}</definedName>
    <definedName name="PPP" localSheetId="0">BlankMacro1</definedName>
    <definedName name="PRC" localSheetId="0">#REF!</definedName>
    <definedName name="PRICE">#REF!</definedName>
    <definedName name="PRICE1">#REF!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_xlnm.Print_Area" localSheetId="0">REQUEST!$A$1:$J$76</definedName>
    <definedName name="_xlnm.Print_Area">#REF!</definedName>
    <definedName name="_xlnm.Print_Titles" localSheetId="0">REQUEST!$1:$16</definedName>
    <definedName name="_xlnm.Print_Titles">#REF!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cRate">#REF!</definedName>
    <definedName name="ProjRate">#REF!</definedName>
    <definedName name="PROPOSAL">#REF!</definedName>
    <definedName name="Province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ichDTL" localSheetId="0">[0]!rate</definedName>
    <definedName name="PTL" localSheetId="0">#REF!</definedName>
    <definedName name="PTNC">#REF!</definedName>
    <definedName name="PTH">#REF!</definedName>
    <definedName name="Pu">#REF!</definedName>
    <definedName name="pw">#REF!</definedName>
    <definedName name="PhanChung">#REF!</definedName>
    <definedName name="PHC">#REF!</definedName>
    <definedName name="phi_inertial">#REF!</definedName>
    <definedName name="phu_luc_vua">#REF!</definedName>
    <definedName name="PhuYen_dg">#REF!</definedName>
    <definedName name="qc">#REF!</definedName>
    <definedName name="qh">#REF!</definedName>
    <definedName name="qq" localSheetId="0">BlankMacro1</definedName>
    <definedName name="qtdm" localSheetId="0">#REF!</definedName>
    <definedName name="qu">#REF!</definedName>
    <definedName name="Quantities">#REF!</definedName>
    <definedName name="QuangBinh_dg">#REF!</definedName>
    <definedName name="QuangNam_dg">#REF!</definedName>
    <definedName name="QuangNinh_dg">#REF!</definedName>
    <definedName name="QuangNgai_dg">#REF!</definedName>
    <definedName name="QuangTri_dg">#REF!</definedName>
    <definedName name="quit">#REF!</definedName>
    <definedName name="R_mong">#REF!</definedName>
    <definedName name="Ra_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iasphalt100">#REF!</definedName>
    <definedName name="raiasphalt65">#REF!</definedName>
    <definedName name="rain..">#REF!</definedName>
    <definedName name="RANGE">#REF!</definedName>
    <definedName name="RANGE_WF">#REF!</definedName>
    <definedName name="rate">14000</definedName>
    <definedName name="raypb43">#REF!</definedName>
    <definedName name="Rc_">#REF!</definedName>
    <definedName name="RCF">#REF!</definedName>
    <definedName name="RCKM">#REF!</definedName>
    <definedName name="Rctpt">#REF!</definedName>
    <definedName name="RDAM">#REF!</definedName>
    <definedName name="RDEC">#REF!</definedName>
    <definedName name="RDEFF">#REF!</definedName>
    <definedName name="RDFC">#REF!</definedName>
    <definedName name="RDFU">#REF!</definedName>
    <definedName name="RDLIF">#REF!</definedName>
    <definedName name="RDOM">#REF!</definedName>
    <definedName name="rdpcf">#REF!</definedName>
    <definedName name="RDRC">#REF!</definedName>
    <definedName name="RDRF">#REF!</definedName>
    <definedName name="_xlnm.Recorder">#REF!</definedName>
    <definedName name="RECOUT">#N/A</definedName>
    <definedName name="REG">#REF!</definedName>
    <definedName name="Region">#REF!</definedName>
    <definedName name="RFNZ3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LIF">#REF!</definedName>
    <definedName name="RHEC">#REF!</definedName>
    <definedName name="RHEFF">#REF!</definedName>
    <definedName name="RHHC">#REF!</definedName>
    <definedName name="RHLIF">#REF!</definedName>
    <definedName name="RHOM">#REF!</definedName>
    <definedName name="Ricoh">#REF!</definedName>
    <definedName name="RINCI">#REF!</definedName>
    <definedName name="RINCI2">#REF!</definedName>
    <definedName name="RIR">#REF!</definedName>
    <definedName name="River">#REF!</definedName>
    <definedName name="River_Code">#REF!</definedName>
    <definedName name="RLd">#REF!</definedName>
    <definedName name="RLF">#REF!</definedName>
    <definedName name="RLKM">#REF!</definedName>
    <definedName name="RLL">#REF!</definedName>
    <definedName name="RLOM">#REF!</definedName>
    <definedName name="rnp">32</definedName>
    <definedName name="ro0">#REF!</definedName>
    <definedName name="Road_Code">#REF!</definedName>
    <definedName name="Road_Name">#REF!</definedName>
    <definedName name="RoadNo_373">#REF!</definedName>
    <definedName name="Round_Trip_Air_Fare">#REF!</definedName>
    <definedName name="RPHEC">#REF!</definedName>
    <definedName name="RPHLIF">#REF!</definedName>
    <definedName name="RPHOM">#REF!</definedName>
    <definedName name="RPHPC">#REF!</definedName>
    <definedName name="RQVS" localSheetId="0">BlankMacro1</definedName>
    <definedName name="Rrpo" localSheetId="0">#REF!</definedName>
    <definedName name="RSBC">#REF!</definedName>
    <definedName name="RSBLIF">#REF!</definedName>
    <definedName name="RSIC">#REF!</definedName>
    <definedName name="RSIN">#REF!</definedName>
    <definedName name="RSLIF">#REF!</definedName>
    <definedName name="RSOM">#REF!</definedName>
    <definedName name="RSPI">#REF!</definedName>
    <definedName name="RSSC">#REF!</definedName>
    <definedName name="RTT">#REF!</definedName>
    <definedName name="RWTPlo">#REF!</definedName>
    <definedName name="RWTPhi">#REF!</definedName>
    <definedName name="s">#REF!</definedName>
    <definedName name="s.">#REF!</definedName>
    <definedName name="S_1">#REF!</definedName>
    <definedName name="S_2">#REF!</definedName>
    <definedName name="s1_">#REF!</definedName>
    <definedName name="s2_">#REF!</definedName>
    <definedName name="s3_">#REF!</definedName>
    <definedName name="s4_">#REF!</definedName>
    <definedName name="SA">#REF!</definedName>
    <definedName name="salan200">#REF!</definedName>
    <definedName name="salan400">#REF!</definedName>
    <definedName name="satu">#REF!</definedName>
    <definedName name="SAYA">#REF!</definedName>
    <definedName name="SCH">#REF!</definedName>
    <definedName name="sd1p">#REF!</definedName>
    <definedName name="sd3p">#REF!</definedName>
    <definedName name="sda">#REF!</definedName>
    <definedName name="SDMONG">#REF!</definedName>
    <definedName name="SENO">#REF!</definedName>
    <definedName name="sharp">#REF!</definedName>
    <definedName name="Sheet1">#REF!</definedName>
    <definedName name="sho">#REF!</definedName>
    <definedName name="Shoes">#REF!</definedName>
    <definedName name="sht">#REF!</definedName>
    <definedName name="sht1p">#REF!</definedName>
    <definedName name="sht3p">#REF!</definedName>
    <definedName name="sieucao">#REF!</definedName>
    <definedName name="SIZE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max">#REF!</definedName>
    <definedName name="smax1">#REF!</definedName>
    <definedName name="sn">#REF!</definedName>
    <definedName name="soc3p">#REF!</definedName>
    <definedName name="Soctrang_dg">#REF!</definedName>
    <definedName name="sohieuthua">#REF!</definedName>
    <definedName name="Soi">#REF!</definedName>
    <definedName name="soichon12">#REF!</definedName>
    <definedName name="soichon24">#REF!</definedName>
    <definedName name="soichon46">#REF!</definedName>
    <definedName name="SoilType">#REF!</definedName>
    <definedName name="solieu">#REF!</definedName>
    <definedName name="SonLa_dg">#REF!</definedName>
    <definedName name="SongBe_dg">#REF!</definedName>
    <definedName name="SORT">#REF!</definedName>
    <definedName name="SPAN">#REF!</definedName>
    <definedName name="SPAN_No">#REF!</definedName>
    <definedName name="SPEC">#REF!</definedName>
    <definedName name="SPECSUMMARY">#REF!</definedName>
    <definedName name="ss" localSheetId="0">BlankMacro1</definedName>
    <definedName name="st" localSheetId="0">#REF!</definedName>
    <definedName name="st1p">#REF!</definedName>
    <definedName name="st3p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">#REF!</definedName>
    <definedName name="SUL">#REF!</definedName>
    <definedName name="SUM">#REF!,#REF!</definedName>
    <definedName name="SUMMARY">#REF!</definedName>
    <definedName name="SUMNDE">#REF!</definedName>
    <definedName name="SUMNDERT">#REF!</definedName>
    <definedName name="SUMNO">[4]Rinci!#REF!</definedName>
    <definedName name="T">#REF!</definedName>
    <definedName name="t.">#REF!</definedName>
    <definedName name="t..">#REF!</definedName>
    <definedName name="T.nhËp">#REF!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7m">#REF!</definedName>
    <definedName name="t8m">#REF!</definedName>
    <definedName name="tab">#REF!</definedName>
    <definedName name="TABEL">#REF!</definedName>
    <definedName name="tadao">#REF!</definedName>
    <definedName name="Tæng_c_ng_suÊt_hiÖn_t_i">"THOP"</definedName>
    <definedName name="Tai_trong">#REF!</definedName>
    <definedName name="Tam">#REF!</definedName>
    <definedName name="tamlop">#REF!</definedName>
    <definedName name="TAMTINH">#REF!</definedName>
    <definedName name="taukeo150">#REF!</definedName>
    <definedName name="taun">#REF!</definedName>
    <definedName name="Tax">#REF!</definedName>
    <definedName name="TaxTV">10%</definedName>
    <definedName name="TaxXL">5%</definedName>
    <definedName name="TayNinh_dg">#REF!</definedName>
    <definedName name="TB">#REF!</definedName>
    <definedName name="TB_CS">#REF!</definedName>
    <definedName name="TBA">#REF!</definedName>
    <definedName name="tbtram">#REF!</definedName>
    <definedName name="TBXD">#REF!</definedName>
    <definedName name="TC">#REF!</definedName>
    <definedName name="tc_1">#REF!</definedName>
    <definedName name="tc_2">#REF!</definedName>
    <definedName name="TC_NHANH1">#REF!</definedName>
    <definedName name="Tchuan">#REF!</definedName>
    <definedName name="td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ia">#REF!</definedName>
    <definedName name="tdnc1p">#REF!</definedName>
    <definedName name="tdo">#REF!</definedName>
    <definedName name="tdt">#REF!</definedName>
    <definedName name="tdtr2cnc">#REF!</definedName>
    <definedName name="tdtr2cvl">#REF!</definedName>
    <definedName name="tdvl1p">#REF!</definedName>
    <definedName name="TEBAL">#REF!</definedName>
    <definedName name="tecnuoc5">#REF!</definedName>
    <definedName name="temp">#REF!</definedName>
    <definedName name="Temp_Br">#REF!</definedName>
    <definedName name="TEMPBR">#REF!</definedName>
    <definedName name="ten">#REF!</definedName>
    <definedName name="tenvung">#REF!</definedName>
    <definedName name="test">#REF!</definedName>
    <definedName name="Test5">#N/A</definedName>
    <definedName name="Têi_diÖn_5_T">#REF!</definedName>
    <definedName name="TG">#REF!</definedName>
    <definedName name="TI">#REF!</definedName>
    <definedName name="Tien">#REF!</definedName>
    <definedName name="TienGiang_dg">#REF!</definedName>
    <definedName name="TIENLUONG">#REF!</definedName>
    <definedName name="Tim_cong">#REF!</definedName>
    <definedName name="tim_xuat_hien">#REF!</definedName>
    <definedName name="Time">#REF!</definedName>
    <definedName name="TIT">#REF!</definedName>
    <definedName name="TITAN">#REF!</definedName>
    <definedName name="TK">#REF!</definedName>
    <definedName name="TKP">#REF!</definedName>
    <definedName name="TL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MDT1">#REF!</definedName>
    <definedName name="TMDT2">#REF!</definedName>
    <definedName name="TMDTmoi">#REF!</definedName>
    <definedName name="TN">#REF!</definedName>
    <definedName name="TN_b_qu_n">#REF!</definedName>
    <definedName name="toi5t">#REF!</definedName>
    <definedName name="ton">#REF!</definedName>
    <definedName name="Tonmai">#REF!</definedName>
    <definedName name="TONGDUTOAN">#REF!</definedName>
    <definedName name="TOSHIBA">#REF!</definedName>
    <definedName name="TOTAL">#REF!</definedName>
    <definedName name="TPLRP">#REF!</definedName>
    <definedName name="ts">#REF!</definedName>
    <definedName name="tsI">#REF!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inh">#REF!</definedName>
    <definedName name="tttt">#REF!</definedName>
    <definedName name="TTVAn5">#REF!</definedName>
    <definedName name="tthi">#REF!</definedName>
    <definedName name="ttronmk">#REF!</definedName>
    <definedName name="Tu_dung_ton_that">#REF!</definedName>
    <definedName name="tung">#REF!</definedName>
    <definedName name="TuongChan">#REF!</definedName>
    <definedName name="TuVan">#REF!</definedName>
    <definedName name="TuyenQuang_dg">#REF!</definedName>
    <definedName name="tv75nc">#REF!</definedName>
    <definedName name="tv75vl">#REF!</definedName>
    <definedName name="TX">#REF!</definedName>
    <definedName name="ty_le">#REF!</definedName>
    <definedName name="Ty_Le_1">#REF!</definedName>
    <definedName name="ty_le_BTN">#REF!</definedName>
    <definedName name="Ty_le1">#REF!</definedName>
    <definedName name="Type_1">#REF!</definedName>
    <definedName name="Type_2">#REF!</definedName>
    <definedName name="TYT" localSheetId="0">BlankMacro1</definedName>
    <definedName name="th">#REF!</definedName>
    <definedName name="tha" localSheetId="0" hidden="1">{"'Sheet1'!$L$16"}</definedName>
    <definedName name="ThaiBinh_dg">#REF!</definedName>
    <definedName name="thanh" localSheetId="0" hidden="1">{"'Sheet1'!$L$16"}</definedName>
    <definedName name="thanhdul">#REF!</definedName>
    <definedName name="ThanhHoa_dg">#REF!</definedName>
    <definedName name="ThaoCauCu">#REF!</definedName>
    <definedName name="THchon">#REF!</definedName>
    <definedName name="THDS">#REF!</definedName>
    <definedName name="thdt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OBANVE">#REF!</definedName>
    <definedName name="THEOSO">#REF!</definedName>
    <definedName name="thepbuoc">#REF!</definedName>
    <definedName name="thepgoc25_60">#REF!</definedName>
    <definedName name="thepgoc63_75">#REF!</definedName>
    <definedName name="thepgoc80_100">#REF!</definedName>
    <definedName name="theptam">#REF!</definedName>
    <definedName name="theptron12">#REF!</definedName>
    <definedName name="theptron14_22">#REF!</definedName>
    <definedName name="theptron6_8">#REF!</definedName>
    <definedName name="thephinh">#REF!</definedName>
    <definedName name="THGO1pnc">#REF!</definedName>
    <definedName name="thht">#REF!</definedName>
    <definedName name="THI">#REF!</definedName>
    <definedName name="ThiÕt_bÞ_phun_cat">#REF!</definedName>
    <definedName name="THKMATLTAG">#REF!</definedName>
    <definedName name="thkp3">#REF!</definedName>
    <definedName name="ThoatNuoc">#REF!</definedName>
    <definedName name="thongso">#REF!</definedName>
    <definedName name="Thop">#REF!</definedName>
    <definedName name="THop2">#REF!</definedName>
    <definedName name="THT">#REF!</definedName>
    <definedName name="THTLMcap">#REF!</definedName>
    <definedName name="THToanBo">#REF!</definedName>
    <definedName name="THtoanbo2">#REF!</definedName>
    <definedName name="thtt">#REF!</definedName>
    <definedName name="THTHEP">#REF!</definedName>
    <definedName name="thue">6</definedName>
    <definedName name="thuy" localSheetId="0" hidden="1">{"'Sheet1'!$L$16"}</definedName>
    <definedName name="tr_">#REF!</definedName>
    <definedName name="Tra_Cot">#REF!</definedName>
    <definedName name="Tra_DM_su_dung">#REF!</definedName>
    <definedName name="Tra_don_gia_KS">#REF!</definedName>
    <definedName name="Tra_DTCT">#REF!</definedName>
    <definedName name="Tra_gtxl_cong">#REF!</definedName>
    <definedName name="Tra_lÆn">#REF!</definedName>
    <definedName name="Tra_ten_cong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L">#REF!</definedName>
    <definedName name="TRADE2">#REF!</definedName>
    <definedName name="tralsmital1" localSheetId="0" hidden="1">{"'Sheet1'!$L$16"}</definedName>
    <definedName name="trambt60">#REF!</definedName>
    <definedName name="tran">#REF!</definedName>
    <definedName name="TRAvH">#REF!</definedName>
    <definedName name="TraVinh_dg">#REF!</definedName>
    <definedName name="TRISO">#REF!</definedName>
    <definedName name="tronbt250">#REF!</definedName>
    <definedName name="tronvua250">#REF!</definedName>
    <definedName name="trt">#REF!</definedName>
    <definedName name="u" localSheetId="0">#REF!</definedName>
    <definedName name="U_tien">#REF!</definedName>
    <definedName name="unitt" localSheetId="0">BlankMacro1</definedName>
    <definedName name="UNL" localSheetId="0">#REF!</definedName>
    <definedName name="UP" localSheetId="0">#REF!,#REF!,#REF!,#REF!,#REF!,#REF!,#REF!,#REF!,#REF!,#REF!,#REF!</definedName>
    <definedName name="upnoc">#REF!</definedName>
    <definedName name="ut">#REF!</definedName>
    <definedName name="UT_1">#REF!</definedName>
    <definedName name="UT1_373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Dam">#REF!</definedName>
    <definedName name="VARIINST">#REF!</definedName>
    <definedName name="VARIPURC">#REF!</definedName>
    <definedName name="VAT">#REF!</definedName>
    <definedName name="Vat_tu">#REF!</definedName>
    <definedName name="VATM" localSheetId="0" hidden="1">{"'Sheet1'!$L$16"}</definedName>
    <definedName name="Váût_liãûu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">#REF!</definedName>
    <definedName name="vccot">#REF!</definedName>
    <definedName name="VCD">#REF!</definedName>
    <definedName name="vcdc">#REF!</definedName>
    <definedName name="vcn">#REF!</definedName>
    <definedName name="VCPK4">#REF!</definedName>
    <definedName name="vct">#REF!</definedName>
    <definedName name="vctb">#REF!</definedName>
    <definedName name="VCTT">#REF!</definedName>
    <definedName name="VCVBT1">#REF!</definedName>
    <definedName name="VCVBT2">#REF!</definedName>
    <definedName name="vcxi">#REF!</definedName>
    <definedName name="VCHT">#REF!</definedName>
    <definedName name="vd3p">#REF!</definedName>
    <definedName name="Vendor_Representative_Charges">#REF!</definedName>
    <definedName name="Vf">#REF!</definedName>
    <definedName name="vgk">#REF!</definedName>
    <definedName name="vgt">#REF!</definedName>
    <definedName name="Via_He">#REF!</definedName>
    <definedName name="VinhLong_dg">#REF!</definedName>
    <definedName name="VinhPhu_dg">#REF!</definedName>
    <definedName name="vkcauthang">#REF!</definedName>
    <definedName name="vksan">#REF!</definedName>
    <definedName name="vl">#REF!</definedName>
    <definedName name="VL_CSC">#REF!</definedName>
    <definedName name="VL_CSCT">#REF!</definedName>
    <definedName name="VL_CTXD">#REF!</definedName>
    <definedName name="VL_RD">#REF!</definedName>
    <definedName name="VL_TD">#REF!</definedName>
    <definedName name="vl3p">#REF!</definedName>
    <definedName name="VLBS">#N/A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IEU">#REF!</definedName>
    <definedName name="VLKday">#REF!</definedName>
    <definedName name="VLM">#REF!</definedName>
    <definedName name="vltram">#REF!</definedName>
    <definedName name="vr3p">#REF!</definedName>
    <definedName name="vt">#REF!</definedName>
    <definedName name="vtu">#REF!</definedName>
    <definedName name="Vu">#REF!</definedName>
    <definedName name="Vu_">#REF!</definedName>
    <definedName name="vung">#REF!</definedName>
    <definedName name="vung2">#REF!</definedName>
    <definedName name="vxuan">#REF!</definedName>
    <definedName name="W">#REF!</definedName>
    <definedName name="watertruck">#REF!</definedName>
    <definedName name="Wdaymong">#REF!</definedName>
    <definedName name="weight_table">#REF!</definedName>
    <definedName name="weldtrace">#REF!</definedName>
    <definedName name="wl">#REF!</definedName>
    <definedName name="Ws">#REF!</definedName>
    <definedName name="Wss">#REF!</definedName>
    <definedName name="Wst">#REF!</definedName>
    <definedName name="wt">#REF!</definedName>
    <definedName name="X">#REF!</definedName>
    <definedName name="X0GFCFw">#REF!</definedName>
    <definedName name="x1_">#REF!</definedName>
    <definedName name="X1GFCFw">#REF!</definedName>
    <definedName name="x1pind">#REF!</definedName>
    <definedName name="X1pINDnc">#REF!</definedName>
    <definedName name="X1pINDvc">#REF!</definedName>
    <definedName name="X1pINDvl">#REF!</definedName>
    <definedName name="x1pint">#REF!</definedName>
    <definedName name="x1ping">#REF!</definedName>
    <definedName name="X1pINGnc">#REF!</definedName>
    <definedName name="X1pINGvc">#REF!</definedName>
    <definedName name="X1pINGvl">#REF!</definedName>
    <definedName name="x2_">#REF!</definedName>
    <definedName name="xa">#REF!</definedName>
    <definedName name="XCCT">0.5</definedName>
    <definedName name="xd0.6">#REF!</definedName>
    <definedName name="xd1.3">#REF!</definedName>
    <definedName name="xd1.5">#REF!</definedName>
    <definedName name="Xe_lao_dÇm">#REF!</definedName>
    <definedName name="xelaodam">#REF!</definedName>
    <definedName name="xerox">#REF!</definedName>
    <definedName name="xethung10t">#REF!</definedName>
    <definedName name="xetreo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gc100">#REF!</definedName>
    <definedName name="xgc150">#REF!</definedName>
    <definedName name="xgc200">#REF!</definedName>
    <definedName name="xh">#REF!</definedName>
    <definedName name="xhn">#REF!</definedName>
    <definedName name="xi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vc">#REF!</definedName>
    <definedName name="XIGvl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nc">#REF!</definedName>
    <definedName name="xint1p">#REF!</definedName>
    <definedName name="XINvc">#REF!</definedName>
    <definedName name="XINvl">#REF!</definedName>
    <definedName name="xing1p">#REF!</definedName>
    <definedName name="xingnc1p">#REF!</definedName>
    <definedName name="xingvl1p">#REF!</definedName>
    <definedName name="xit">#REF!</definedName>
    <definedName name="xit1">#REF!</definedName>
    <definedName name="xit1p">#REF!</definedName>
    <definedName name="xit3p">#REF!</definedName>
    <definedName name="XITnc">#REF!</definedName>
    <definedName name="XITvc">#REF!</definedName>
    <definedName name="XITvl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P">#REF!</definedName>
    <definedName name="xmcax">#REF!</definedName>
    <definedName name="xn">#REF!</definedName>
    <definedName name="xo0">#REF!</definedName>
    <definedName name="xuclat1">#REF!</definedName>
    <definedName name="Y" localSheetId="0">BlankMacro1</definedName>
    <definedName name="YenBai_dg" localSheetId="0">#REF!</definedName>
    <definedName name="YR0">#REF!</definedName>
    <definedName name="YRP">#REF!</definedName>
    <definedName name="yy">#REF!</definedName>
    <definedName name="z">#REF!</definedName>
    <definedName name="zl">#REF!</definedName>
    <definedName name="Zloadmin">#REF!</definedName>
    <definedName name="ZloadminS">#REF!</definedName>
    <definedName name="ZS1A">#REF!</definedName>
    <definedName name="ZS1C">#REF!</definedName>
    <definedName name="Zw">#REF!</definedName>
    <definedName name="ZXD">#REF!</definedName>
    <definedName name="ZYX">#REF!</definedName>
    <definedName name="ZZZ">#REF!</definedName>
    <definedName name="템플리트모듈1" localSheetId="0">BlankMacro1</definedName>
    <definedName name="템플리트모듈2" localSheetId="0">BlankMacro1</definedName>
    <definedName name="템플리트모듈3" localSheetId="0">BlankMacro1</definedName>
    <definedName name="템플리트모듈4" localSheetId="0">BlankMacro1</definedName>
    <definedName name="템플리트모듈5" localSheetId="0">BlankMacro1</definedName>
    <definedName name="템플리트모듈6" localSheetId="0">BlankMacro1</definedName>
    <definedName name="피팅" localSheetId="0">BlankMacro1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N2" i="1"/>
  <c r="L17" i="1" l="1"/>
  <c r="K17" i="1" l="1"/>
  <c r="L18" i="1"/>
  <c r="L19" i="1"/>
  <c r="K18" i="1" l="1"/>
  <c r="L20" i="1"/>
  <c r="I17" i="1" l="1"/>
  <c r="H17" i="1"/>
  <c r="F17" i="1"/>
  <c r="E17" i="1"/>
  <c r="L73" i="1"/>
  <c r="D17" i="1"/>
  <c r="O17" i="1"/>
  <c r="C17" i="1"/>
  <c r="B17" i="1"/>
  <c r="N17" i="1"/>
  <c r="M17" i="1"/>
  <c r="G17" i="1" s="1"/>
  <c r="H7" i="1"/>
  <c r="J17" i="1"/>
  <c r="K19" i="1"/>
  <c r="L21" i="1"/>
  <c r="L22" i="1" s="1"/>
  <c r="L23" i="1" l="1"/>
  <c r="E18" i="1"/>
  <c r="D18" i="1"/>
  <c r="O18" i="1"/>
  <c r="C18" i="1"/>
  <c r="A18" i="1"/>
  <c r="N18" i="1"/>
  <c r="B18" i="1"/>
  <c r="M18" i="1"/>
  <c r="G18" i="1" s="1"/>
  <c r="H18" i="1"/>
  <c r="J18" i="1"/>
  <c r="I18" i="1"/>
  <c r="F18" i="1"/>
  <c r="K20" i="1"/>
  <c r="G76" i="1"/>
  <c r="H5" i="1"/>
  <c r="A76" i="1" s="1"/>
  <c r="D76" i="1" s="1"/>
  <c r="L24" i="1" l="1"/>
  <c r="K21" i="1"/>
  <c r="M19" i="1"/>
  <c r="A19" i="1"/>
  <c r="I19" i="1"/>
  <c r="D19" i="1"/>
  <c r="J19" i="1"/>
  <c r="H19" i="1"/>
  <c r="F19" i="1"/>
  <c r="E19" i="1"/>
  <c r="O19" i="1"/>
  <c r="N19" i="1"/>
  <c r="C19" i="1"/>
  <c r="B19" i="1"/>
  <c r="L25" i="1" l="1"/>
  <c r="L26" i="1" s="1"/>
  <c r="L27" i="1" s="1"/>
  <c r="L28" i="1" s="1"/>
  <c r="L29" i="1" s="1"/>
  <c r="L30" i="1" s="1"/>
  <c r="L31" i="1" s="1"/>
  <c r="G19" i="1"/>
  <c r="I20" i="1"/>
  <c r="H20" i="1"/>
  <c r="F20" i="1"/>
  <c r="E20" i="1"/>
  <c r="D20" i="1"/>
  <c r="O20" i="1"/>
  <c r="C20" i="1"/>
  <c r="N20" i="1"/>
  <c r="B20" i="1"/>
  <c r="M20" i="1"/>
  <c r="G20" i="1" s="1"/>
  <c r="A20" i="1"/>
  <c r="J20" i="1"/>
  <c r="K22" i="1"/>
  <c r="G21" i="1"/>
  <c r="L33" i="1" l="1"/>
  <c r="L32" i="1"/>
  <c r="G22" i="1"/>
  <c r="K23" i="1"/>
  <c r="E21" i="1"/>
  <c r="D21" i="1"/>
  <c r="M21" i="1"/>
  <c r="O21" i="1"/>
  <c r="C21" i="1"/>
  <c r="A21" i="1"/>
  <c r="N21" i="1"/>
  <c r="B21" i="1"/>
  <c r="J21" i="1"/>
  <c r="H21" i="1"/>
  <c r="I21" i="1"/>
  <c r="F21" i="1"/>
  <c r="L34" i="1" l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K70" i="1" s="1"/>
  <c r="O70" i="1" s="1"/>
  <c r="G23" i="1"/>
  <c r="K24" i="1"/>
  <c r="M22" i="1"/>
  <c r="A22" i="1"/>
  <c r="J22" i="1"/>
  <c r="I22" i="1"/>
  <c r="H22" i="1"/>
  <c r="D22" i="1"/>
  <c r="F22" i="1"/>
  <c r="E22" i="1"/>
  <c r="B22" i="1"/>
  <c r="O22" i="1"/>
  <c r="N22" i="1"/>
  <c r="C22" i="1"/>
  <c r="M70" i="1" l="1"/>
  <c r="N70" i="1"/>
  <c r="K25" i="1"/>
  <c r="G24" i="1"/>
  <c r="I23" i="1"/>
  <c r="H23" i="1"/>
  <c r="E23" i="1"/>
  <c r="F23" i="1"/>
  <c r="D23" i="1"/>
  <c r="O23" i="1"/>
  <c r="C23" i="1"/>
  <c r="N23" i="1"/>
  <c r="B23" i="1"/>
  <c r="M23" i="1"/>
  <c r="A23" i="1"/>
  <c r="J23" i="1"/>
  <c r="E24" i="1" l="1"/>
  <c r="D24" i="1"/>
  <c r="O24" i="1"/>
  <c r="C24" i="1"/>
  <c r="N24" i="1"/>
  <c r="B24" i="1"/>
  <c r="A24" i="1"/>
  <c r="M24" i="1"/>
  <c r="H24" i="1"/>
  <c r="J24" i="1"/>
  <c r="I24" i="1"/>
  <c r="F24" i="1"/>
  <c r="G25" i="1"/>
  <c r="K26" i="1"/>
  <c r="G26" i="1" l="1"/>
  <c r="K27" i="1"/>
  <c r="M25" i="1"/>
  <c r="A25" i="1"/>
  <c r="J25" i="1"/>
  <c r="I25" i="1"/>
  <c r="H25" i="1"/>
  <c r="F25" i="1"/>
  <c r="D25" i="1"/>
  <c r="E25" i="1"/>
  <c r="C25" i="1"/>
  <c r="N25" i="1"/>
  <c r="O25" i="1"/>
  <c r="B25" i="1"/>
  <c r="K28" i="1" l="1"/>
  <c r="G27" i="1"/>
  <c r="I26" i="1"/>
  <c r="H26" i="1"/>
  <c r="E26" i="1"/>
  <c r="F26" i="1"/>
  <c r="D26" i="1"/>
  <c r="O26" i="1"/>
  <c r="C26" i="1"/>
  <c r="N26" i="1"/>
  <c r="B26" i="1"/>
  <c r="M26" i="1"/>
  <c r="A26" i="1"/>
  <c r="J26" i="1"/>
  <c r="E27" i="1" l="1"/>
  <c r="D27" i="1"/>
  <c r="O27" i="1"/>
  <c r="C27" i="1"/>
  <c r="A27" i="1"/>
  <c r="N27" i="1"/>
  <c r="B27" i="1"/>
  <c r="M27" i="1"/>
  <c r="H27" i="1"/>
  <c r="J27" i="1"/>
  <c r="I27" i="1"/>
  <c r="F27" i="1"/>
  <c r="G28" i="1"/>
  <c r="K29" i="1"/>
  <c r="G29" i="1" l="1"/>
  <c r="K30" i="1"/>
  <c r="M28" i="1"/>
  <c r="A28" i="1"/>
  <c r="D28" i="1"/>
  <c r="J28" i="1"/>
  <c r="I28" i="1"/>
  <c r="H28" i="1"/>
  <c r="F28" i="1"/>
  <c r="E28" i="1"/>
  <c r="O28" i="1"/>
  <c r="N28" i="1"/>
  <c r="C28" i="1"/>
  <c r="B28" i="1"/>
  <c r="K31" i="1" l="1"/>
  <c r="G30" i="1"/>
  <c r="I29" i="1"/>
  <c r="H29" i="1"/>
  <c r="F29" i="1"/>
  <c r="E29" i="1"/>
  <c r="D29" i="1"/>
  <c r="O29" i="1"/>
  <c r="C29" i="1"/>
  <c r="N29" i="1"/>
  <c r="B29" i="1"/>
  <c r="M29" i="1"/>
  <c r="A29" i="1"/>
  <c r="J29" i="1"/>
  <c r="E30" i="1" l="1"/>
  <c r="D30" i="1"/>
  <c r="O30" i="1"/>
  <c r="C30" i="1"/>
  <c r="N30" i="1"/>
  <c r="B30" i="1"/>
  <c r="M30" i="1"/>
  <c r="A30" i="1"/>
  <c r="J30" i="1"/>
  <c r="H30" i="1"/>
  <c r="I30" i="1"/>
  <c r="F30" i="1"/>
  <c r="K33" i="1"/>
  <c r="G31" i="1"/>
  <c r="K32" i="1"/>
  <c r="G32" i="1" l="1"/>
  <c r="K34" i="1"/>
  <c r="G33" i="1"/>
  <c r="M31" i="1"/>
  <c r="A31" i="1"/>
  <c r="D31" i="1"/>
  <c r="J31" i="1"/>
  <c r="I31" i="1"/>
  <c r="H31" i="1"/>
  <c r="F31" i="1"/>
  <c r="E31" i="1"/>
  <c r="O31" i="1"/>
  <c r="N31" i="1"/>
  <c r="B31" i="1"/>
  <c r="C31" i="1"/>
  <c r="E33" i="1" l="1"/>
  <c r="D33" i="1"/>
  <c r="O33" i="1"/>
  <c r="C33" i="1"/>
  <c r="N33" i="1"/>
  <c r="B33" i="1"/>
  <c r="M33" i="1"/>
  <c r="A33" i="1"/>
  <c r="J33" i="1"/>
  <c r="H33" i="1"/>
  <c r="I33" i="1"/>
  <c r="F33" i="1"/>
  <c r="G34" i="1"/>
  <c r="K35" i="1"/>
  <c r="I32" i="1"/>
  <c r="H32" i="1"/>
  <c r="F32" i="1"/>
  <c r="E32" i="1"/>
  <c r="D32" i="1"/>
  <c r="O32" i="1"/>
  <c r="C32" i="1"/>
  <c r="N32" i="1"/>
  <c r="B32" i="1"/>
  <c r="M32" i="1"/>
  <c r="A32" i="1"/>
  <c r="J32" i="1"/>
  <c r="G35" i="1" l="1"/>
  <c r="K36" i="1"/>
  <c r="M34" i="1"/>
  <c r="A34" i="1"/>
  <c r="J34" i="1"/>
  <c r="I34" i="1"/>
  <c r="H34" i="1"/>
  <c r="D34" i="1"/>
  <c r="F34" i="1"/>
  <c r="E34" i="1"/>
  <c r="C34" i="1"/>
  <c r="B34" i="1"/>
  <c r="O34" i="1"/>
  <c r="N34" i="1"/>
  <c r="K37" i="1" l="1"/>
  <c r="G36" i="1"/>
  <c r="I35" i="1"/>
  <c r="H35" i="1"/>
  <c r="F35" i="1"/>
  <c r="E35" i="1"/>
  <c r="D35" i="1"/>
  <c r="O35" i="1"/>
  <c r="C35" i="1"/>
  <c r="N35" i="1"/>
  <c r="B35" i="1"/>
  <c r="M35" i="1"/>
  <c r="A35" i="1"/>
  <c r="J35" i="1"/>
  <c r="E36" i="1" l="1"/>
  <c r="D36" i="1"/>
  <c r="O36" i="1"/>
  <c r="C36" i="1"/>
  <c r="H36" i="1"/>
  <c r="N36" i="1"/>
  <c r="B36" i="1"/>
  <c r="M36" i="1"/>
  <c r="A36" i="1"/>
  <c r="J36" i="1"/>
  <c r="I36" i="1"/>
  <c r="F36" i="1"/>
  <c r="G37" i="1"/>
  <c r="K38" i="1"/>
  <c r="G38" i="1" l="1"/>
  <c r="K39" i="1"/>
  <c r="M37" i="1"/>
  <c r="A37" i="1"/>
  <c r="J37" i="1"/>
  <c r="I37" i="1"/>
  <c r="H37" i="1"/>
  <c r="F37" i="1"/>
  <c r="D37" i="1"/>
  <c r="E37" i="1"/>
  <c r="O37" i="1"/>
  <c r="N37" i="1"/>
  <c r="C37" i="1"/>
  <c r="B37" i="1"/>
  <c r="K40" i="1" l="1"/>
  <c r="G39" i="1"/>
  <c r="I38" i="1"/>
  <c r="H38" i="1"/>
  <c r="F38" i="1"/>
  <c r="E38" i="1"/>
  <c r="D38" i="1"/>
  <c r="O38" i="1"/>
  <c r="C38" i="1"/>
  <c r="N38" i="1"/>
  <c r="B38" i="1"/>
  <c r="M38" i="1"/>
  <c r="A38" i="1"/>
  <c r="J38" i="1"/>
  <c r="E39" i="1" l="1"/>
  <c r="D39" i="1"/>
  <c r="O39" i="1"/>
  <c r="C39" i="1"/>
  <c r="N39" i="1"/>
  <c r="B39" i="1"/>
  <c r="M39" i="1"/>
  <c r="A39" i="1"/>
  <c r="H39" i="1"/>
  <c r="J39" i="1"/>
  <c r="I39" i="1"/>
  <c r="F39" i="1"/>
  <c r="G40" i="1"/>
  <c r="K41" i="1"/>
  <c r="G41" i="1" l="1"/>
  <c r="K42" i="1"/>
  <c r="M40" i="1"/>
  <c r="A40" i="1"/>
  <c r="J40" i="1"/>
  <c r="I40" i="1"/>
  <c r="H40" i="1"/>
  <c r="F40" i="1"/>
  <c r="D40" i="1"/>
  <c r="E40" i="1"/>
  <c r="B40" i="1"/>
  <c r="O40" i="1"/>
  <c r="N40" i="1"/>
  <c r="C40" i="1"/>
  <c r="K43" i="1" l="1"/>
  <c r="G42" i="1"/>
  <c r="I41" i="1"/>
  <c r="H41" i="1"/>
  <c r="F41" i="1"/>
  <c r="E41" i="1"/>
  <c r="D41" i="1"/>
  <c r="O41" i="1"/>
  <c r="C41" i="1"/>
  <c r="N41" i="1"/>
  <c r="B41" i="1"/>
  <c r="M41" i="1"/>
  <c r="A41" i="1"/>
  <c r="J41" i="1"/>
  <c r="E42" i="1" l="1"/>
  <c r="D42" i="1"/>
  <c r="O42" i="1"/>
  <c r="C42" i="1"/>
  <c r="N42" i="1"/>
  <c r="B42" i="1"/>
  <c r="M42" i="1"/>
  <c r="A42" i="1"/>
  <c r="J42" i="1"/>
  <c r="I42" i="1"/>
  <c r="H42" i="1"/>
  <c r="F42" i="1"/>
  <c r="G43" i="1"/>
  <c r="K44" i="1"/>
  <c r="G44" i="1" l="1"/>
  <c r="K45" i="1"/>
  <c r="M43" i="1"/>
  <c r="A43" i="1"/>
  <c r="D43" i="1"/>
  <c r="J43" i="1"/>
  <c r="I43" i="1"/>
  <c r="H43" i="1"/>
  <c r="F43" i="1"/>
  <c r="E43" i="1"/>
  <c r="C43" i="1"/>
  <c r="O43" i="1"/>
  <c r="B43" i="1"/>
  <c r="N43" i="1"/>
  <c r="K46" i="1" l="1"/>
  <c r="G45" i="1"/>
  <c r="I44" i="1"/>
  <c r="H44" i="1"/>
  <c r="F44" i="1"/>
  <c r="E44" i="1"/>
  <c r="D44" i="1"/>
  <c r="O44" i="1"/>
  <c r="C44" i="1"/>
  <c r="N44" i="1"/>
  <c r="B44" i="1"/>
  <c r="M44" i="1"/>
  <c r="A44" i="1"/>
  <c r="J44" i="1"/>
  <c r="E45" i="1" l="1"/>
  <c r="D45" i="1"/>
  <c r="O45" i="1"/>
  <c r="C45" i="1"/>
  <c r="N45" i="1"/>
  <c r="B45" i="1"/>
  <c r="M45" i="1"/>
  <c r="A45" i="1"/>
  <c r="H45" i="1"/>
  <c r="J45" i="1"/>
  <c r="I45" i="1"/>
  <c r="F45" i="1"/>
  <c r="G46" i="1"/>
  <c r="K47" i="1"/>
  <c r="G47" i="1" l="1"/>
  <c r="K48" i="1"/>
  <c r="M46" i="1"/>
  <c r="A46" i="1"/>
  <c r="J46" i="1"/>
  <c r="I46" i="1"/>
  <c r="H46" i="1"/>
  <c r="D46" i="1"/>
  <c r="F46" i="1"/>
  <c r="E46" i="1"/>
  <c r="O46" i="1"/>
  <c r="N46" i="1"/>
  <c r="C46" i="1"/>
  <c r="B46" i="1"/>
  <c r="I47" i="1" l="1"/>
  <c r="H47" i="1"/>
  <c r="F47" i="1"/>
  <c r="E47" i="1"/>
  <c r="D47" i="1"/>
  <c r="O47" i="1"/>
  <c r="C47" i="1"/>
  <c r="N47" i="1"/>
  <c r="B47" i="1"/>
  <c r="M47" i="1"/>
  <c r="A47" i="1"/>
  <c r="J47" i="1"/>
  <c r="K49" i="1"/>
  <c r="G48" i="1"/>
  <c r="E48" i="1" l="1"/>
  <c r="D48" i="1"/>
  <c r="O48" i="1"/>
  <c r="C48" i="1"/>
  <c r="N48" i="1"/>
  <c r="B48" i="1"/>
  <c r="M48" i="1"/>
  <c r="A48" i="1"/>
  <c r="J48" i="1"/>
  <c r="H48" i="1"/>
  <c r="I48" i="1"/>
  <c r="F48" i="1"/>
  <c r="G49" i="1"/>
  <c r="K50" i="1"/>
  <c r="G50" i="1" l="1"/>
  <c r="K51" i="1"/>
  <c r="M49" i="1"/>
  <c r="A49" i="1"/>
  <c r="J49" i="1"/>
  <c r="I49" i="1"/>
  <c r="D49" i="1"/>
  <c r="H49" i="1"/>
  <c r="F49" i="1"/>
  <c r="E49" i="1"/>
  <c r="O49" i="1"/>
  <c r="N49" i="1"/>
  <c r="C49" i="1"/>
  <c r="B49" i="1"/>
  <c r="K52" i="1" l="1"/>
  <c r="G51" i="1"/>
  <c r="I50" i="1"/>
  <c r="H50" i="1"/>
  <c r="F50" i="1"/>
  <c r="E50" i="1"/>
  <c r="D50" i="1"/>
  <c r="O50" i="1"/>
  <c r="C50" i="1"/>
  <c r="N50" i="1"/>
  <c r="B50" i="1"/>
  <c r="M50" i="1"/>
  <c r="A50" i="1"/>
  <c r="J50" i="1"/>
  <c r="E51" i="1" l="1"/>
  <c r="D51" i="1"/>
  <c r="O51" i="1"/>
  <c r="C51" i="1"/>
  <c r="H51" i="1"/>
  <c r="N51" i="1"/>
  <c r="B51" i="1"/>
  <c r="M51" i="1"/>
  <c r="A51" i="1"/>
  <c r="J51" i="1"/>
  <c r="I51" i="1"/>
  <c r="F51" i="1"/>
  <c r="G52" i="1"/>
  <c r="K53" i="1"/>
  <c r="G53" i="1" l="1"/>
  <c r="K54" i="1"/>
  <c r="M52" i="1"/>
  <c r="A52" i="1"/>
  <c r="J52" i="1"/>
  <c r="I52" i="1"/>
  <c r="H52" i="1"/>
  <c r="D52" i="1"/>
  <c r="F52" i="1"/>
  <c r="E52" i="1"/>
  <c r="C52" i="1"/>
  <c r="O52" i="1"/>
  <c r="B52" i="1"/>
  <c r="N52" i="1"/>
  <c r="K55" i="1" l="1"/>
  <c r="G54" i="1"/>
  <c r="I53" i="1"/>
  <c r="H53" i="1"/>
  <c r="F53" i="1"/>
  <c r="E53" i="1"/>
  <c r="D53" i="1"/>
  <c r="O53" i="1"/>
  <c r="C53" i="1"/>
  <c r="N53" i="1"/>
  <c r="B53" i="1"/>
  <c r="M53" i="1"/>
  <c r="A53" i="1"/>
  <c r="J53" i="1"/>
  <c r="E54" i="1" l="1"/>
  <c r="D54" i="1"/>
  <c r="O54" i="1"/>
  <c r="C54" i="1"/>
  <c r="N54" i="1"/>
  <c r="B54" i="1"/>
  <c r="H54" i="1"/>
  <c r="M54" i="1"/>
  <c r="A54" i="1"/>
  <c r="J54" i="1"/>
  <c r="I54" i="1"/>
  <c r="F54" i="1"/>
  <c r="G55" i="1"/>
  <c r="K56" i="1"/>
  <c r="G56" i="1" l="1"/>
  <c r="K57" i="1"/>
  <c r="M55" i="1"/>
  <c r="A55" i="1"/>
  <c r="D55" i="1"/>
  <c r="J55" i="1"/>
  <c r="I55" i="1"/>
  <c r="H55" i="1"/>
  <c r="F55" i="1"/>
  <c r="E55" i="1"/>
  <c r="O55" i="1"/>
  <c r="N55" i="1"/>
  <c r="C55" i="1"/>
  <c r="B55" i="1"/>
  <c r="I56" i="1" l="1"/>
  <c r="H56" i="1"/>
  <c r="F56" i="1"/>
  <c r="E56" i="1"/>
  <c r="D56" i="1"/>
  <c r="O56" i="1"/>
  <c r="C56" i="1"/>
  <c r="N56" i="1"/>
  <c r="B56" i="1"/>
  <c r="M56" i="1"/>
  <c r="A56" i="1"/>
  <c r="J56" i="1"/>
  <c r="K58" i="1"/>
  <c r="G57" i="1"/>
  <c r="E57" i="1" l="1"/>
  <c r="D57" i="1"/>
  <c r="H57" i="1"/>
  <c r="O57" i="1"/>
  <c r="C57" i="1"/>
  <c r="N57" i="1"/>
  <c r="B57" i="1"/>
  <c r="M57" i="1"/>
  <c r="A57" i="1"/>
  <c r="J57" i="1"/>
  <c r="I57" i="1"/>
  <c r="F57" i="1"/>
  <c r="G58" i="1"/>
  <c r="K59" i="1"/>
  <c r="G59" i="1" l="1"/>
  <c r="K60" i="1"/>
  <c r="M58" i="1"/>
  <c r="A58" i="1"/>
  <c r="J58" i="1"/>
  <c r="I58" i="1"/>
  <c r="H58" i="1"/>
  <c r="D58" i="1"/>
  <c r="F58" i="1"/>
  <c r="E58" i="1"/>
  <c r="O58" i="1"/>
  <c r="N58" i="1"/>
  <c r="C58" i="1"/>
  <c r="B58" i="1"/>
  <c r="I59" i="1" l="1"/>
  <c r="H59" i="1"/>
  <c r="F59" i="1"/>
  <c r="E59" i="1"/>
  <c r="D59" i="1"/>
  <c r="O59" i="1"/>
  <c r="C59" i="1"/>
  <c r="N59" i="1"/>
  <c r="B59" i="1"/>
  <c r="M59" i="1"/>
  <c r="A59" i="1"/>
  <c r="J59" i="1"/>
  <c r="K61" i="1"/>
  <c r="G60" i="1"/>
  <c r="E60" i="1" l="1"/>
  <c r="D60" i="1"/>
  <c r="O60" i="1"/>
  <c r="C60" i="1"/>
  <c r="N60" i="1"/>
  <c r="B60" i="1"/>
  <c r="M60" i="1"/>
  <c r="A60" i="1"/>
  <c r="J60" i="1"/>
  <c r="H60" i="1"/>
  <c r="I60" i="1"/>
  <c r="F60" i="1"/>
  <c r="G61" i="1"/>
  <c r="K62" i="1"/>
  <c r="G62" i="1" l="1"/>
  <c r="K63" i="1"/>
  <c r="M61" i="1"/>
  <c r="A61" i="1"/>
  <c r="J61" i="1"/>
  <c r="I61" i="1"/>
  <c r="H61" i="1"/>
  <c r="F61" i="1"/>
  <c r="E61" i="1"/>
  <c r="D61" i="1"/>
  <c r="C61" i="1"/>
  <c r="O61" i="1"/>
  <c r="N61" i="1"/>
  <c r="B61" i="1"/>
  <c r="K64" i="1" l="1"/>
  <c r="G63" i="1"/>
  <c r="I62" i="1"/>
  <c r="H62" i="1"/>
  <c r="F62" i="1"/>
  <c r="E62" i="1"/>
  <c r="D62" i="1"/>
  <c r="O62" i="1"/>
  <c r="C62" i="1"/>
  <c r="N62" i="1"/>
  <c r="B62" i="1"/>
  <c r="M62" i="1"/>
  <c r="A62" i="1"/>
  <c r="J62" i="1"/>
  <c r="E63" i="1" l="1"/>
  <c r="D63" i="1"/>
  <c r="O63" i="1"/>
  <c r="C63" i="1"/>
  <c r="N63" i="1"/>
  <c r="B63" i="1"/>
  <c r="M63" i="1"/>
  <c r="A63" i="1"/>
  <c r="J63" i="1"/>
  <c r="I63" i="1"/>
  <c r="H63" i="1"/>
  <c r="F63" i="1"/>
  <c r="G64" i="1"/>
  <c r="K65" i="1"/>
  <c r="G65" i="1" l="1"/>
  <c r="K66" i="1"/>
  <c r="M64" i="1"/>
  <c r="A64" i="1"/>
  <c r="J64" i="1"/>
  <c r="I64" i="1"/>
  <c r="H64" i="1"/>
  <c r="F64" i="1"/>
  <c r="E64" i="1"/>
  <c r="D64" i="1"/>
  <c r="O64" i="1"/>
  <c r="N64" i="1"/>
  <c r="C64" i="1"/>
  <c r="B64" i="1"/>
  <c r="K67" i="1" l="1"/>
  <c r="G66" i="1"/>
  <c r="I65" i="1"/>
  <c r="H65" i="1"/>
  <c r="F65" i="1"/>
  <c r="E65" i="1"/>
  <c r="D65" i="1"/>
  <c r="O65" i="1"/>
  <c r="C65" i="1"/>
  <c r="N65" i="1"/>
  <c r="B65" i="1"/>
  <c r="M65" i="1"/>
  <c r="A65" i="1"/>
  <c r="J65" i="1"/>
  <c r="E66" i="1" l="1"/>
  <c r="D66" i="1"/>
  <c r="O66" i="1"/>
  <c r="C66" i="1"/>
  <c r="H66" i="1"/>
  <c r="N66" i="1"/>
  <c r="B66" i="1"/>
  <c r="M66" i="1"/>
  <c r="A66" i="1"/>
  <c r="J66" i="1"/>
  <c r="I66" i="1"/>
  <c r="F66" i="1"/>
  <c r="G67" i="1"/>
  <c r="K68" i="1"/>
  <c r="G68" i="1" l="1"/>
  <c r="K69" i="1"/>
  <c r="M67" i="1"/>
  <c r="A67" i="1"/>
  <c r="D67" i="1"/>
  <c r="J67" i="1"/>
  <c r="I67" i="1"/>
  <c r="H67" i="1"/>
  <c r="F67" i="1"/>
  <c r="E67" i="1"/>
  <c r="O67" i="1"/>
  <c r="N67" i="1"/>
  <c r="C67" i="1"/>
  <c r="B67" i="1"/>
  <c r="I68" i="1" l="1"/>
  <c r="H68" i="1"/>
  <c r="F68" i="1"/>
  <c r="E68" i="1"/>
  <c r="D68" i="1"/>
  <c r="O68" i="1"/>
  <c r="C68" i="1"/>
  <c r="N68" i="1"/>
  <c r="B68" i="1"/>
  <c r="M68" i="1"/>
  <c r="A68" i="1"/>
  <c r="J68" i="1"/>
  <c r="G69" i="1"/>
  <c r="E69" i="1" l="1"/>
  <c r="D69" i="1"/>
  <c r="O69" i="1"/>
  <c r="C69" i="1"/>
  <c r="N69" i="1"/>
  <c r="B69" i="1"/>
  <c r="M69" i="1"/>
  <c r="A69" i="1"/>
  <c r="H69" i="1"/>
  <c r="J69" i="1"/>
  <c r="I69" i="1"/>
  <c r="F69" i="1"/>
  <c r="A73" i="1" l="1"/>
  <c r="D73" i="1" s="1"/>
  <c r="A75" i="1"/>
  <c r="D75" i="1" s="1"/>
</calcChain>
</file>

<file path=xl/sharedStrings.xml><?xml version="1.0" encoding="utf-8"?>
<sst xmlns="http://schemas.openxmlformats.org/spreadsheetml/2006/main" count="119" uniqueCount="111">
  <si>
    <t>REQUEST FOR INSPECTION</t>
  </si>
  <si>
    <t xml:space="preserve"> YÊU CẦU KIỂM TRA</t>
  </si>
  <si>
    <t xml:space="preserve">RQ FINAL </t>
  </si>
  <si>
    <t>V-105</t>
  </si>
  <si>
    <r>
      <t>PROJECT/Công trình:</t>
    </r>
    <r>
      <rPr>
        <b/>
        <sz val="14"/>
        <color theme="1"/>
        <rFont val="Arial"/>
        <family val="2"/>
      </rPr>
      <t xml:space="preserve"> THIEN NGA – HAI AU PHASE 1 PROJECT BLOCK 12/11, OFFSHORE VIETNAM</t>
    </r>
  </si>
  <si>
    <t>Request No: 
Yêu cầu số:</t>
  </si>
  <si>
    <t>TNHA-JK-V-037</t>
  </si>
  <si>
    <t>V-108</t>
  </si>
  <si>
    <r>
      <t xml:space="preserve">ITEM/Hạng mục:  </t>
    </r>
    <r>
      <rPr>
        <b/>
        <sz val="14"/>
        <color theme="1"/>
        <rFont val="Arial"/>
        <family val="2"/>
      </rPr>
      <t>JACKET</t>
    </r>
    <r>
      <rPr>
        <sz val="14"/>
        <color theme="1"/>
        <rFont val="Arial"/>
        <family val="2"/>
      </rPr>
      <t xml:space="preserve">                </t>
    </r>
    <r>
      <rPr>
        <b/>
        <sz val="14"/>
        <color theme="1"/>
        <rFont val="Arial"/>
        <family val="2"/>
      </rPr>
      <t>Task No./NVXS: 452-25</t>
    </r>
  </si>
  <si>
    <t xml:space="preserve">REQUESTED BY/Đơn vị yêu cầu: </t>
  </si>
  <si>
    <t xml:space="preserve">Date Request: </t>
  </si>
  <si>
    <t>9h00</t>
  </si>
  <si>
    <t xml:space="preserve">                               QC  VSP </t>
  </si>
  <si>
    <t xml:space="preserve">Ngày yêu cầu:   </t>
  </si>
  <si>
    <t xml:space="preserve">TO/Gửi đến: </t>
  </si>
  <si>
    <t xml:space="preserve">Date Inspection: </t>
  </si>
  <si>
    <t>10h30</t>
  </si>
  <si>
    <t>HANA NDT / ZNEPV / CA</t>
  </si>
  <si>
    <t xml:space="preserve">Kiểm tra lúc:         </t>
  </si>
  <si>
    <t>INSPECTION REQUIRED/Dạng kiểm tra yêu cầu:</t>
  </si>
  <si>
    <t xml:space="preserve">       Fit Up          Final Visual</t>
  </si>
  <si>
    <t>MT</t>
  </si>
  <si>
    <t>PT</t>
  </si>
  <si>
    <t xml:space="preserve"> UT</t>
  </si>
  <si>
    <t xml:space="preserve">  RT                 </t>
  </si>
  <si>
    <t>Other</t>
  </si>
  <si>
    <t xml:space="preserve">               Mối ghép                  Ngoại dạng</t>
  </si>
  <si>
    <t>Bột từ</t>
  </si>
  <si>
    <t>Thẩm thấu</t>
  </si>
  <si>
    <t xml:space="preserve"> Siêu âm</t>
  </si>
  <si>
    <t xml:space="preserve">Chụp ảnh                 </t>
  </si>
  <si>
    <t>Khác</t>
  </si>
  <si>
    <t xml:space="preserve">phóng xạ  </t>
  </si>
  <si>
    <r>
      <t>Tick (</t>
    </r>
    <r>
      <rPr>
        <sz val="11"/>
        <color theme="1"/>
        <rFont val="Symbol"/>
        <family val="1"/>
        <charset val="2"/>
      </rPr>
      <t>Ö</t>
    </r>
    <r>
      <rPr>
        <sz val="11"/>
        <color theme="1"/>
        <rFont val="Arial"/>
        <family val="2"/>
      </rPr>
      <t xml:space="preserve"> ) as applicable/Đánh dấu vào ô cần thiết:</t>
    </r>
  </si>
  <si>
    <t>REQUIREMENTS/ Nội dung yêu cầu kiểm tra:</t>
  </si>
  <si>
    <t>NN
STT</t>
  </si>
  <si>
    <t>Drawing
Bản vẽ</t>
  </si>
  <si>
    <t>Weld No.
Số mối hàn</t>
  </si>
  <si>
    <t>Weld type</t>
  </si>
  <si>
    <t>Welder No.
Số thợ hàn</t>
  </si>
  <si>
    <t>WPS
Qui trình</t>
  </si>
  <si>
    <t>Weld Size (mm)
Kích thước (mm) (1)</t>
  </si>
  <si>
    <t>Inspection Required
Yêu cầu kiểm tra</t>
  </si>
  <si>
    <t xml:space="preserve">GOC code (2) </t>
  </si>
  <si>
    <t xml:space="preserve">Remarks 
Finish Date </t>
  </si>
  <si>
    <t>Note: Location: OCD Workshop 32</t>
  </si>
  <si>
    <t>f</t>
  </si>
  <si>
    <t>CONTACT POINT /LIEN HE: NGUYEN MINH TUAN 0917.616.315</t>
  </si>
  <si>
    <t xml:space="preserve">CONTACT POINT /LIEN HE: DINH VAN HIEU 0522.726.688 </t>
  </si>
  <si>
    <t xml:space="preserve">CONTACT POINT /LIEN HE: TRAN XUAN BACH  0942 561 729 </t>
  </si>
  <si>
    <r>
      <rPr>
        <b/>
        <i/>
        <u/>
        <sz val="16"/>
        <color rgb="FFFF0000"/>
        <rFont val="Arial"/>
        <family val="2"/>
      </rPr>
      <t>Note</t>
    </r>
    <r>
      <rPr>
        <b/>
        <i/>
        <sz val="16"/>
        <color rgb="FFFF0000"/>
        <rFont val="Arial"/>
        <family val="2"/>
      </rPr>
      <t>: NDT inspection is requested after 48 hours from the finish date (noted in the Remarks column)</t>
    </r>
  </si>
  <si>
    <r>
      <rPr>
        <u/>
        <sz val="12"/>
        <rFont val="Arial"/>
        <family val="2"/>
      </rPr>
      <t>REMARKS/Ghi chú</t>
    </r>
    <r>
      <rPr>
        <sz val="12"/>
        <rFont val="Arial"/>
        <family val="2"/>
      </rPr>
      <t xml:space="preserve">:   F= Fillet, SB= Single Bevel, DB=Double Bevel, SV=Single V, DV= Double V, LET, BW=Butt Weld, SW=Socket Weld.
(1): Ф x T - diameter x thickness/đường kính x chiều dày ; L x T - length x thickness/chiều dài x chiều dày
(2): GOC System code- Sub-System code </t>
    </r>
  </si>
  <si>
    <r>
      <t>Requested By /</t>
    </r>
    <r>
      <rPr>
        <sz val="11"/>
        <rFont val="Arial"/>
        <family val="2"/>
      </rPr>
      <t>Người yêu cầu:</t>
    </r>
  </si>
  <si>
    <r>
      <t xml:space="preserve">QC Inspector
</t>
    </r>
    <r>
      <rPr>
        <sz val="11"/>
        <rFont val="Arial"/>
        <family val="2"/>
      </rPr>
      <t>Kiểm tra</t>
    </r>
  </si>
  <si>
    <r>
      <t xml:space="preserve">NDT Technician
</t>
    </r>
    <r>
      <rPr>
        <sz val="11"/>
        <rFont val="Arial"/>
        <family val="2"/>
      </rPr>
      <t>Kỹ thuật viên NDT:</t>
    </r>
  </si>
  <si>
    <t>KIÊN</t>
  </si>
  <si>
    <t>NGHIEM TRUNG KIEN</t>
  </si>
  <si>
    <t>0918.041.964</t>
  </si>
  <si>
    <t>Name/H.Tên:</t>
  </si>
  <si>
    <t>TUÂN</t>
  </si>
  <si>
    <t>NGUYEN MINH TUAN</t>
  </si>
  <si>
    <t>0917.616.315</t>
  </si>
  <si>
    <t>NGUYEN THI KIM NGAN</t>
  </si>
  <si>
    <t>HIẾU</t>
  </si>
  <si>
    <t>TUYỀN</t>
  </si>
  <si>
    <t>VU DUC TUYEN</t>
  </si>
  <si>
    <t>0902380533</t>
  </si>
  <si>
    <t>Sig./Chữ ký:</t>
  </si>
  <si>
    <t>NGỌC</t>
  </si>
  <si>
    <t>NGUYEN ANH NGOC</t>
  </si>
  <si>
    <t>094.7914194</t>
  </si>
  <si>
    <t>VIỆT</t>
  </si>
  <si>
    <t>LUONG VAN VIET</t>
  </si>
  <si>
    <t>THÁI</t>
  </si>
  <si>
    <t>DINH QUANG THAI</t>
  </si>
  <si>
    <t>0982437217</t>
  </si>
  <si>
    <t>098.8074794</t>
  </si>
  <si>
    <t>HẰNG</t>
  </si>
  <si>
    <t>NGUYEN VAN HANG</t>
  </si>
  <si>
    <t>'0918 410 749</t>
  </si>
  <si>
    <t>LIÊM</t>
  </si>
  <si>
    <t>LE HOANG LIEM</t>
  </si>
  <si>
    <t>CONTACT POINT /LIEN HE: TRAN XUAN BACH 0942.561.729; FOREMAN SONG LINH DINH VAN HOA 0971 371 582</t>
  </si>
  <si>
    <t>L TUẤN</t>
  </si>
  <si>
    <t>LE ANH TUAN</t>
  </si>
  <si>
    <t>CHÍNH</t>
  </si>
  <si>
    <t>NGUYEN DUY CHINH</t>
  </si>
  <si>
    <t>0909301023</t>
  </si>
  <si>
    <t>THƯ</t>
  </si>
  <si>
    <t>LE THI ANH THU</t>
  </si>
  <si>
    <t>0335105481</t>
  </si>
  <si>
    <t>HOÀNG</t>
  </si>
  <si>
    <t>NGUYEN HOANG</t>
  </si>
  <si>
    <t>0931562210</t>
  </si>
  <si>
    <t>BẾN</t>
  </si>
  <si>
    <t>TRAN VAN BEN</t>
  </si>
  <si>
    <t>'0909209234</t>
  </si>
  <si>
    <t>THẢO</t>
  </si>
  <si>
    <t>VU MINH THAO</t>
  </si>
  <si>
    <t>0909583218</t>
  </si>
  <si>
    <t>HẠNH</t>
  </si>
  <si>
    <t>NGUYEN VAN HANH</t>
  </si>
  <si>
    <t>0367238998</t>
  </si>
  <si>
    <t>P TUẤN</t>
  </si>
  <si>
    <t>PHAM GIA ANH TUAN</t>
  </si>
  <si>
    <t>0329989555</t>
  </si>
  <si>
    <t>DINH VAN HIEU</t>
  </si>
  <si>
    <t xml:space="preserve">0522.726.688 </t>
  </si>
  <si>
    <t>NGUYỆT</t>
  </si>
  <si>
    <t>NGO DINH NGUYET</t>
  </si>
  <si>
    <t>0933 489 678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</si>
</sst>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d\-mmm\-yy;@"/>
  </numFmts>
  <fonts count="31">
    <font>
      <sz val="10"/>
      <name val="Arial"/>
      <charset val="134"/>
    </font>
    <font>
      <sz val="12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4"/>
      <color rgb="FFFF0000"/>
      <name val="Arial"/>
      <family val="2"/>
    </font>
    <font>
      <b/>
      <sz val="11"/>
      <name val="Arial"/>
      <family val="2"/>
    </font>
    <font>
      <sz val="11"/>
      <color theme="1"/>
      <name val="Symbol"/>
      <family val="1"/>
      <charset val="2"/>
    </font>
    <font>
      <sz val="12"/>
      <name val="Times New Roman"/>
      <family val="1"/>
    </font>
    <font>
      <sz val="14"/>
      <name val="Arial"/>
      <family val="2"/>
    </font>
    <font>
      <sz val="11"/>
      <name val="VNI-Times"/>
    </font>
    <font>
      <sz val="12"/>
      <name val="Calibri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i/>
      <u/>
      <sz val="16"/>
      <color rgb="FFFF0000"/>
      <name val="Arial"/>
      <family val="2"/>
    </font>
    <font>
      <u/>
      <sz val="12"/>
      <name val="Arial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>
      <alignment vertical="center"/>
    </xf>
    <xf numFmtId="0" fontId="9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2" fillId="0" borderId="0"/>
    <xf numFmtId="0" fontId="9" fillId="0" borderId="0"/>
    <xf numFmtId="0" fontId="20" fillId="0" borderId="0"/>
  </cellStyleXfs>
  <cellXfs count="187">
    <xf numFmtId="0" fontId="0" fillId="0" borderId="0" xfId="0"/>
    <xf numFmtId="0" fontId="3" fillId="0" borderId="0" xfId="1" applyFont="1" applyAlignment="1"/>
    <xf numFmtId="0" fontId="4" fillId="0" borderId="1" xfId="1" applyFont="1" applyBorder="1">
      <alignment vertical="center"/>
    </xf>
    <xf numFmtId="1" fontId="5" fillId="0" borderId="0" xfId="1" applyNumberFormat="1" applyFont="1" applyAlignment="1"/>
    <xf numFmtId="0" fontId="6" fillId="0" borderId="0" xfId="1" applyFont="1" applyAlignment="1"/>
    <xf numFmtId="0" fontId="3" fillId="0" borderId="0" xfId="1" applyFont="1" applyAlignment="1">
      <alignment horizontal="left"/>
    </xf>
    <xf numFmtId="0" fontId="5" fillId="0" borderId="0" xfId="1" applyFont="1" applyAlignment="1"/>
    <xf numFmtId="0" fontId="10" fillId="0" borderId="2" xfId="2" applyFont="1" applyBorder="1" applyAlignment="1">
      <alignment vertical="top" wrapText="1"/>
    </xf>
    <xf numFmtId="0" fontId="11" fillId="0" borderId="3" xfId="2" applyFont="1" applyBorder="1" applyAlignment="1">
      <alignment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9" fontId="12" fillId="0" borderId="2" xfId="3" applyFont="1" applyFill="1" applyBorder="1" applyAlignment="1">
      <alignment vertical="center" wrapText="1"/>
    </xf>
    <xf numFmtId="9" fontId="12" fillId="0" borderId="4" xfId="3" applyFont="1" applyFill="1" applyBorder="1" applyAlignment="1">
      <alignment vertical="center" wrapText="1"/>
    </xf>
    <xf numFmtId="9" fontId="12" fillId="0" borderId="3" xfId="3" applyFont="1" applyFill="1" applyBorder="1" applyAlignment="1">
      <alignment vertical="center" wrapText="1"/>
    </xf>
    <xf numFmtId="0" fontId="10" fillId="0" borderId="5" xfId="2" applyFont="1" applyBorder="1" applyAlignment="1">
      <alignment vertical="top" wrapText="1"/>
    </xf>
    <xf numFmtId="0" fontId="11" fillId="0" borderId="6" xfId="2" applyFont="1" applyBorder="1" applyAlignment="1">
      <alignment vertical="top" wrapText="1"/>
    </xf>
    <xf numFmtId="0" fontId="12" fillId="0" borderId="7" xfId="2" applyFont="1" applyBorder="1" applyAlignment="1">
      <alignment horizontal="center" vertical="top" wrapText="1"/>
    </xf>
    <xf numFmtId="0" fontId="12" fillId="0" borderId="6" xfId="2" applyFont="1" applyBorder="1" applyAlignment="1">
      <alignment horizontal="center" vertical="top" wrapText="1"/>
    </xf>
    <xf numFmtId="9" fontId="12" fillId="0" borderId="5" xfId="3" applyFont="1" applyFill="1" applyBorder="1" applyAlignment="1">
      <alignment vertical="center" wrapText="1"/>
    </xf>
    <xf numFmtId="9" fontId="12" fillId="0" borderId="7" xfId="3" applyFont="1" applyFill="1" applyBorder="1" applyAlignment="1">
      <alignment vertical="center" wrapText="1"/>
    </xf>
    <xf numFmtId="9" fontId="12" fillId="0" borderId="6" xfId="3" applyFont="1" applyFill="1" applyBorder="1" applyAlignment="1">
      <alignment vertical="center" wrapText="1"/>
    </xf>
    <xf numFmtId="0" fontId="13" fillId="0" borderId="8" xfId="2" applyFont="1" applyBorder="1" applyAlignment="1">
      <alignment horizontal="left" vertical="center" wrapText="1"/>
    </xf>
    <xf numFmtId="0" fontId="13" fillId="0" borderId="4" xfId="2" applyFont="1" applyBorder="1" applyAlignment="1">
      <alignment horizontal="left" vertical="center" wrapText="1"/>
    </xf>
    <xf numFmtId="0" fontId="13" fillId="0" borderId="9" xfId="2" applyFont="1" applyBorder="1" applyAlignment="1">
      <alignment horizontal="right" vertical="center" wrapText="1"/>
    </xf>
    <xf numFmtId="9" fontId="12" fillId="0" borderId="10" xfId="3" applyFont="1" applyFill="1" applyBorder="1" applyAlignment="1">
      <alignment horizontal="center" vertical="center" wrapText="1"/>
    </xf>
    <xf numFmtId="9" fontId="12" fillId="0" borderId="4" xfId="3" applyFont="1" applyFill="1" applyBorder="1" applyAlignment="1">
      <alignment horizontal="center" vertical="center" wrapText="1"/>
    </xf>
    <xf numFmtId="9" fontId="12" fillId="0" borderId="3" xfId="3" applyFont="1" applyFill="1" applyBorder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3" fillId="0" borderId="13" xfId="2" applyFont="1" applyBorder="1" applyAlignment="1">
      <alignment vertical="center" wrapText="1"/>
    </xf>
    <xf numFmtId="9" fontId="12" fillId="0" borderId="14" xfId="3" applyFont="1" applyFill="1" applyBorder="1" applyAlignment="1">
      <alignment horizontal="center" vertical="center" wrapText="1"/>
    </xf>
    <xf numFmtId="9" fontId="12" fillId="0" borderId="0" xfId="3" applyFont="1" applyFill="1" applyBorder="1" applyAlignment="1">
      <alignment horizontal="center" vertical="center" wrapText="1"/>
    </xf>
    <xf numFmtId="9" fontId="12" fillId="0" borderId="15" xfId="3" applyFont="1" applyFill="1" applyBorder="1" applyAlignment="1">
      <alignment horizontal="center" vertical="center" wrapText="1"/>
    </xf>
    <xf numFmtId="0" fontId="3" fillId="0" borderId="0" xfId="1" applyFont="1">
      <alignment vertical="center"/>
    </xf>
    <xf numFmtId="0" fontId="14" fillId="0" borderId="16" xfId="1" applyFont="1" applyBorder="1">
      <alignment vertical="center"/>
    </xf>
    <xf numFmtId="0" fontId="14" fillId="0" borderId="17" xfId="2" applyFont="1" applyBorder="1" applyAlignment="1">
      <alignment horizontal="left" vertical="center" wrapText="1"/>
    </xf>
    <xf numFmtId="0" fontId="15" fillId="0" borderId="17" xfId="2" applyFont="1" applyBorder="1" applyAlignment="1">
      <alignment horizontal="left" vertical="center" wrapText="1"/>
    </xf>
    <xf numFmtId="0" fontId="16" fillId="2" borderId="16" xfId="1" applyFont="1" applyFill="1" applyBorder="1" applyAlignment="1">
      <alignment horizontal="left" vertical="center"/>
    </xf>
    <xf numFmtId="0" fontId="8" fillId="2" borderId="15" xfId="1" applyFont="1" applyFill="1" applyBorder="1" applyAlignment="1">
      <alignment horizontal="right" vertical="center"/>
    </xf>
    <xf numFmtId="164" fontId="8" fillId="0" borderId="2" xfId="1" applyNumberFormat="1" applyFont="1" applyBorder="1" applyAlignment="1">
      <alignment horizontal="center" vertical="center"/>
    </xf>
    <xf numFmtId="164" fontId="8" fillId="0" borderId="18" xfId="1" applyNumberFormat="1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0" fontId="5" fillId="0" borderId="19" xfId="1" applyFont="1" applyBorder="1" applyAlignment="1">
      <alignment horizontal="left" vertical="center"/>
    </xf>
    <xf numFmtId="1" fontId="5" fillId="0" borderId="0" xfId="1" applyNumberFormat="1" applyFont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0" fontId="4" fillId="0" borderId="20" xfId="1" applyFont="1" applyBorder="1">
      <alignment vertical="center"/>
    </xf>
    <xf numFmtId="0" fontId="16" fillId="2" borderId="11" xfId="1" applyFont="1" applyFill="1" applyBorder="1" applyAlignment="1">
      <alignment horizontal="left" vertical="center"/>
    </xf>
    <xf numFmtId="0" fontId="8" fillId="2" borderId="21" xfId="1" applyFont="1" applyFill="1" applyBorder="1" applyAlignment="1">
      <alignment horizontal="right" vertical="center"/>
    </xf>
    <xf numFmtId="164" fontId="8" fillId="0" borderId="5" xfId="1" applyNumberFormat="1" applyFont="1" applyBorder="1" applyAlignment="1">
      <alignment horizontal="center" vertical="center"/>
    </xf>
    <xf numFmtId="164" fontId="8" fillId="0" borderId="7" xfId="1" applyNumberFormat="1" applyFont="1" applyBorder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/>
    </xf>
    <xf numFmtId="0" fontId="5" fillId="0" borderId="0" xfId="1" applyFont="1">
      <alignment vertical="center"/>
    </xf>
    <xf numFmtId="0" fontId="14" fillId="0" borderId="17" xfId="1" applyFont="1" applyBorder="1">
      <alignment vertical="center"/>
    </xf>
    <xf numFmtId="0" fontId="15" fillId="0" borderId="17" xfId="1" applyFont="1" applyBorder="1">
      <alignment vertical="center"/>
    </xf>
    <xf numFmtId="0" fontId="17" fillId="2" borderId="22" xfId="1" applyFont="1" applyFill="1" applyBorder="1" applyAlignment="1">
      <alignment horizontal="right" vertical="center"/>
    </xf>
    <xf numFmtId="164" fontId="17" fillId="0" borderId="2" xfId="1" applyNumberFormat="1" applyFont="1" applyBorder="1" applyAlignment="1">
      <alignment horizontal="center" vertical="center"/>
    </xf>
    <xf numFmtId="164" fontId="17" fillId="0" borderId="18" xfId="1" applyNumberFormat="1" applyFont="1" applyBorder="1" applyAlignment="1">
      <alignment horizontal="center" vertical="center"/>
    </xf>
    <xf numFmtId="164" fontId="17" fillId="0" borderId="3" xfId="1" applyNumberFormat="1" applyFont="1" applyBorder="1" applyAlignment="1">
      <alignment horizontal="center" vertical="center"/>
    </xf>
    <xf numFmtId="0" fontId="2" fillId="0" borderId="0" xfId="1" applyFont="1">
      <alignment vertical="center"/>
    </xf>
    <xf numFmtId="0" fontId="15" fillId="0" borderId="23" xfId="2" applyFont="1" applyBorder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18" fillId="0" borderId="0" xfId="2" applyFont="1" applyAlignment="1">
      <alignment horizontal="left" vertical="top" wrapText="1"/>
    </xf>
    <xf numFmtId="0" fontId="18" fillId="0" borderId="24" xfId="2" applyFont="1" applyBorder="1" applyAlignment="1">
      <alignment horizontal="left" vertical="top" wrapText="1"/>
    </xf>
    <xf numFmtId="0" fontId="16" fillId="2" borderId="23" xfId="1" applyFont="1" applyFill="1" applyBorder="1">
      <alignment vertical="center"/>
    </xf>
    <xf numFmtId="0" fontId="17" fillId="2" borderId="15" xfId="1" applyFont="1" applyFill="1" applyBorder="1" applyAlignment="1">
      <alignment horizontal="right" vertical="center"/>
    </xf>
    <xf numFmtId="164" fontId="17" fillId="0" borderId="14" xfId="1" applyNumberFormat="1" applyFont="1" applyBorder="1" applyAlignment="1">
      <alignment horizontal="center" vertical="center"/>
    </xf>
    <xf numFmtId="164" fontId="17" fillId="0" borderId="0" xfId="1" applyNumberFormat="1" applyFont="1" applyAlignment="1">
      <alignment horizontal="center" vertical="center"/>
    </xf>
    <xf numFmtId="164" fontId="17" fillId="0" borderId="15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5" fillId="0" borderId="18" xfId="2" applyFont="1" applyBorder="1" applyAlignment="1">
      <alignment horizontal="left" vertical="center" wrapText="1"/>
    </xf>
    <xf numFmtId="0" fontId="5" fillId="0" borderId="18" xfId="2" applyFont="1" applyBorder="1" applyAlignment="1">
      <alignment horizontal="left" vertical="top" wrapText="1"/>
    </xf>
    <xf numFmtId="0" fontId="15" fillId="0" borderId="18" xfId="2" applyFont="1" applyBorder="1" applyAlignment="1">
      <alignment horizontal="left" vertical="top" wrapText="1"/>
    </xf>
    <xf numFmtId="0" fontId="5" fillId="0" borderId="18" xfId="1" applyFont="1" applyBorder="1" applyAlignment="1"/>
    <xf numFmtId="0" fontId="5" fillId="0" borderId="3" xfId="1" applyFont="1" applyBorder="1" applyAlignment="1"/>
    <xf numFmtId="0" fontId="7" fillId="0" borderId="1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10" fillId="0" borderId="15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5" fillId="0" borderId="14" xfId="1" applyFont="1" applyBorder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5" xfId="1" applyFont="1" applyBorder="1">
      <alignment vertical="center"/>
    </xf>
    <xf numFmtId="0" fontId="5" fillId="0" borderId="7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top" wrapText="1"/>
    </xf>
    <xf numFmtId="0" fontId="18" fillId="0" borderId="7" xfId="2" applyFont="1" applyBorder="1" applyAlignment="1">
      <alignment horizontal="left" vertical="top" wrapText="1"/>
    </xf>
    <xf numFmtId="0" fontId="5" fillId="0" borderId="7" xfId="1" applyFont="1" applyBorder="1" applyAlignment="1"/>
    <xf numFmtId="0" fontId="5" fillId="0" borderId="6" xfId="1" applyFont="1" applyBorder="1" applyAlignment="1"/>
    <xf numFmtId="0" fontId="5" fillId="0" borderId="25" xfId="1" applyFont="1" applyBorder="1" applyAlignment="1"/>
    <xf numFmtId="0" fontId="5" fillId="0" borderId="26" xfId="1" applyFont="1" applyBorder="1" applyAlignment="1"/>
    <xf numFmtId="0" fontId="5" fillId="0" borderId="27" xfId="1" applyFont="1" applyBorder="1" applyAlignment="1"/>
    <xf numFmtId="0" fontId="5" fillId="0" borderId="9" xfId="1" applyFont="1" applyBorder="1" applyAlignment="1"/>
    <xf numFmtId="0" fontId="10" fillId="0" borderId="28" xfId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10" fillId="0" borderId="30" xfId="1" applyFont="1" applyBorder="1" applyAlignment="1">
      <alignment horizontal="center" vertical="center" wrapText="1"/>
    </xf>
    <xf numFmtId="0" fontId="18" fillId="0" borderId="28" xfId="1" applyFont="1" applyBorder="1" applyAlignment="1">
      <alignment horizontal="center" vertical="center" wrapText="1"/>
    </xf>
    <xf numFmtId="0" fontId="10" fillId="0" borderId="28" xfId="2" applyFont="1" applyBorder="1" applyAlignment="1">
      <alignment horizontal="center" vertical="center" wrapText="1"/>
    </xf>
    <xf numFmtId="0" fontId="10" fillId="0" borderId="31" xfId="2" applyFont="1" applyBorder="1" applyAlignment="1">
      <alignment horizontal="center" vertical="center" wrapText="1"/>
    </xf>
    <xf numFmtId="0" fontId="10" fillId="0" borderId="32" xfId="2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/>
    </xf>
    <xf numFmtId="1" fontId="10" fillId="0" borderId="19" xfId="1" applyNumberFormat="1" applyFont="1" applyBorder="1" applyAlignment="1">
      <alignment horizontal="center" vertical="center"/>
    </xf>
    <xf numFmtId="0" fontId="3" fillId="0" borderId="19" xfId="1" applyFont="1" applyBorder="1" applyAlignment="1"/>
    <xf numFmtId="0" fontId="21" fillId="0" borderId="19" xfId="1" applyFont="1" applyBorder="1" applyAlignment="1">
      <alignment horizontal="center" vertical="center"/>
    </xf>
    <xf numFmtId="165" fontId="21" fillId="0" borderId="19" xfId="4" applyNumberFormat="1" applyFont="1" applyBorder="1" applyAlignment="1">
      <alignment horizontal="left" vertical="center" wrapText="1"/>
    </xf>
    <xf numFmtId="0" fontId="4" fillId="0" borderId="19" xfId="4" quotePrefix="1" applyFont="1" applyBorder="1" applyAlignment="1">
      <alignment horizontal="center" vertical="center" wrapText="1"/>
    </xf>
    <xf numFmtId="1" fontId="21" fillId="0" borderId="19" xfId="4" quotePrefix="1" applyNumberFormat="1" applyFont="1" applyBorder="1" applyAlignment="1">
      <alignment horizontal="center" vertical="center"/>
    </xf>
    <xf numFmtId="0" fontId="21" fillId="0" borderId="19" xfId="4" applyFont="1" applyBorder="1" applyAlignment="1">
      <alignment horizontal="center" vertical="center" wrapText="1"/>
    </xf>
    <xf numFmtId="165" fontId="21" fillId="0" borderId="19" xfId="4" applyNumberFormat="1" applyFont="1" applyBorder="1" applyAlignment="1">
      <alignment horizontal="center" vertical="center"/>
    </xf>
    <xf numFmtId="165" fontId="8" fillId="0" borderId="19" xfId="4" applyNumberFormat="1" applyFont="1" applyBorder="1" applyAlignment="1">
      <alignment horizontal="center" vertical="center" wrapText="1"/>
    </xf>
    <xf numFmtId="165" fontId="4" fillId="0" borderId="19" xfId="4" applyNumberFormat="1" applyFont="1" applyBorder="1" applyAlignment="1">
      <alignment horizontal="center" vertical="center" wrapText="1"/>
    </xf>
    <xf numFmtId="165" fontId="21" fillId="0" borderId="19" xfId="4" applyNumberFormat="1" applyFont="1" applyBorder="1" applyAlignment="1">
      <alignment horizontal="center" vertical="center" wrapText="1"/>
    </xf>
    <xf numFmtId="0" fontId="15" fillId="0" borderId="19" xfId="5" applyFont="1" applyBorder="1" applyAlignment="1">
      <alignment horizontal="center" vertical="center"/>
    </xf>
    <xf numFmtId="0" fontId="14" fillId="0" borderId="19" xfId="4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23" fillId="0" borderId="19" xfId="1" applyFont="1" applyBorder="1" applyAlignment="1">
      <alignment horizontal="center" vertical="center"/>
    </xf>
    <xf numFmtId="0" fontId="23" fillId="2" borderId="19" xfId="1" applyFont="1" applyFill="1" applyBorder="1" applyAlignment="1">
      <alignment horizontal="center" vertical="center"/>
    </xf>
    <xf numFmtId="0" fontId="23" fillId="2" borderId="0" xfId="1" applyFont="1" applyFill="1">
      <alignment vertical="center"/>
    </xf>
    <xf numFmtId="165" fontId="24" fillId="0" borderId="1" xfId="4" applyNumberFormat="1" applyFont="1" applyBorder="1" applyAlignment="1">
      <alignment horizontal="left" vertical="center" wrapText="1"/>
    </xf>
    <xf numFmtId="165" fontId="24" fillId="0" borderId="34" xfId="4" applyNumberFormat="1" applyFont="1" applyBorder="1" applyAlignment="1">
      <alignment horizontal="left" vertical="center" wrapText="1"/>
    </xf>
    <xf numFmtId="165" fontId="24" fillId="0" borderId="33" xfId="4" applyNumberFormat="1" applyFont="1" applyBorder="1" applyAlignment="1">
      <alignment horizontal="left" vertical="center" wrapText="1"/>
    </xf>
    <xf numFmtId="165" fontId="17" fillId="0" borderId="19" xfId="4" applyNumberFormat="1" applyFont="1" applyBorder="1" applyAlignment="1">
      <alignment horizontal="center" vertical="center" wrapText="1"/>
    </xf>
    <xf numFmtId="165" fontId="25" fillId="0" borderId="1" xfId="4" applyNumberFormat="1" applyFont="1" applyBorder="1" applyAlignment="1">
      <alignment horizontal="left" vertical="center" wrapText="1"/>
    </xf>
    <xf numFmtId="165" fontId="25" fillId="0" borderId="34" xfId="4" applyNumberFormat="1" applyFont="1" applyBorder="1" applyAlignment="1">
      <alignment horizontal="left" vertical="center" wrapText="1"/>
    </xf>
    <xf numFmtId="165" fontId="25" fillId="0" borderId="33" xfId="4" applyNumberFormat="1" applyFont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 wrapText="1"/>
    </xf>
    <xf numFmtId="0" fontId="14" fillId="0" borderId="34" xfId="1" applyFont="1" applyBorder="1" applyAlignment="1">
      <alignment horizontal="left" vertical="center"/>
    </xf>
    <xf numFmtId="0" fontId="14" fillId="0" borderId="33" xfId="1" applyFont="1" applyBorder="1" applyAlignment="1">
      <alignment horizontal="left" vertical="center"/>
    </xf>
    <xf numFmtId="0" fontId="23" fillId="0" borderId="35" xfId="1" applyFont="1" applyBorder="1" applyAlignment="1">
      <alignment horizontal="center" vertical="center"/>
    </xf>
    <xf numFmtId="0" fontId="23" fillId="2" borderId="35" xfId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 wrapText="1"/>
    </xf>
    <xf numFmtId="0" fontId="18" fillId="0" borderId="3" xfId="1" applyFont="1" applyBorder="1" applyAlignment="1">
      <alignment vertical="center" wrapText="1"/>
    </xf>
    <xf numFmtId="0" fontId="18" fillId="0" borderId="2" xfId="1" applyFont="1" applyBorder="1">
      <alignment vertical="center"/>
    </xf>
    <xf numFmtId="0" fontId="18" fillId="0" borderId="18" xfId="1" applyFont="1" applyBorder="1" applyAlignment="1">
      <alignment vertical="center" wrapText="1"/>
    </xf>
    <xf numFmtId="0" fontId="18" fillId="0" borderId="18" xfId="1" applyFont="1" applyBorder="1" applyAlignment="1">
      <alignment vertical="top" wrapText="1"/>
    </xf>
    <xf numFmtId="0" fontId="18" fillId="0" borderId="18" xfId="1" applyFont="1" applyBorder="1" applyAlignment="1">
      <alignment vertical="top" wrapText="1"/>
    </xf>
    <xf numFmtId="0" fontId="18" fillId="0" borderId="3" xfId="1" applyFont="1" applyBorder="1" applyAlignment="1">
      <alignment vertical="top" wrapText="1"/>
    </xf>
    <xf numFmtId="0" fontId="15" fillId="0" borderId="0" xfId="1" applyFont="1" applyAlignment="1"/>
    <xf numFmtId="1" fontId="15" fillId="0" borderId="0" xfId="1" applyNumberFormat="1" applyFont="1" applyAlignment="1"/>
    <xf numFmtId="0" fontId="28" fillId="0" borderId="19" xfId="1" applyFont="1" applyBorder="1" applyAlignment="1">
      <alignment horizontal="left"/>
    </xf>
    <xf numFmtId="0" fontId="23" fillId="2" borderId="19" xfId="1" applyFont="1" applyFill="1" applyBorder="1" applyAlignment="1">
      <alignment horizontal="left"/>
    </xf>
    <xf numFmtId="0" fontId="20" fillId="0" borderId="19" xfId="6" quotePrefix="1" applyFont="1" applyBorder="1" applyAlignment="1">
      <alignment horizontal="center" vertical="center"/>
    </xf>
    <xf numFmtId="0" fontId="6" fillId="2" borderId="0" xfId="1" applyFont="1" applyFill="1" applyAlignment="1"/>
    <xf numFmtId="0" fontId="15" fillId="0" borderId="36" xfId="1" applyFont="1" applyBorder="1">
      <alignment vertical="center"/>
    </xf>
    <xf numFmtId="0" fontId="15" fillId="0" borderId="0" xfId="1" applyFont="1">
      <alignment vertical="center"/>
    </xf>
    <xf numFmtId="0" fontId="15" fillId="0" borderId="15" xfId="1" applyFont="1" applyBorder="1">
      <alignment vertical="center"/>
    </xf>
    <xf numFmtId="0" fontId="15" fillId="0" borderId="36" xfId="1" applyFont="1" applyBorder="1">
      <alignment vertical="center"/>
    </xf>
    <xf numFmtId="0" fontId="15" fillId="0" borderId="0" xfId="1" applyFont="1">
      <alignment vertical="center"/>
    </xf>
    <xf numFmtId="0" fontId="4" fillId="2" borderId="36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5" xfId="1" applyFont="1" applyFill="1" applyBorder="1">
      <alignment vertical="center"/>
    </xf>
    <xf numFmtId="0" fontId="4" fillId="2" borderId="15" xfId="1" applyFont="1" applyFill="1" applyBorder="1" applyAlignment="1">
      <alignment horizontal="center" vertical="center"/>
    </xf>
    <xf numFmtId="0" fontId="20" fillId="0" borderId="19" xfId="7" quotePrefix="1" applyBorder="1" applyAlignment="1">
      <alignment horizontal="center" vertical="center"/>
    </xf>
    <xf numFmtId="0" fontId="9" fillId="2" borderId="36" xfId="1" applyFont="1" applyFill="1" applyBorder="1">
      <alignment vertical="center"/>
    </xf>
    <xf numFmtId="0" fontId="9" fillId="2" borderId="0" xfId="1" applyFont="1" applyFill="1">
      <alignment vertical="center"/>
    </xf>
    <xf numFmtId="0" fontId="9" fillId="2" borderId="15" xfId="1" applyFont="1" applyFill="1" applyBorder="1">
      <alignment vertical="center"/>
    </xf>
    <xf numFmtId="0" fontId="9" fillId="2" borderId="36" xfId="1" applyFont="1" applyFill="1" applyBorder="1">
      <alignment vertical="center"/>
    </xf>
    <xf numFmtId="0" fontId="9" fillId="2" borderId="0" xfId="1" applyFont="1" applyFill="1">
      <alignment vertical="center"/>
    </xf>
    <xf numFmtId="0" fontId="21" fillId="2" borderId="36" xfId="1" applyFont="1" applyFill="1" applyBorder="1">
      <alignment vertical="center"/>
    </xf>
    <xf numFmtId="0" fontId="21" fillId="2" borderId="0" xfId="1" applyFont="1" applyFill="1">
      <alignment vertical="center"/>
    </xf>
    <xf numFmtId="0" fontId="21" fillId="2" borderId="15" xfId="1" applyFont="1" applyFill="1" applyBorder="1">
      <alignment vertical="center"/>
    </xf>
    <xf numFmtId="0" fontId="20" fillId="0" borderId="19" xfId="0" applyFont="1" applyBorder="1" applyAlignment="1">
      <alignment horizontal="center" vertical="center"/>
    </xf>
    <xf numFmtId="0" fontId="23" fillId="0" borderId="0" xfId="1" applyFont="1" applyAlignment="1"/>
    <xf numFmtId="0" fontId="14" fillId="2" borderId="5" xfId="1" applyFont="1" applyFill="1" applyBorder="1">
      <alignment vertical="center"/>
    </xf>
    <xf numFmtId="0" fontId="14" fillId="2" borderId="7" xfId="1" applyFont="1" applyFill="1" applyBorder="1">
      <alignment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left" vertical="center"/>
    </xf>
    <xf numFmtId="0" fontId="14" fillId="2" borderId="7" xfId="1" applyFont="1" applyFill="1" applyBorder="1">
      <alignment vertical="center"/>
    </xf>
    <xf numFmtId="0" fontId="14" fillId="2" borderId="6" xfId="1" applyFont="1" applyFill="1" applyBorder="1">
      <alignment vertical="center"/>
    </xf>
    <xf numFmtId="0" fontId="14" fillId="0" borderId="0" xfId="1" applyFont="1">
      <alignment vertical="center"/>
    </xf>
    <xf numFmtId="0" fontId="14" fillId="0" borderId="0" xfId="1" applyFont="1">
      <alignment vertical="center"/>
    </xf>
    <xf numFmtId="0" fontId="14" fillId="0" borderId="15" xfId="1" applyFont="1" applyBorder="1">
      <alignment vertical="center"/>
    </xf>
    <xf numFmtId="1" fontId="0" fillId="0" borderId="0" xfId="1" applyNumberFormat="1" applyFont="1" applyAlignment="1"/>
    <xf numFmtId="0" fontId="23" fillId="0" borderId="19" xfId="1" applyFont="1" applyBorder="1" applyAlignment="1">
      <alignment horizontal="left"/>
    </xf>
    <xf numFmtId="0" fontId="29" fillId="0" borderId="19" xfId="1" applyFont="1" applyBorder="1" applyAlignment="1">
      <alignment horizontal="left"/>
    </xf>
    <xf numFmtId="0" fontId="30" fillId="0" borderId="19" xfId="1" applyFont="1" applyBorder="1" applyAlignment="1">
      <alignment horizontal="left"/>
    </xf>
    <xf numFmtId="0" fontId="30" fillId="0" borderId="19" xfId="1" applyFont="1" applyBorder="1" applyAlignment="1"/>
    <xf numFmtId="49" fontId="20" fillId="0" borderId="19" xfId="7" applyNumberFormat="1" applyBorder="1" applyAlignment="1">
      <alignment horizontal="center" vertical="center"/>
    </xf>
    <xf numFmtId="0" fontId="30" fillId="0" borderId="19" xfId="1" quotePrefix="1" applyFont="1" applyBorder="1" applyAlignment="1"/>
    <xf numFmtId="0" fontId="30" fillId="0" borderId="0" xfId="1" applyFont="1" applyAlignment="1"/>
  </cellXfs>
  <cellStyles count="8">
    <cellStyle name="Normal" xfId="0" builtinId="0"/>
    <cellStyle name="Normal 102" xfId="1" xr:uid="{78D77F67-C246-4AB5-934F-06E6C986459A}"/>
    <cellStyle name="Normal 15" xfId="7" xr:uid="{2718907F-6570-4F97-BB07-BFFCC042FF07}"/>
    <cellStyle name="Normal 2 10 2" xfId="6" xr:uid="{5F69934A-293D-4584-B574-E0CE9842E81A}"/>
    <cellStyle name="Normal 2 3 3" xfId="4" xr:uid="{AD581655-5050-4F27-8EEA-97AA435A648A}"/>
    <cellStyle name="Normal 3 2" xfId="5" xr:uid="{49A087D8-4C2B-4B8E-96BA-38B6CAB7EFEB}"/>
    <cellStyle name="Normal_Sheet1 3 2" xfId="2" xr:uid="{F2380B60-5E38-42DF-B75D-819AC43B5C35}"/>
    <cellStyle name="Percent 2 2" xfId="3" xr:uid="{48915FC3-DBF3-4BCB-9435-1442160CC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275677</xdr:colOff>
      <xdr:row>0</xdr:row>
      <xdr:rowOff>126987</xdr:rowOff>
    </xdr:from>
    <xdr:to>
      <xdr:col>1</xdr:col>
      <xdr:colOff>1789547</xdr:colOff>
      <xdr:row>1</xdr:row>
      <xdr:rowOff>432954</xdr:rowOff>
    </xdr:to>
    <xdr:pic>
      <xdr:nvPicPr>
        <xdr:cNvPr id="2" name="Picture 7954">
          <a:extLst>
            <a:ext uri="{FF2B5EF4-FFF2-40B4-BE49-F238E27FC236}">
              <a16:creationId xmlns:a16="http://schemas.microsoft.com/office/drawing/2014/main" id="{B56CEC88-0597-43E8-A534-0D5D5790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41537" y="1228077"/>
          <a:ext cx="1513870" cy="1029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336260</xdr:colOff>
      <xdr:row>11</xdr:row>
      <xdr:rowOff>230910</xdr:rowOff>
    </xdr:from>
    <xdr:to>
      <xdr:col>4</xdr:col>
      <xdr:colOff>591704</xdr:colOff>
      <xdr:row>13</xdr:row>
      <xdr:rowOff>14433</xdr:rowOff>
    </xdr:to>
    <xdr:sp macro="" textlink="">
      <xdr:nvSpPr>
        <xdr:cNvPr id="3" name="Rectangle 7767">
          <a:extLst>
            <a:ext uri="{FF2B5EF4-FFF2-40B4-BE49-F238E27FC236}">
              <a16:creationId xmlns:a16="http://schemas.microsoft.com/office/drawing/2014/main" id="{48951C5F-4019-4B05-9160-C06F83E52B7E}"/>
            </a:ext>
          </a:extLst>
        </xdr:cNvPr>
        <xdr:cNvSpPr>
          <a:spLocks noChangeArrowheads="1"/>
        </xdr:cNvSpPr>
      </xdr:nvSpPr>
      <xdr:spPr>
        <a:xfrm>
          <a:off x="4904450" y="5412510"/>
          <a:ext cx="255444" cy="25596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317500</xdr:colOff>
      <xdr:row>12</xdr:row>
      <xdr:rowOff>0</xdr:rowOff>
    </xdr:from>
    <xdr:to>
      <xdr:col>1</xdr:col>
      <xdr:colOff>555625</xdr:colOff>
      <xdr:row>12</xdr:row>
      <xdr:rowOff>214312</xdr:rowOff>
    </xdr:to>
    <xdr:sp macro="" textlink="">
      <xdr:nvSpPr>
        <xdr:cNvPr id="4" name="Rectangle 7767">
          <a:extLst>
            <a:ext uri="{FF2B5EF4-FFF2-40B4-BE49-F238E27FC236}">
              <a16:creationId xmlns:a16="http://schemas.microsoft.com/office/drawing/2014/main" id="{259C111B-E3D6-4527-AF3C-8D90B9B847FB}"/>
            </a:ext>
          </a:extLst>
        </xdr:cNvPr>
        <xdr:cNvSpPr>
          <a:spLocks noChangeArrowheads="1"/>
        </xdr:cNvSpPr>
      </xdr:nvSpPr>
      <xdr:spPr>
        <a:xfrm>
          <a:off x="1483360" y="5417820"/>
          <a:ext cx="238125" cy="2143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92869</xdr:colOff>
      <xdr:row>12</xdr:row>
      <xdr:rowOff>33337</xdr:rowOff>
    </xdr:from>
    <xdr:to>
      <xdr:col>6</xdr:col>
      <xdr:colOff>330994</xdr:colOff>
      <xdr:row>13</xdr:row>
      <xdr:rowOff>0</xdr:rowOff>
    </xdr:to>
    <xdr:sp macro="" textlink="">
      <xdr:nvSpPr>
        <xdr:cNvPr id="5" name="Rectangle 7767">
          <a:extLst>
            <a:ext uri="{FF2B5EF4-FFF2-40B4-BE49-F238E27FC236}">
              <a16:creationId xmlns:a16="http://schemas.microsoft.com/office/drawing/2014/main" id="{978C3696-9F90-4D12-84C3-B85F7EB059EE}"/>
            </a:ext>
          </a:extLst>
        </xdr:cNvPr>
        <xdr:cNvSpPr>
          <a:spLocks noChangeArrowheads="1"/>
        </xdr:cNvSpPr>
      </xdr:nvSpPr>
      <xdr:spPr>
        <a:xfrm>
          <a:off x="8040529" y="5451157"/>
          <a:ext cx="238125" cy="2028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102394</xdr:colOff>
      <xdr:row>12</xdr:row>
      <xdr:rowOff>30956</xdr:rowOff>
    </xdr:from>
    <xdr:to>
      <xdr:col>7</xdr:col>
      <xdr:colOff>340519</xdr:colOff>
      <xdr:row>13</xdr:row>
      <xdr:rowOff>0</xdr:rowOff>
    </xdr:to>
    <xdr:sp macro="" textlink="">
      <xdr:nvSpPr>
        <xdr:cNvPr id="6" name="Rectangle 7767">
          <a:extLst>
            <a:ext uri="{FF2B5EF4-FFF2-40B4-BE49-F238E27FC236}">
              <a16:creationId xmlns:a16="http://schemas.microsoft.com/office/drawing/2014/main" id="{A8A96CDE-BD8B-40F4-8428-2612259DA450}"/>
            </a:ext>
          </a:extLst>
        </xdr:cNvPr>
        <xdr:cNvSpPr>
          <a:spLocks noChangeArrowheads="1"/>
        </xdr:cNvSpPr>
      </xdr:nvSpPr>
      <xdr:spPr>
        <a:xfrm>
          <a:off x="9147334" y="5448776"/>
          <a:ext cx="238125" cy="2052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73314</xdr:colOff>
      <xdr:row>11</xdr:row>
      <xdr:rowOff>230910</xdr:rowOff>
    </xdr:from>
    <xdr:to>
      <xdr:col>9</xdr:col>
      <xdr:colOff>317499</xdr:colOff>
      <xdr:row>12</xdr:row>
      <xdr:rowOff>230909</xdr:rowOff>
    </xdr:to>
    <xdr:sp macro="" textlink="">
      <xdr:nvSpPr>
        <xdr:cNvPr id="7" name="Rectangle 7767">
          <a:extLst>
            <a:ext uri="{FF2B5EF4-FFF2-40B4-BE49-F238E27FC236}">
              <a16:creationId xmlns:a16="http://schemas.microsoft.com/office/drawing/2014/main" id="{C8C67BAB-8488-4851-B3E4-801FF44C408C}"/>
            </a:ext>
          </a:extLst>
        </xdr:cNvPr>
        <xdr:cNvSpPr>
          <a:spLocks noChangeArrowheads="1"/>
        </xdr:cNvSpPr>
      </xdr:nvSpPr>
      <xdr:spPr>
        <a:xfrm>
          <a:off x="10992774" y="5412510"/>
          <a:ext cx="244185" cy="2362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128587</xdr:colOff>
      <xdr:row>12</xdr:row>
      <xdr:rowOff>9525</xdr:rowOff>
    </xdr:from>
    <xdr:to>
      <xdr:col>5</xdr:col>
      <xdr:colOff>366712</xdr:colOff>
      <xdr:row>12</xdr:row>
      <xdr:rowOff>223837</xdr:rowOff>
    </xdr:to>
    <xdr:sp macro="" textlink="">
      <xdr:nvSpPr>
        <xdr:cNvPr id="8" name="Rectangle 7767">
          <a:extLst>
            <a:ext uri="{FF2B5EF4-FFF2-40B4-BE49-F238E27FC236}">
              <a16:creationId xmlns:a16="http://schemas.microsoft.com/office/drawing/2014/main" id="{42CD8478-000D-4DF7-BA1A-9BDA67B833F3}"/>
            </a:ext>
          </a:extLst>
        </xdr:cNvPr>
        <xdr:cNvSpPr>
          <a:spLocks noChangeArrowheads="1"/>
        </xdr:cNvSpPr>
      </xdr:nvSpPr>
      <xdr:spPr>
        <a:xfrm>
          <a:off x="6666547" y="5427345"/>
          <a:ext cx="238125" cy="2143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1507331</xdr:colOff>
      <xdr:row>11</xdr:row>
      <xdr:rowOff>209550</xdr:rowOff>
    </xdr:from>
    <xdr:to>
      <xdr:col>1</xdr:col>
      <xdr:colOff>1745456</xdr:colOff>
      <xdr:row>12</xdr:row>
      <xdr:rowOff>185737</xdr:rowOff>
    </xdr:to>
    <xdr:sp macro="" textlink="">
      <xdr:nvSpPr>
        <xdr:cNvPr id="9" name="Rectangle 7767">
          <a:extLst>
            <a:ext uri="{FF2B5EF4-FFF2-40B4-BE49-F238E27FC236}">
              <a16:creationId xmlns:a16="http://schemas.microsoft.com/office/drawing/2014/main" id="{A58D36A0-2CD8-4999-B4BC-2349CF62ADB2}"/>
            </a:ext>
          </a:extLst>
        </xdr:cNvPr>
        <xdr:cNvSpPr>
          <a:spLocks noChangeArrowheads="1"/>
        </xdr:cNvSpPr>
      </xdr:nvSpPr>
      <xdr:spPr>
        <a:xfrm>
          <a:off x="2673191" y="5391150"/>
          <a:ext cx="238125" cy="2124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135231</xdr:colOff>
      <xdr:row>11</xdr:row>
      <xdr:rowOff>242376</xdr:rowOff>
    </xdr:from>
    <xdr:to>
      <xdr:col>6</xdr:col>
      <xdr:colOff>390819</xdr:colOff>
      <xdr:row>12</xdr:row>
      <xdr:rowOff>241362</xdr:rowOff>
    </xdr:to>
    <xdr:sp macro="" textlink="">
      <xdr:nvSpPr>
        <xdr:cNvPr id="10" name="Freeform 185">
          <a:extLst>
            <a:ext uri="{FF2B5EF4-FFF2-40B4-BE49-F238E27FC236}">
              <a16:creationId xmlns:a16="http://schemas.microsoft.com/office/drawing/2014/main" id="{6CB686BF-7961-4702-803C-EB232C00B6D3}"/>
            </a:ext>
          </a:extLst>
        </xdr:cNvPr>
        <xdr:cNvSpPr/>
      </xdr:nvSpPr>
      <xdr:spPr>
        <a:xfrm>
          <a:off x="8082891" y="5416356"/>
          <a:ext cx="255588" cy="239016"/>
        </a:xfrm>
        <a:custGeom>
          <a:avLst/>
          <a:gdLst>
            <a:gd name="T0" fmla="*/ 0 w 209550"/>
            <a:gd name="T1" fmla="*/ 67369 h 277259"/>
            <a:gd name="T2" fmla="*/ 85725 w 209550"/>
            <a:gd name="T3" fmla="*/ 244226 h 277259"/>
            <a:gd name="T4" fmla="*/ 209550 w 209550"/>
            <a:gd name="T5" fmla="*/ 0 h 277259"/>
            <a:gd name="T6" fmla="*/ 209550 w 209550"/>
            <a:gd name="T7" fmla="*/ 0 h 277259"/>
            <a:gd name="T8" fmla="*/ 0 60000 65536"/>
            <a:gd name="T9" fmla="*/ 0 60000 65536"/>
            <a:gd name="T10" fmla="*/ 0 60000 65536"/>
            <a:gd name="T11" fmla="*/ 0 60000 65536"/>
            <a:gd name="T12" fmla="*/ 0 w 209550"/>
            <a:gd name="T13" fmla="*/ 0 h 277259"/>
            <a:gd name="T14" fmla="*/ 209550 w 209550"/>
            <a:gd name="T15" fmla="*/ 277259 h 27725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09550" h="277259">
              <a:moveTo>
                <a:pt x="0" y="76200"/>
              </a:moveTo>
              <a:cubicBezTo>
                <a:pt x="25400" y="182562"/>
                <a:pt x="50800" y="288925"/>
                <a:pt x="85725" y="276225"/>
              </a:cubicBezTo>
              <a:cubicBezTo>
                <a:pt x="120650" y="263525"/>
                <a:pt x="209550" y="0"/>
                <a:pt x="209550" y="0"/>
              </a:cubicBezTo>
            </a:path>
          </a:pathLst>
        </a:cu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386262</xdr:colOff>
      <xdr:row>11</xdr:row>
      <xdr:rowOff>230910</xdr:rowOff>
    </xdr:from>
    <xdr:to>
      <xdr:col>4</xdr:col>
      <xdr:colOff>629656</xdr:colOff>
      <xdr:row>12</xdr:row>
      <xdr:rowOff>230909</xdr:rowOff>
    </xdr:to>
    <xdr:sp macro="" textlink="">
      <xdr:nvSpPr>
        <xdr:cNvPr id="11" name="Freeform 185">
          <a:extLst>
            <a:ext uri="{FF2B5EF4-FFF2-40B4-BE49-F238E27FC236}">
              <a16:creationId xmlns:a16="http://schemas.microsoft.com/office/drawing/2014/main" id="{F9926AA4-108E-4A8F-8D18-44B582342F83}"/>
            </a:ext>
          </a:extLst>
        </xdr:cNvPr>
        <xdr:cNvSpPr/>
      </xdr:nvSpPr>
      <xdr:spPr>
        <a:xfrm>
          <a:off x="4954452" y="5412510"/>
          <a:ext cx="243394" cy="236219"/>
        </a:xfrm>
        <a:custGeom>
          <a:avLst/>
          <a:gdLst>
            <a:gd name="T0" fmla="*/ 0 w 209550"/>
            <a:gd name="T1" fmla="*/ 67369 h 277259"/>
            <a:gd name="T2" fmla="*/ 85725 w 209550"/>
            <a:gd name="T3" fmla="*/ 244226 h 277259"/>
            <a:gd name="T4" fmla="*/ 209550 w 209550"/>
            <a:gd name="T5" fmla="*/ 0 h 277259"/>
            <a:gd name="T6" fmla="*/ 209550 w 209550"/>
            <a:gd name="T7" fmla="*/ 0 h 277259"/>
            <a:gd name="T8" fmla="*/ 0 60000 65536"/>
            <a:gd name="T9" fmla="*/ 0 60000 65536"/>
            <a:gd name="T10" fmla="*/ 0 60000 65536"/>
            <a:gd name="T11" fmla="*/ 0 60000 65536"/>
            <a:gd name="T12" fmla="*/ 0 w 209550"/>
            <a:gd name="T13" fmla="*/ 0 h 277259"/>
            <a:gd name="T14" fmla="*/ 209550 w 209550"/>
            <a:gd name="T15" fmla="*/ 277259 h 27725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09550" h="277259">
              <a:moveTo>
                <a:pt x="0" y="76200"/>
              </a:moveTo>
              <a:cubicBezTo>
                <a:pt x="25400" y="182562"/>
                <a:pt x="50800" y="288925"/>
                <a:pt x="85725" y="276225"/>
              </a:cubicBezTo>
              <a:cubicBezTo>
                <a:pt x="120650" y="263525"/>
                <a:pt x="209550" y="0"/>
                <a:pt x="209550" y="0"/>
              </a:cubicBezTo>
            </a:path>
          </a:pathLst>
        </a:cu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1536195</xdr:colOff>
      <xdr:row>11</xdr:row>
      <xdr:rowOff>197643</xdr:rowOff>
    </xdr:from>
    <xdr:to>
      <xdr:col>1</xdr:col>
      <xdr:colOff>1791783</xdr:colOff>
      <xdr:row>12</xdr:row>
      <xdr:rowOff>187036</xdr:rowOff>
    </xdr:to>
    <xdr:sp macro="" textlink="">
      <xdr:nvSpPr>
        <xdr:cNvPr id="12" name="Freeform 185">
          <a:extLst>
            <a:ext uri="{FF2B5EF4-FFF2-40B4-BE49-F238E27FC236}">
              <a16:creationId xmlns:a16="http://schemas.microsoft.com/office/drawing/2014/main" id="{E10E5E2C-C86B-481E-A620-FE54A8DDBF54}"/>
            </a:ext>
          </a:extLst>
        </xdr:cNvPr>
        <xdr:cNvSpPr/>
      </xdr:nvSpPr>
      <xdr:spPr>
        <a:xfrm>
          <a:off x="2702055" y="5379243"/>
          <a:ext cx="255588" cy="225613"/>
        </a:xfrm>
        <a:custGeom>
          <a:avLst/>
          <a:gdLst>
            <a:gd name="T0" fmla="*/ 0 w 209550"/>
            <a:gd name="T1" fmla="*/ 67369 h 277259"/>
            <a:gd name="T2" fmla="*/ 85725 w 209550"/>
            <a:gd name="T3" fmla="*/ 244226 h 277259"/>
            <a:gd name="T4" fmla="*/ 209550 w 209550"/>
            <a:gd name="T5" fmla="*/ 0 h 277259"/>
            <a:gd name="T6" fmla="*/ 209550 w 209550"/>
            <a:gd name="T7" fmla="*/ 0 h 277259"/>
            <a:gd name="T8" fmla="*/ 0 60000 65536"/>
            <a:gd name="T9" fmla="*/ 0 60000 65536"/>
            <a:gd name="T10" fmla="*/ 0 60000 65536"/>
            <a:gd name="T11" fmla="*/ 0 60000 65536"/>
            <a:gd name="T12" fmla="*/ 0 w 209550"/>
            <a:gd name="T13" fmla="*/ 0 h 277259"/>
            <a:gd name="T14" fmla="*/ 209550 w 209550"/>
            <a:gd name="T15" fmla="*/ 277259 h 27725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09550" h="277259">
              <a:moveTo>
                <a:pt x="0" y="76200"/>
              </a:moveTo>
              <a:cubicBezTo>
                <a:pt x="25400" y="182562"/>
                <a:pt x="50800" y="288925"/>
                <a:pt x="85725" y="276225"/>
              </a:cubicBezTo>
              <a:cubicBezTo>
                <a:pt x="120650" y="263525"/>
                <a:pt x="209550" y="0"/>
                <a:pt x="209550" y="0"/>
              </a:cubicBezTo>
            </a:path>
          </a:pathLst>
        </a:cu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7</xdr:col>
      <xdr:colOff>389659</xdr:colOff>
      <xdr:row>0</xdr:row>
      <xdr:rowOff>165875</xdr:rowOff>
    </xdr:from>
    <xdr:to>
      <xdr:col>9</xdr:col>
      <xdr:colOff>694522</xdr:colOff>
      <xdr:row>1</xdr:row>
      <xdr:rowOff>404091</xdr:rowOff>
    </xdr:to>
    <xdr:pic>
      <xdr:nvPicPr>
        <xdr:cNvPr id="13" name="image2.jpeg">
          <a:extLst>
            <a:ext uri="{FF2B5EF4-FFF2-40B4-BE49-F238E27FC236}">
              <a16:creationId xmlns:a16="http://schemas.microsoft.com/office/drawing/2014/main" id="{3CFD1E1E-28A7-4F62-8961-DB6445A6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34599" y="1266965"/>
          <a:ext cx="2179384" cy="962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esktop\Project%20Luu\huongtt\WELD%20CONTROL.xlsx" TargetMode="External"/><Relationship Id="rId1" Type="http://schemas.openxmlformats.org/officeDocument/2006/relationships/externalLinkPath" Target="WELD%20CONTRO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g6gry\(smp)%2006003\Weld%20Map%20&amp;%20NDE%20Plan\DECK\XL\ID-TUN-SM-PTG-901700-0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\2055\nde\JACKET\excel\panel%20AT%20EL.%20(+)%204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g6gry\(SCP)%2006002\Weld%20Map%20&amp;%20NDE%20Plan\DECK\XL\ID-TUN-SC-PTG-901351-0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T"/>
      <sheetName val="MW1"/>
      <sheetName val="list WMap"/>
      <sheetName val="FIT UP"/>
      <sheetName val="REQUEST"/>
      <sheetName val="VS FINAL"/>
      <sheetName val="BACKGOUGE"/>
      <sheetName val="LAMCHECK"/>
      <sheetName val="MPI"/>
      <sheetName val="RESULT"/>
      <sheetName val="DATA INPUT"/>
      <sheetName val="tota(lN)"/>
      <sheetName val="KQ HAN(IN)"/>
      <sheetName val="DULIEU"/>
      <sheetName val="Trang_tính1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&amp;</v>
          </cell>
          <cell r="B1" t="str">
            <v>DrawingNo</v>
          </cell>
          <cell r="C1" t="str">
            <v>Weld No</v>
          </cell>
          <cell r="D1" t="str">
            <v>Weld jonts</v>
          </cell>
          <cell r="E1" t="str">
            <v>Weld type</v>
          </cell>
          <cell r="F1" t="str">
            <v>NDT</v>
          </cell>
          <cell r="G1" t="str">
            <v>OD /L</v>
          </cell>
          <cell r="H1" t="str">
            <v>Length (mm)</v>
          </cell>
          <cell r="I1" t="str">
            <v>Thick (mm)</v>
          </cell>
          <cell r="J1" t="str">
            <v>Thick Lamcheck (mm)</v>
          </cell>
          <cell r="K1" t="str">
            <v xml:space="preserve">WPS No.      </v>
          </cell>
          <cell r="L1" t="str">
            <v>GOC System code</v>
          </cell>
          <cell r="M1" t="str">
            <v>FIT UP</v>
          </cell>
          <cell r="P1" t="str">
            <v xml:space="preserve">Finish Date </v>
          </cell>
          <cell r="Q1" t="str">
            <v>Welders' ID</v>
          </cell>
          <cell r="R1" t="str">
            <v>VISUAL+REQUEST MT,UT</v>
          </cell>
          <cell r="U1" t="str">
            <v>DATE BG</v>
          </cell>
          <cell r="V1" t="str">
            <v>Request BG</v>
          </cell>
          <cell r="W1" t="str">
            <v>Date LC</v>
          </cell>
          <cell r="X1" t="str">
            <v>Request LC</v>
          </cell>
          <cell r="Y1" t="str">
            <v>STATUS</v>
          </cell>
          <cell r="Z1" t="str">
            <v>NDT RESULT</v>
          </cell>
          <cell r="AA1" t="str">
            <v xml:space="preserve">     Report Number/Số báo cáo</v>
          </cell>
          <cell r="AG1" t="str">
            <v>Report lamcheck</v>
          </cell>
          <cell r="AH1" t="str">
            <v>Length Defect 1</v>
          </cell>
          <cell r="AI1" t="str">
            <v>Length REPAIRED</v>
          </cell>
          <cell r="AJ1" t="str">
            <v>DATE RELEASE FINAL</v>
          </cell>
          <cell r="AK1" t="str">
            <v>RQ FINAL</v>
          </cell>
          <cell r="AL1" t="str">
            <v>DATE RELEASE NOTE</v>
          </cell>
          <cell r="AM1" t="str">
            <v>RELEASE NOTE</v>
          </cell>
          <cell r="AN1" t="str">
            <v>PWHT</v>
          </cell>
          <cell r="AO1" t="str">
            <v>NDT after PWHT</v>
          </cell>
          <cell r="AP1" t="str">
            <v>CUT OFF</v>
          </cell>
        </row>
        <row r="2">
          <cell r="C2" t="str">
            <v>Số m.hàn</v>
          </cell>
          <cell r="K2" t="str">
            <v>Quy trình số
WPS-TNHA-</v>
          </cell>
          <cell r="M2" t="str">
            <v>QC Fit-up</v>
          </cell>
          <cell r="N2" t="str">
            <v>Date/Ghép đạt</v>
          </cell>
          <cell r="O2" t="str">
            <v>Fit-up Request</v>
          </cell>
          <cell r="Q2" t="str">
            <v>Số thợ hàn</v>
          </cell>
          <cell r="R2" t="str">
            <v>QC Visual</v>
          </cell>
          <cell r="S2" t="str">
            <v>Date Visual+Request</v>
          </cell>
          <cell r="T2" t="str">
            <v>Request No.</v>
          </cell>
          <cell r="AA2" t="str">
            <v>Result</v>
          </cell>
          <cell r="AB2" t="str">
            <v>MT/PT</v>
          </cell>
          <cell r="AC2" t="str">
            <v>Result</v>
          </cell>
          <cell r="AD2" t="str">
            <v>UT/PAUT</v>
          </cell>
          <cell r="AE2" t="str">
            <v>Result</v>
          </cell>
          <cell r="AF2" t="str">
            <v>RT</v>
          </cell>
        </row>
        <row r="3">
          <cell r="A3" t="str">
            <v>9001-2211-DS-0032-01-WM1</v>
          </cell>
          <cell r="B3" t="str">
            <v>9001-2211-DS-0032-01-WM</v>
          </cell>
          <cell r="C3">
            <v>1</v>
          </cell>
          <cell r="D3" t="str">
            <v>X1</v>
          </cell>
          <cell r="E3" t="str">
            <v>DB</v>
          </cell>
          <cell r="F3" t="str">
            <v>100%MT &amp; UT</v>
          </cell>
          <cell r="G3" t="str">
            <v>D</v>
          </cell>
          <cell r="H3">
            <v>4785.3600000000006</v>
          </cell>
          <cell r="I3">
            <v>25</v>
          </cell>
          <cell r="K3" t="str">
            <v>WPS-TNHA-S06</v>
          </cell>
          <cell r="L3" t="str">
            <v>ST-22</v>
          </cell>
          <cell r="M3" t="str">
            <v>HIẾU</v>
          </cell>
          <cell r="N3">
            <v>45952</v>
          </cell>
          <cell r="O3" t="str">
            <v>F-056</v>
          </cell>
          <cell r="P3" t="str">
            <v>30/10/2025</v>
          </cell>
          <cell r="Q3" t="str">
            <v>BGT-0005;BGT-0015</v>
          </cell>
          <cell r="R3" t="str">
            <v>TUÂN</v>
          </cell>
          <cell r="S3">
            <v>45967</v>
          </cell>
          <cell r="T3" t="str">
            <v>V-059</v>
          </cell>
          <cell r="U3">
            <v>45954</v>
          </cell>
          <cell r="V3" t="str">
            <v>BG-054</v>
          </cell>
          <cell r="Y3" t="str">
            <v>FINISH</v>
          </cell>
          <cell r="Z3" t="str">
            <v>ACC</v>
          </cell>
          <cell r="AA3" t="str">
            <v>ACC</v>
          </cell>
          <cell r="AB3" t="str">
            <v>MT-2211-ST-22-0014</v>
          </cell>
          <cell r="AC3" t="str">
            <v>ACC</v>
          </cell>
          <cell r="AD3" t="str">
            <v>UT-2211-ST-22-0027</v>
          </cell>
          <cell r="AL3" t="str">
            <v>27/11/2025</v>
          </cell>
          <cell r="AM3" t="str">
            <v>IRN-2211-ST-22-0001</v>
          </cell>
          <cell r="AP3" t="str">
            <v>12/11/2025</v>
          </cell>
        </row>
        <row r="4">
          <cell r="A4" t="str">
            <v>9001-2211-DS-0032-01-WM2</v>
          </cell>
          <cell r="B4" t="str">
            <v>9001-2211-DS-0032-01-WM</v>
          </cell>
          <cell r="C4">
            <v>2</v>
          </cell>
          <cell r="D4" t="str">
            <v>X2</v>
          </cell>
          <cell r="E4" t="str">
            <v>DV</v>
          </cell>
          <cell r="F4" t="str">
            <v>100%MT &amp; UT</v>
          </cell>
          <cell r="G4" t="str">
            <v>L</v>
          </cell>
          <cell r="H4">
            <v>1206</v>
          </cell>
          <cell r="I4">
            <v>25</v>
          </cell>
          <cell r="K4" t="str">
            <v>WPS-TNHA-S06</v>
          </cell>
          <cell r="L4" t="str">
            <v>ST-22</v>
          </cell>
          <cell r="M4" t="str">
            <v>HIẾU</v>
          </cell>
          <cell r="N4">
            <v>45952</v>
          </cell>
          <cell r="O4" t="str">
            <v>F-056</v>
          </cell>
          <cell r="P4" t="str">
            <v>30/10/2025</v>
          </cell>
          <cell r="Q4" t="str">
            <v>BGT-0005;BGT-0015</v>
          </cell>
          <cell r="R4" t="str">
            <v>TUÂN</v>
          </cell>
          <cell r="S4">
            <v>45967</v>
          </cell>
          <cell r="T4" t="str">
            <v>V-059</v>
          </cell>
          <cell r="U4">
            <v>45954</v>
          </cell>
          <cell r="V4" t="str">
            <v>BG-054</v>
          </cell>
          <cell r="Y4" t="str">
            <v>FINISH</v>
          </cell>
          <cell r="Z4" t="str">
            <v>ACC</v>
          </cell>
          <cell r="AA4" t="str">
            <v>ACC</v>
          </cell>
          <cell r="AB4" t="str">
            <v>MT-2211-ST-22-0014</v>
          </cell>
          <cell r="AC4" t="str">
            <v>ACC</v>
          </cell>
          <cell r="AD4" t="str">
            <v>UT-2211-ST-22-0028</v>
          </cell>
          <cell r="AL4" t="str">
            <v>27/11/2025</v>
          </cell>
          <cell r="AM4" t="str">
            <v>IRN-2211-ST-22-0001</v>
          </cell>
          <cell r="AP4" t="str">
            <v>12/11/2025</v>
          </cell>
        </row>
        <row r="5">
          <cell r="A5" t="str">
            <v>9001-2211-DS-0032-01-WM3</v>
          </cell>
          <cell r="B5" t="str">
            <v>9001-2211-DS-0032-01-WM</v>
          </cell>
          <cell r="C5">
            <v>3</v>
          </cell>
          <cell r="D5" t="str">
            <v>X3</v>
          </cell>
          <cell r="E5" t="str">
            <v>SB</v>
          </cell>
          <cell r="F5" t="str">
            <v>100%MT &amp; UT</v>
          </cell>
          <cell r="G5" t="str">
            <v>D</v>
          </cell>
          <cell r="H5">
            <v>1915.4</v>
          </cell>
          <cell r="I5">
            <v>25</v>
          </cell>
          <cell r="K5" t="str">
            <v>WPS-TNHA-S06</v>
          </cell>
          <cell r="L5" t="str">
            <v>ST-22</v>
          </cell>
          <cell r="M5" t="str">
            <v>BÁCH</v>
          </cell>
          <cell r="N5">
            <v>45969</v>
          </cell>
          <cell r="O5" t="str">
            <v>F-077</v>
          </cell>
          <cell r="P5" t="str">
            <v>8/11/2025</v>
          </cell>
          <cell r="Q5" t="str">
            <v>GTC-12</v>
          </cell>
          <cell r="R5" t="str">
            <v>THÁI</v>
          </cell>
          <cell r="S5">
            <v>45971</v>
          </cell>
          <cell r="T5" t="str">
            <v>V-064</v>
          </cell>
          <cell r="Y5" t="str">
            <v>FINISH</v>
          </cell>
          <cell r="Z5" t="str">
            <v>ACC</v>
          </cell>
          <cell r="AA5" t="str">
            <v>ACC</v>
          </cell>
          <cell r="AB5" t="str">
            <v>MT-2211-ST-22-0016</v>
          </cell>
          <cell r="AC5" t="str">
            <v>ACC</v>
          </cell>
          <cell r="AD5" t="str">
            <v>UT-2211-ST-22-0031</v>
          </cell>
          <cell r="AL5" t="str">
            <v>27/11/2025</v>
          </cell>
          <cell r="AM5" t="str">
            <v>IRN-2211-ST-22-0001</v>
          </cell>
          <cell r="AP5" t="str">
            <v>12/11/2025</v>
          </cell>
        </row>
        <row r="6">
          <cell r="A6" t="str">
            <v>9001-2211-DS-0032-01-WM4</v>
          </cell>
          <cell r="B6" t="str">
            <v>9001-2211-DS-0032-01-WM</v>
          </cell>
          <cell r="C6">
            <v>4</v>
          </cell>
          <cell r="D6" t="str">
            <v>X1</v>
          </cell>
          <cell r="E6" t="str">
            <v>DB</v>
          </cell>
          <cell r="F6" t="str">
            <v>100%MT &amp; UT</v>
          </cell>
          <cell r="G6" t="str">
            <v>D</v>
          </cell>
          <cell r="H6">
            <v>4785.3600000000006</v>
          </cell>
          <cell r="I6">
            <v>25</v>
          </cell>
          <cell r="K6" t="str">
            <v>WPS-TNHA-S06</v>
          </cell>
          <cell r="L6" t="str">
            <v>ST-22</v>
          </cell>
          <cell r="M6" t="str">
            <v>THÁI</v>
          </cell>
          <cell r="N6">
            <v>45991</v>
          </cell>
          <cell r="O6" t="str">
            <v>F-109</v>
          </cell>
          <cell r="P6" t="str">
            <v>7/12/2025</v>
          </cell>
          <cell r="Q6" t="str">
            <v>BGT-0005;GTC-12</v>
          </cell>
          <cell r="R6" t="str">
            <v>THÁI</v>
          </cell>
          <cell r="S6">
            <v>46006</v>
          </cell>
          <cell r="T6" t="str">
            <v>V-139</v>
          </cell>
          <cell r="U6">
            <v>45993</v>
          </cell>
          <cell r="V6" t="str">
            <v>BG-104</v>
          </cell>
          <cell r="Y6" t="str">
            <v>FINISH</v>
          </cell>
          <cell r="Z6" t="str">
            <v>ACC</v>
          </cell>
          <cell r="AA6" t="str">
            <v>ACC</v>
          </cell>
          <cell r="AB6" t="str">
            <v>MT-2211-ST-22-0040</v>
          </cell>
          <cell r="AC6" t="str">
            <v>ACC</v>
          </cell>
          <cell r="AD6" t="str">
            <v>UT-2211-ST-22-0072</v>
          </cell>
          <cell r="AJ6" t="str">
            <v>22/12/2025</v>
          </cell>
          <cell r="AK6" t="str">
            <v>FINAL-V-155</v>
          </cell>
          <cell r="AL6" t="str">
            <v>XX/12/2025</v>
          </cell>
          <cell r="AM6" t="str">
            <v>IRN-2211-ST-22-0003</v>
          </cell>
          <cell r="AN6" t="str">
            <v>a</v>
          </cell>
          <cell r="AP6" t="str">
            <v>16/12/2025</v>
          </cell>
        </row>
        <row r="7">
          <cell r="A7" t="str">
            <v>9001-2211-DS-0032-01-WM5</v>
          </cell>
          <cell r="B7" t="str">
            <v>9001-2211-DS-0032-01-WM</v>
          </cell>
          <cell r="C7">
            <v>5</v>
          </cell>
          <cell r="D7" t="str">
            <v>X2</v>
          </cell>
          <cell r="E7" t="str">
            <v>DV</v>
          </cell>
          <cell r="F7" t="str">
            <v>100%MT &amp; UT</v>
          </cell>
          <cell r="G7" t="str">
            <v>L</v>
          </cell>
          <cell r="H7">
            <v>1206</v>
          </cell>
          <cell r="I7">
            <v>25</v>
          </cell>
          <cell r="K7" t="str">
            <v>WPS-TNHA-S06</v>
          </cell>
          <cell r="L7" t="str">
            <v>ST-22</v>
          </cell>
          <cell r="M7" t="str">
            <v>THÁI</v>
          </cell>
          <cell r="N7">
            <v>45991</v>
          </cell>
          <cell r="O7" t="str">
            <v>F-109</v>
          </cell>
          <cell r="P7" t="str">
            <v>7/12/2025</v>
          </cell>
          <cell r="Q7" t="str">
            <v>BGT-0005;GTC-12</v>
          </cell>
          <cell r="R7" t="str">
            <v>THÁI</v>
          </cell>
          <cell r="S7">
            <v>46006</v>
          </cell>
          <cell r="T7" t="str">
            <v>V-139</v>
          </cell>
          <cell r="U7" t="str">
            <v>05/12/2025</v>
          </cell>
          <cell r="V7" t="str">
            <v>BG-106</v>
          </cell>
          <cell r="Y7" t="str">
            <v>FINISH</v>
          </cell>
          <cell r="Z7" t="str">
            <v>ACC</v>
          </cell>
          <cell r="AA7" t="str">
            <v>ACC</v>
          </cell>
          <cell r="AB7" t="str">
            <v>MT-2211-ST-22-0040</v>
          </cell>
          <cell r="AC7" t="str">
            <v>ACC</v>
          </cell>
          <cell r="AD7" t="str">
            <v>UT-2211-ST-22-0073</v>
          </cell>
          <cell r="AJ7" t="str">
            <v>XX/12/2025</v>
          </cell>
          <cell r="AK7" t="str">
            <v>FINAL-V-155</v>
          </cell>
          <cell r="AL7" t="str">
            <v>XX/12/2025</v>
          </cell>
          <cell r="AM7" t="str">
            <v>IRN-2211-ST-22-0003</v>
          </cell>
          <cell r="AN7" t="str">
            <v>a</v>
          </cell>
          <cell r="AP7" t="str">
            <v>16/12/2025</v>
          </cell>
        </row>
        <row r="8">
          <cell r="A8" t="str">
            <v>9001-2211-DS-0032-01-WM6</v>
          </cell>
          <cell r="B8" t="str">
            <v>9001-2211-DS-0032-01-WM</v>
          </cell>
          <cell r="C8">
            <v>6</v>
          </cell>
          <cell r="D8" t="str">
            <v>X3</v>
          </cell>
          <cell r="E8" t="str">
            <v>SB</v>
          </cell>
          <cell r="F8" t="str">
            <v>100%MT &amp; UT</v>
          </cell>
          <cell r="G8" t="str">
            <v>D</v>
          </cell>
          <cell r="H8">
            <v>1915.4</v>
          </cell>
          <cell r="I8">
            <v>25</v>
          </cell>
          <cell r="K8" t="str">
            <v>WPS-TNHA-S06</v>
          </cell>
          <cell r="L8" t="str">
            <v>ST-22</v>
          </cell>
          <cell r="M8" t="str">
            <v>THÁI</v>
          </cell>
          <cell r="N8">
            <v>46008</v>
          </cell>
          <cell r="O8" t="str">
            <v>F-137</v>
          </cell>
          <cell r="P8" t="str">
            <v>17/12/2025</v>
          </cell>
          <cell r="Q8" t="str">
            <v>BGT-0006;GTC-12</v>
          </cell>
          <cell r="R8" t="str">
            <v>THÁI</v>
          </cell>
          <cell r="S8">
            <v>46010</v>
          </cell>
          <cell r="T8" t="str">
            <v>V-149</v>
          </cell>
          <cell r="Y8" t="str">
            <v>FINISH</v>
          </cell>
          <cell r="Z8" t="str">
            <v>ACC</v>
          </cell>
          <cell r="AA8" t="str">
            <v>ACC</v>
          </cell>
          <cell r="AB8" t="str">
            <v>MT-2211-ST-22-0041</v>
          </cell>
          <cell r="AC8" t="str">
            <v>ACC</v>
          </cell>
          <cell r="AD8" t="str">
            <v>UT-2211-ST-22-0074</v>
          </cell>
          <cell r="AJ8" t="str">
            <v>XX/12/2025</v>
          </cell>
          <cell r="AK8" t="str">
            <v>FINAL-V-155</v>
          </cell>
          <cell r="AL8" t="str">
            <v>XX/12/2025</v>
          </cell>
          <cell r="AM8" t="str">
            <v>IRN-2211-ST-22-0003</v>
          </cell>
          <cell r="AN8" t="str">
            <v>a</v>
          </cell>
          <cell r="AP8" t="str">
            <v>23/12/2025</v>
          </cell>
        </row>
        <row r="9">
          <cell r="A9" t="str">
            <v>9001-2211-DS-0032-01-WM7</v>
          </cell>
          <cell r="B9" t="str">
            <v>9001-2211-DS-0032-01-WM</v>
          </cell>
          <cell r="C9">
            <v>7</v>
          </cell>
          <cell r="D9" t="str">
            <v>X1</v>
          </cell>
          <cell r="E9" t="str">
            <v>DB</v>
          </cell>
          <cell r="F9" t="str">
            <v>100%MT &amp; UT</v>
          </cell>
          <cell r="G9" t="str">
            <v>D</v>
          </cell>
          <cell r="H9">
            <v>4785.3600000000006</v>
          </cell>
          <cell r="I9">
            <v>25</v>
          </cell>
          <cell r="K9" t="str">
            <v>WPS-TNHA-S06</v>
          </cell>
          <cell r="L9" t="str">
            <v>ST-22</v>
          </cell>
          <cell r="M9" t="str">
            <v>HIẾU</v>
          </cell>
          <cell r="N9">
            <v>45939</v>
          </cell>
          <cell r="O9" t="str">
            <v>F-038</v>
          </cell>
          <cell r="P9" t="str">
            <v>15/10/2025</v>
          </cell>
          <cell r="Q9" t="str">
            <v>BGT-0005;BGT-0006;GTC-12</v>
          </cell>
          <cell r="R9" t="str">
            <v>THÁI</v>
          </cell>
          <cell r="S9">
            <v>45971</v>
          </cell>
          <cell r="T9" t="str">
            <v>V-064</v>
          </cell>
          <cell r="U9">
            <v>45942</v>
          </cell>
          <cell r="V9" t="str">
            <v>BG-039</v>
          </cell>
          <cell r="Y9" t="str">
            <v>FINISH</v>
          </cell>
          <cell r="Z9" t="str">
            <v>ACC</v>
          </cell>
          <cell r="AA9" t="str">
            <v>ACC</v>
          </cell>
          <cell r="AB9" t="str">
            <v>MT-2211-ST-22-0016</v>
          </cell>
          <cell r="AC9" t="str">
            <v>ACC</v>
          </cell>
          <cell r="AD9" t="str">
            <v>UT-2211-ST-22-0031</v>
          </cell>
          <cell r="AL9" t="str">
            <v>27/11/2025</v>
          </cell>
          <cell r="AM9" t="str">
            <v>IRN-2211-ST-22-0001</v>
          </cell>
          <cell r="AP9" t="str">
            <v>12/11/2025</v>
          </cell>
        </row>
        <row r="10">
          <cell r="A10" t="str">
            <v>9001-2211-DS-0032-01-WM8</v>
          </cell>
          <cell r="B10" t="str">
            <v>9001-2211-DS-0032-01-WM</v>
          </cell>
          <cell r="C10">
            <v>8</v>
          </cell>
          <cell r="D10" t="str">
            <v>X2</v>
          </cell>
          <cell r="E10" t="str">
            <v>DV</v>
          </cell>
          <cell r="F10" t="str">
            <v>100%MT &amp; UT</v>
          </cell>
          <cell r="G10" t="str">
            <v>L</v>
          </cell>
          <cell r="H10">
            <v>750</v>
          </cell>
          <cell r="I10">
            <v>25</v>
          </cell>
          <cell r="K10" t="str">
            <v>WPS-TNHA-S06</v>
          </cell>
          <cell r="L10" t="str">
            <v>ST-22</v>
          </cell>
          <cell r="M10" t="str">
            <v>HIẾU</v>
          </cell>
          <cell r="N10">
            <v>45944</v>
          </cell>
          <cell r="O10" t="str">
            <v>F-045</v>
          </cell>
          <cell r="P10" t="str">
            <v>15/10/2025</v>
          </cell>
          <cell r="Q10" t="str">
            <v>BGT-0005;BGT-0006;GTC-12</v>
          </cell>
          <cell r="R10" t="str">
            <v>THÁI</v>
          </cell>
          <cell r="S10">
            <v>45971</v>
          </cell>
          <cell r="T10" t="str">
            <v>V-064</v>
          </cell>
          <cell r="U10" t="str">
            <v>16/10/2025</v>
          </cell>
          <cell r="V10" t="str">
            <v>BG-044</v>
          </cell>
          <cell r="Y10" t="str">
            <v>FINISH</v>
          </cell>
          <cell r="Z10" t="str">
            <v>ACC</v>
          </cell>
          <cell r="AA10" t="str">
            <v>ACC</v>
          </cell>
          <cell r="AB10" t="str">
            <v>MT-2211-ST-22-0016</v>
          </cell>
          <cell r="AC10" t="str">
            <v>ACC</v>
          </cell>
          <cell r="AD10" t="str">
            <v>UT-2211-ST-22-0032</v>
          </cell>
          <cell r="AL10" t="str">
            <v>27/11/2025</v>
          </cell>
          <cell r="AM10" t="str">
            <v>IRN-2211-ST-22-0001</v>
          </cell>
          <cell r="AP10" t="str">
            <v>12/11/2025</v>
          </cell>
        </row>
        <row r="11">
          <cell r="A11" t="str">
            <v>9001-2211-DS-0032-01-WM9</v>
          </cell>
          <cell r="B11" t="str">
            <v>9001-2211-DS-0032-01-WM</v>
          </cell>
          <cell r="C11">
            <v>9</v>
          </cell>
          <cell r="D11" t="str">
            <v>X1</v>
          </cell>
          <cell r="E11" t="str">
            <v>DB</v>
          </cell>
          <cell r="F11" t="str">
            <v>100%MT &amp; UT</v>
          </cell>
          <cell r="G11" t="str">
            <v>D</v>
          </cell>
          <cell r="H11">
            <v>4785.3600000000006</v>
          </cell>
          <cell r="I11">
            <v>25</v>
          </cell>
          <cell r="K11" t="str">
            <v>WPS-TNHA-S06</v>
          </cell>
          <cell r="L11" t="str">
            <v>ST-22</v>
          </cell>
          <cell r="M11" t="str">
            <v xml:space="preserve">HIẾU </v>
          </cell>
          <cell r="N11">
            <v>45950</v>
          </cell>
          <cell r="O11" t="str">
            <v>F-054</v>
          </cell>
          <cell r="P11" t="str">
            <v>10/11/2025</v>
          </cell>
          <cell r="Q11" t="str">
            <v>BGT0019;GTC-12</v>
          </cell>
          <cell r="R11" t="str">
            <v>THÁI</v>
          </cell>
          <cell r="S11">
            <v>46006</v>
          </cell>
          <cell r="T11" t="str">
            <v>V-139</v>
          </cell>
          <cell r="U11">
            <v>45955</v>
          </cell>
          <cell r="V11" t="str">
            <v>BG-055</v>
          </cell>
          <cell r="Y11" t="str">
            <v>FINISH</v>
          </cell>
          <cell r="Z11" t="str">
            <v>ACC</v>
          </cell>
          <cell r="AA11" t="str">
            <v>ACC</v>
          </cell>
          <cell r="AB11" t="str">
            <v>MT-2211-ST-22-0040</v>
          </cell>
          <cell r="AC11" t="str">
            <v>ACC</v>
          </cell>
          <cell r="AD11" t="str">
            <v>UT-2211-ST-22-0072</v>
          </cell>
          <cell r="AJ11" t="str">
            <v>XX/12/2025</v>
          </cell>
          <cell r="AK11" t="str">
            <v>FINAL-V-155</v>
          </cell>
          <cell r="AL11" t="str">
            <v>XX/12/2025</v>
          </cell>
          <cell r="AM11" t="str">
            <v>IRN-2211-ST-22-0003</v>
          </cell>
          <cell r="AN11" t="str">
            <v>a</v>
          </cell>
          <cell r="AP11" t="str">
            <v>16/12/2025</v>
          </cell>
        </row>
        <row r="12">
          <cell r="A12" t="str">
            <v>9001-2211-DS-0032-01-WM10</v>
          </cell>
          <cell r="B12" t="str">
            <v>9001-2211-DS-0032-01-WM</v>
          </cell>
          <cell r="C12">
            <v>10</v>
          </cell>
          <cell r="D12" t="str">
            <v>X2</v>
          </cell>
          <cell r="E12" t="str">
            <v>DV</v>
          </cell>
          <cell r="F12" t="str">
            <v>100%MT &amp; UT</v>
          </cell>
          <cell r="G12" t="str">
            <v>L</v>
          </cell>
          <cell r="H12">
            <v>750</v>
          </cell>
          <cell r="I12">
            <v>25</v>
          </cell>
          <cell r="K12" t="str">
            <v>WPS-TNHA-S06</v>
          </cell>
          <cell r="L12" t="str">
            <v>ST-22</v>
          </cell>
          <cell r="M12" t="str">
            <v xml:space="preserve">HIẾU </v>
          </cell>
          <cell r="N12">
            <v>45950</v>
          </cell>
          <cell r="O12" t="str">
            <v>F-054</v>
          </cell>
          <cell r="P12" t="str">
            <v>10/11/2025</v>
          </cell>
          <cell r="Q12" t="str">
            <v>BGT0019;GTC-12</v>
          </cell>
          <cell r="R12" t="str">
            <v>THÁI</v>
          </cell>
          <cell r="S12">
            <v>46006</v>
          </cell>
          <cell r="T12" t="str">
            <v>V-139</v>
          </cell>
          <cell r="U12">
            <v>45963</v>
          </cell>
          <cell r="V12" t="str">
            <v>BG-068</v>
          </cell>
          <cell r="Y12" t="str">
            <v>FINISH</v>
          </cell>
          <cell r="Z12" t="str">
            <v>ACC</v>
          </cell>
          <cell r="AA12" t="str">
            <v>ACC</v>
          </cell>
          <cell r="AB12" t="str">
            <v>MT-2211-ST-22-0040</v>
          </cell>
          <cell r="AC12" t="str">
            <v>ACC</v>
          </cell>
          <cell r="AD12" t="str">
            <v>UT-2211-ST-22-0073</v>
          </cell>
          <cell r="AJ12" t="str">
            <v>XX/12/2025</v>
          </cell>
          <cell r="AK12" t="str">
            <v>FINAL-V-155</v>
          </cell>
          <cell r="AL12" t="str">
            <v>XX/12/2025</v>
          </cell>
          <cell r="AM12" t="str">
            <v>IRN-2211-ST-22-0003</v>
          </cell>
          <cell r="AN12" t="str">
            <v>a</v>
          </cell>
          <cell r="AP12" t="str">
            <v>16/12/2025</v>
          </cell>
        </row>
        <row r="13">
          <cell r="A13" t="str">
            <v>9001-2211-DS-0032-01-WM11</v>
          </cell>
          <cell r="B13" t="str">
            <v>9001-2211-DS-0032-01-WM</v>
          </cell>
          <cell r="C13">
            <v>11</v>
          </cell>
          <cell r="D13" t="str">
            <v>X1</v>
          </cell>
          <cell r="E13" t="str">
            <v>DB</v>
          </cell>
          <cell r="F13" t="str">
            <v>100%MT &amp; UT</v>
          </cell>
          <cell r="G13" t="str">
            <v>D</v>
          </cell>
          <cell r="H13">
            <v>4785.3600000000006</v>
          </cell>
          <cell r="I13">
            <v>25</v>
          </cell>
          <cell r="K13" t="str">
            <v>WPS-TNHA-S06</v>
          </cell>
          <cell r="L13" t="str">
            <v>ST-22</v>
          </cell>
          <cell r="M13" t="str">
            <v>HIẾU</v>
          </cell>
          <cell r="N13">
            <v>45939</v>
          </cell>
          <cell r="O13" t="str">
            <v>F-038</v>
          </cell>
          <cell r="P13" t="str">
            <v>15/10/2025</v>
          </cell>
          <cell r="Q13" t="str">
            <v>BGT-0005;BGT-0006;GTC-12</v>
          </cell>
          <cell r="R13" t="str">
            <v>THÁI</v>
          </cell>
          <cell r="S13">
            <v>45971</v>
          </cell>
          <cell r="T13" t="str">
            <v>V-064</v>
          </cell>
          <cell r="U13">
            <v>45942</v>
          </cell>
          <cell r="V13" t="str">
            <v>BG-039</v>
          </cell>
          <cell r="Y13" t="str">
            <v>FINISH</v>
          </cell>
          <cell r="Z13" t="str">
            <v>ACC</v>
          </cell>
          <cell r="AA13" t="str">
            <v>ACC</v>
          </cell>
          <cell r="AB13" t="str">
            <v>MT-2211-ST-22-0016</v>
          </cell>
          <cell r="AC13" t="str">
            <v>ACC</v>
          </cell>
          <cell r="AD13" t="str">
            <v>UT-2211-ST-22-0031</v>
          </cell>
          <cell r="AL13" t="str">
            <v>27/11/2025</v>
          </cell>
          <cell r="AM13" t="str">
            <v>IRN-2211-ST-22-0001</v>
          </cell>
          <cell r="AP13" t="str">
            <v>12/11/2025</v>
          </cell>
        </row>
        <row r="14">
          <cell r="A14" t="str">
            <v>9001-2211-DS-0032-01-WM12</v>
          </cell>
          <cell r="B14" t="str">
            <v>9001-2211-DS-0032-01-WM</v>
          </cell>
          <cell r="C14">
            <v>12</v>
          </cell>
          <cell r="D14" t="str">
            <v>X2</v>
          </cell>
          <cell r="E14" t="str">
            <v>DV</v>
          </cell>
          <cell r="F14" t="str">
            <v>100%MT &amp; UT</v>
          </cell>
          <cell r="G14" t="str">
            <v>L</v>
          </cell>
          <cell r="H14">
            <v>750</v>
          </cell>
          <cell r="I14">
            <v>25</v>
          </cell>
          <cell r="K14" t="str">
            <v>WPS-TNHA-S06</v>
          </cell>
          <cell r="L14" t="str">
            <v>ST-22</v>
          </cell>
          <cell r="M14" t="str">
            <v>HIẾU</v>
          </cell>
          <cell r="N14">
            <v>45944</v>
          </cell>
          <cell r="O14" t="str">
            <v>F-045</v>
          </cell>
          <cell r="P14" t="str">
            <v>15/10/2025</v>
          </cell>
          <cell r="Q14" t="str">
            <v>BGT-0005;BGT-0006;GTC-12</v>
          </cell>
          <cell r="R14" t="str">
            <v>THÁI</v>
          </cell>
          <cell r="S14">
            <v>45971</v>
          </cell>
          <cell r="T14" t="str">
            <v>V-064</v>
          </cell>
          <cell r="U14" t="str">
            <v>16/10/2025</v>
          </cell>
          <cell r="V14" t="str">
            <v>BG-044</v>
          </cell>
          <cell r="Y14" t="str">
            <v>FINISH</v>
          </cell>
          <cell r="Z14" t="str">
            <v>ACC</v>
          </cell>
          <cell r="AA14" t="str">
            <v>ACC</v>
          </cell>
          <cell r="AB14" t="str">
            <v>MT-2211-ST-22-0016</v>
          </cell>
          <cell r="AC14" t="str">
            <v>ACC</v>
          </cell>
          <cell r="AD14" t="str">
            <v>UT-2211-ST-22-0032</v>
          </cell>
          <cell r="AL14" t="str">
            <v>27/11/2025</v>
          </cell>
          <cell r="AM14" t="str">
            <v>IRN-2211-ST-22-0001</v>
          </cell>
          <cell r="AP14" t="str">
            <v>12/11/2025</v>
          </cell>
        </row>
        <row r="15">
          <cell r="A15" t="str">
            <v>9001-2211-DS-0032-01-WM13</v>
          </cell>
          <cell r="B15" t="str">
            <v>9001-2211-DS-0032-01-WM</v>
          </cell>
          <cell r="C15">
            <v>13</v>
          </cell>
          <cell r="D15" t="str">
            <v>X1</v>
          </cell>
          <cell r="E15" t="str">
            <v>DB</v>
          </cell>
          <cell r="F15" t="str">
            <v>100%MT &amp; UT</v>
          </cell>
          <cell r="G15" t="str">
            <v>D</v>
          </cell>
          <cell r="H15">
            <v>4785.3600000000006</v>
          </cell>
          <cell r="I15">
            <v>25</v>
          </cell>
          <cell r="K15" t="str">
            <v>WPS-TNHA-S06</v>
          </cell>
          <cell r="L15" t="str">
            <v>ST-22</v>
          </cell>
          <cell r="M15" t="str">
            <v xml:space="preserve">HIẾU </v>
          </cell>
          <cell r="N15">
            <v>45950</v>
          </cell>
          <cell r="O15" t="str">
            <v>F-054</v>
          </cell>
          <cell r="P15" t="str">
            <v>10/11/2025</v>
          </cell>
          <cell r="Q15" t="str">
            <v>BGT0019;GTC-12</v>
          </cell>
          <cell r="R15" t="str">
            <v>THÁI</v>
          </cell>
          <cell r="S15">
            <v>46006</v>
          </cell>
          <cell r="T15" t="str">
            <v>V-139</v>
          </cell>
          <cell r="U15">
            <v>45955</v>
          </cell>
          <cell r="V15" t="str">
            <v>BG-055</v>
          </cell>
          <cell r="Y15" t="str">
            <v>FINISH</v>
          </cell>
          <cell r="Z15" t="str">
            <v>ACC</v>
          </cell>
          <cell r="AA15" t="str">
            <v>ACC</v>
          </cell>
          <cell r="AB15" t="str">
            <v>MT-2211-ST-22-0040</v>
          </cell>
          <cell r="AC15" t="str">
            <v>ACC</v>
          </cell>
          <cell r="AD15" t="str">
            <v>UT-2211-ST-22-0072</v>
          </cell>
          <cell r="AJ15" t="str">
            <v>XX/12/2025</v>
          </cell>
          <cell r="AK15" t="str">
            <v>FINAL-V-155</v>
          </cell>
          <cell r="AL15" t="str">
            <v>XX/12/2025</v>
          </cell>
          <cell r="AM15" t="str">
            <v>IRN-2211-ST-22-0003</v>
          </cell>
          <cell r="AN15" t="str">
            <v>a</v>
          </cell>
          <cell r="AP15" t="str">
            <v>16/12/2025</v>
          </cell>
        </row>
        <row r="16">
          <cell r="A16" t="str">
            <v>9001-2211-DS-0032-01-WM14</v>
          </cell>
          <cell r="B16" t="str">
            <v>9001-2211-DS-0032-01-WM</v>
          </cell>
          <cell r="C16">
            <v>14</v>
          </cell>
          <cell r="D16" t="str">
            <v>X2</v>
          </cell>
          <cell r="E16" t="str">
            <v>DV</v>
          </cell>
          <cell r="F16" t="str">
            <v>100%MT &amp; UT</v>
          </cell>
          <cell r="G16" t="str">
            <v>L</v>
          </cell>
          <cell r="H16">
            <v>750</v>
          </cell>
          <cell r="I16">
            <v>25</v>
          </cell>
          <cell r="K16" t="str">
            <v>WPS-TNHA-S06</v>
          </cell>
          <cell r="L16" t="str">
            <v>ST-22</v>
          </cell>
          <cell r="M16" t="str">
            <v xml:space="preserve">HIẾU </v>
          </cell>
          <cell r="N16">
            <v>45950</v>
          </cell>
          <cell r="O16" t="str">
            <v>F-054</v>
          </cell>
          <cell r="P16" t="str">
            <v>10/11/2025</v>
          </cell>
          <cell r="Q16" t="str">
            <v>BGT0019;GTC-12</v>
          </cell>
          <cell r="R16" t="str">
            <v>THÁI</v>
          </cell>
          <cell r="S16">
            <v>46006</v>
          </cell>
          <cell r="T16" t="str">
            <v>V-139</v>
          </cell>
          <cell r="U16">
            <v>45963</v>
          </cell>
          <cell r="V16" t="str">
            <v>BG-068</v>
          </cell>
          <cell r="Y16" t="str">
            <v>FINISH</v>
          </cell>
          <cell r="Z16" t="str">
            <v>ACC</v>
          </cell>
          <cell r="AA16" t="str">
            <v>ACC</v>
          </cell>
          <cell r="AB16" t="str">
            <v>MT-2211-ST-22-0040</v>
          </cell>
          <cell r="AC16" t="str">
            <v>ACC</v>
          </cell>
          <cell r="AD16" t="str">
            <v>UT-2211-ST-22-0073</v>
          </cell>
          <cell r="AJ16" t="str">
            <v>XX/12/2025</v>
          </cell>
          <cell r="AK16" t="str">
            <v>FINAL-V-155</v>
          </cell>
          <cell r="AL16" t="str">
            <v>XX/12/2025</v>
          </cell>
          <cell r="AM16" t="str">
            <v>IRN-2211-ST-22-0003</v>
          </cell>
          <cell r="AN16" t="str">
            <v>a</v>
          </cell>
          <cell r="AP16" t="str">
            <v>16/12/2025</v>
          </cell>
        </row>
        <row r="17">
          <cell r="A17" t="str">
            <v>9001-2211-DS-0032-01-WM15</v>
          </cell>
          <cell r="B17" t="str">
            <v>9001-2211-DS-0032-01-WM</v>
          </cell>
          <cell r="C17">
            <v>15</v>
          </cell>
          <cell r="D17" t="str">
            <v>X1</v>
          </cell>
          <cell r="E17" t="str">
            <v>DB</v>
          </cell>
          <cell r="F17" t="str">
            <v>100%MT &amp; UT</v>
          </cell>
          <cell r="G17" t="str">
            <v>D</v>
          </cell>
          <cell r="H17">
            <v>4785.3600000000006</v>
          </cell>
          <cell r="I17">
            <v>25</v>
          </cell>
          <cell r="K17" t="str">
            <v>WPS-TNHA-S06</v>
          </cell>
          <cell r="L17" t="str">
            <v>ST-22</v>
          </cell>
          <cell r="M17" t="str">
            <v>HIẾU</v>
          </cell>
          <cell r="N17">
            <v>45938</v>
          </cell>
          <cell r="O17" t="str">
            <v>F-036</v>
          </cell>
          <cell r="P17" t="str">
            <v>6/11/2025</v>
          </cell>
          <cell r="Q17" t="str">
            <v>BGT-0015;BGT-0016;BGT-0006</v>
          </cell>
          <cell r="R17" t="str">
            <v>THÁI</v>
          </cell>
          <cell r="S17">
            <v>45971</v>
          </cell>
          <cell r="T17" t="str">
            <v>V-065</v>
          </cell>
          <cell r="U17">
            <v>45942</v>
          </cell>
          <cell r="V17" t="str">
            <v>BG-039</v>
          </cell>
          <cell r="Y17" t="str">
            <v>FINISH</v>
          </cell>
          <cell r="Z17" t="str">
            <v>ACC</v>
          </cell>
          <cell r="AA17" t="str">
            <v>ACC</v>
          </cell>
          <cell r="AB17" t="str">
            <v>MT-2211-ST-22-0017</v>
          </cell>
          <cell r="AC17" t="str">
            <v>ACC</v>
          </cell>
          <cell r="AD17" t="str">
            <v>UT-2211-ST-22-0035</v>
          </cell>
          <cell r="AL17" t="str">
            <v>27/11/2025</v>
          </cell>
          <cell r="AM17" t="str">
            <v>IRN-2211-ST-22-0001</v>
          </cell>
          <cell r="AP17" t="str">
            <v>12/11/2025</v>
          </cell>
        </row>
        <row r="18">
          <cell r="A18" t="str">
            <v>9001-2211-DS-0032-01-WM16</v>
          </cell>
          <cell r="B18" t="str">
            <v>9001-2211-DS-0032-01-WM</v>
          </cell>
          <cell r="C18">
            <v>16</v>
          </cell>
          <cell r="D18" t="str">
            <v>X2</v>
          </cell>
          <cell r="E18" t="str">
            <v>DV</v>
          </cell>
          <cell r="F18" t="str">
            <v>100%MT &amp; UT</v>
          </cell>
          <cell r="G18" t="str">
            <v>L</v>
          </cell>
          <cell r="H18">
            <v>750</v>
          </cell>
          <cell r="I18">
            <v>25</v>
          </cell>
          <cell r="K18" t="str">
            <v>WPS-TNHA-S06</v>
          </cell>
          <cell r="L18" t="str">
            <v>ST-22</v>
          </cell>
          <cell r="M18" t="str">
            <v>TUÂN</v>
          </cell>
          <cell r="N18">
            <v>45943</v>
          </cell>
          <cell r="O18" t="str">
            <v>F-044</v>
          </cell>
          <cell r="P18" t="str">
            <v>6/11/2025</v>
          </cell>
          <cell r="Q18" t="str">
            <v>BGT-0015;BGT-0016;BGT-0006</v>
          </cell>
          <cell r="R18" t="str">
            <v>THÁI</v>
          </cell>
          <cell r="S18">
            <v>45971</v>
          </cell>
          <cell r="T18" t="str">
            <v>V-065</v>
          </cell>
          <cell r="U18" t="str">
            <v>15/10/2025</v>
          </cell>
          <cell r="V18" t="str">
            <v>BG-043</v>
          </cell>
          <cell r="Y18" t="str">
            <v>FINISH</v>
          </cell>
          <cell r="Z18" t="str">
            <v>ACC</v>
          </cell>
          <cell r="AA18" t="str">
            <v>ACC</v>
          </cell>
          <cell r="AB18" t="str">
            <v>MT-2211-ST-22-0017</v>
          </cell>
          <cell r="AC18" t="str">
            <v>ACC</v>
          </cell>
          <cell r="AD18" t="str">
            <v>UT-2211-ST-22-0033</v>
          </cell>
          <cell r="AL18" t="str">
            <v>27/11/2025</v>
          </cell>
          <cell r="AM18" t="str">
            <v>IRN-2211-ST-22-0001</v>
          </cell>
          <cell r="AP18" t="str">
            <v>12/11/2025</v>
          </cell>
        </row>
        <row r="19">
          <cell r="A19" t="str">
            <v>9001-2211-DS-0032-01-WM17</v>
          </cell>
          <cell r="B19" t="str">
            <v>9001-2211-DS-0032-01-WM</v>
          </cell>
          <cell r="C19">
            <v>17</v>
          </cell>
          <cell r="D19" t="str">
            <v>X3</v>
          </cell>
          <cell r="E19" t="str">
            <v>DB</v>
          </cell>
          <cell r="F19" t="str">
            <v>100%MT &amp; UT</v>
          </cell>
          <cell r="G19" t="str">
            <v>D</v>
          </cell>
          <cell r="H19">
            <v>2869.96</v>
          </cell>
          <cell r="I19">
            <v>25</v>
          </cell>
          <cell r="K19" t="str">
            <v>WPS-TNHA-S06</v>
          </cell>
          <cell r="L19" t="str">
            <v>ST-22</v>
          </cell>
          <cell r="M19" t="str">
            <v>XUÂN</v>
          </cell>
          <cell r="N19">
            <v>45956</v>
          </cell>
          <cell r="O19" t="str">
            <v>F-062</v>
          </cell>
          <cell r="P19" t="str">
            <v>6/11/2025</v>
          </cell>
          <cell r="Q19" t="str">
            <v>BGT-0024;BGT-0013;GTC-11</v>
          </cell>
          <cell r="R19" t="str">
            <v>THÁI</v>
          </cell>
          <cell r="S19">
            <v>45971</v>
          </cell>
          <cell r="T19" t="str">
            <v>V-065</v>
          </cell>
          <cell r="U19">
            <v>45959</v>
          </cell>
          <cell r="V19" t="str">
            <v>BG-061</v>
          </cell>
          <cell r="Y19" t="str">
            <v>REJ</v>
          </cell>
          <cell r="Z19" t="str">
            <v>REJ</v>
          </cell>
          <cell r="AA19" t="str">
            <v>ACC</v>
          </cell>
          <cell r="AB19" t="str">
            <v>MT-2211-ST-22-0017</v>
          </cell>
          <cell r="AC19" t="str">
            <v>REJ</v>
          </cell>
          <cell r="AD19" t="str">
            <v>UT-2211-ST-22-0034</v>
          </cell>
          <cell r="AH19">
            <v>45</v>
          </cell>
          <cell r="AL19" t="str">
            <v>27/11/2025</v>
          </cell>
          <cell r="AM19" t="str">
            <v>IRN-2211-ST-22-0001</v>
          </cell>
          <cell r="AP19" t="str">
            <v>12/11/2025</v>
          </cell>
        </row>
        <row r="20">
          <cell r="A20" t="str">
            <v>9001-2211-DS-0032-01-WM17R1</v>
          </cell>
          <cell r="B20" t="str">
            <v>9001-2211-DS-0032-01-WM</v>
          </cell>
          <cell r="C20" t="str">
            <v>17R1</v>
          </cell>
          <cell r="D20" t="str">
            <v>X3</v>
          </cell>
          <cell r="E20" t="str">
            <v>DB</v>
          </cell>
          <cell r="F20" t="str">
            <v>100%MT &amp; UT</v>
          </cell>
          <cell r="G20" t="str">
            <v>L</v>
          </cell>
          <cell r="H20">
            <v>345</v>
          </cell>
          <cell r="I20">
            <v>25</v>
          </cell>
          <cell r="K20" t="str">
            <v>WPS-TNHA-S06</v>
          </cell>
          <cell r="L20" t="str">
            <v>ST-22</v>
          </cell>
          <cell r="M20" t="str">
            <v>NA</v>
          </cell>
          <cell r="N20" t="str">
            <v>NA</v>
          </cell>
          <cell r="O20" t="str">
            <v>NA</v>
          </cell>
          <cell r="P20" t="str">
            <v>12/11/2025</v>
          </cell>
          <cell r="Q20" t="str">
            <v>GTC-12</v>
          </cell>
          <cell r="R20" t="str">
            <v>TUÂN</v>
          </cell>
          <cell r="S20">
            <v>45979</v>
          </cell>
          <cell r="T20" t="str">
            <v>V-081</v>
          </cell>
          <cell r="U20">
            <v>45973</v>
          </cell>
          <cell r="V20" t="str">
            <v>BG-080</v>
          </cell>
          <cell r="Y20" t="str">
            <v>FINISH</v>
          </cell>
          <cell r="Z20" t="str">
            <v>ACC</v>
          </cell>
          <cell r="AA20" t="str">
            <v>ACC</v>
          </cell>
          <cell r="AB20" t="str">
            <v>MT-2211-ST-22-0017R1</v>
          </cell>
          <cell r="AC20" t="str">
            <v>ACC</v>
          </cell>
          <cell r="AD20" t="str">
            <v>UT-2211-ST-22-0034R1</v>
          </cell>
          <cell r="AI20">
            <v>145</v>
          </cell>
          <cell r="AL20" t="str">
            <v>27/11/2025</v>
          </cell>
          <cell r="AM20" t="str">
            <v>IRN-2211-ST-22-0001</v>
          </cell>
          <cell r="AP20" t="str">
            <v>19/11/2025</v>
          </cell>
        </row>
        <row r="21">
          <cell r="A21" t="str">
            <v>9001-2211-DS-0032-01-WM18</v>
          </cell>
          <cell r="B21" t="str">
            <v>9001-2211-DS-0032-01-WM</v>
          </cell>
          <cell r="C21">
            <v>18</v>
          </cell>
          <cell r="D21" t="str">
            <v>X1</v>
          </cell>
          <cell r="E21" t="str">
            <v>DB</v>
          </cell>
          <cell r="F21" t="str">
            <v>100%MT &amp; UT</v>
          </cell>
          <cell r="G21" t="str">
            <v>D</v>
          </cell>
          <cell r="H21">
            <v>4785.3600000000006</v>
          </cell>
          <cell r="I21">
            <v>25</v>
          </cell>
          <cell r="K21" t="str">
            <v>WPS-TNHA-S06</v>
          </cell>
          <cell r="L21" t="str">
            <v>ST-22</v>
          </cell>
          <cell r="M21" t="str">
            <v>BÁCH</v>
          </cell>
          <cell r="N21">
            <v>45941</v>
          </cell>
          <cell r="O21" t="str">
            <v>F-041</v>
          </cell>
          <cell r="P21" t="str">
            <v>21/10/2025</v>
          </cell>
          <cell r="Q21" t="str">
            <v>GTC-07;BGT-0002</v>
          </cell>
          <cell r="R21" t="str">
            <v>TUÂN</v>
          </cell>
          <cell r="S21">
            <v>45966</v>
          </cell>
          <cell r="T21" t="str">
            <v>V-058</v>
          </cell>
          <cell r="U21">
            <v>45944</v>
          </cell>
          <cell r="V21" t="str">
            <v>BG-041</v>
          </cell>
          <cell r="Y21" t="str">
            <v>FINISH</v>
          </cell>
          <cell r="Z21" t="str">
            <v>ACC</v>
          </cell>
          <cell r="AA21" t="str">
            <v>ACC</v>
          </cell>
          <cell r="AB21" t="str">
            <v>MT-2211-ST-22-0012</v>
          </cell>
          <cell r="AC21" t="str">
            <v>ACC</v>
          </cell>
          <cell r="AD21" t="str">
            <v>UT-2211-ST-22-0025</v>
          </cell>
          <cell r="AJ21" t="str">
            <v>XX/12/2025</v>
          </cell>
          <cell r="AK21" t="str">
            <v>FINAL-V-156</v>
          </cell>
          <cell r="AL21" t="str">
            <v>XX/12/2025</v>
          </cell>
          <cell r="AM21" t="str">
            <v>IRN-2211-ST-22-0004</v>
          </cell>
          <cell r="AN21" t="str">
            <v>B</v>
          </cell>
          <cell r="AP21" t="str">
            <v>12/11/2025</v>
          </cell>
        </row>
        <row r="22">
          <cell r="A22" t="str">
            <v>9001-2211-DS-0032-01-WM19</v>
          </cell>
          <cell r="B22" t="str">
            <v>9001-2211-DS-0032-01-WM</v>
          </cell>
          <cell r="C22">
            <v>19</v>
          </cell>
          <cell r="D22" t="str">
            <v>X2</v>
          </cell>
          <cell r="E22" t="str">
            <v>DV</v>
          </cell>
          <cell r="F22" t="str">
            <v>100%MT &amp; UT</v>
          </cell>
          <cell r="G22" t="str">
            <v>L</v>
          </cell>
          <cell r="H22">
            <v>750</v>
          </cell>
          <cell r="I22">
            <v>25</v>
          </cell>
          <cell r="K22" t="str">
            <v>WPS-TNHA-S06</v>
          </cell>
          <cell r="L22" t="str">
            <v>ST-22</v>
          </cell>
          <cell r="M22" t="str">
            <v>HIẾU</v>
          </cell>
          <cell r="N22">
            <v>45945</v>
          </cell>
          <cell r="O22" t="str">
            <v>F-047</v>
          </cell>
          <cell r="P22" t="str">
            <v>21/10/2025</v>
          </cell>
          <cell r="Q22" t="str">
            <v>GTC-07;BGT-0002</v>
          </cell>
          <cell r="R22" t="str">
            <v>TUÂN</v>
          </cell>
          <cell r="S22">
            <v>45966</v>
          </cell>
          <cell r="T22" t="str">
            <v>V-058</v>
          </cell>
          <cell r="U22">
            <v>45947</v>
          </cell>
          <cell r="V22" t="str">
            <v>BG-045</v>
          </cell>
          <cell r="Y22" t="str">
            <v>FINISH</v>
          </cell>
          <cell r="Z22" t="str">
            <v>ACC</v>
          </cell>
          <cell r="AA22" t="str">
            <v>ACC</v>
          </cell>
          <cell r="AB22" t="str">
            <v>MT-2211-ST-22-0012</v>
          </cell>
          <cell r="AC22" t="str">
            <v>ACC</v>
          </cell>
          <cell r="AD22" t="str">
            <v>UT-2211-ST-22-0026</v>
          </cell>
          <cell r="AJ22" t="str">
            <v>XX/12/2025</v>
          </cell>
          <cell r="AK22" t="str">
            <v>FINAL-V-156</v>
          </cell>
          <cell r="AL22" t="str">
            <v>XX/12/2025</v>
          </cell>
          <cell r="AM22" t="str">
            <v>IRN-2211-ST-22-0004</v>
          </cell>
          <cell r="AN22" t="str">
            <v>B</v>
          </cell>
          <cell r="AP22" t="str">
            <v>12/11/2025</v>
          </cell>
        </row>
        <row r="23">
          <cell r="A23" t="str">
            <v>9001-2211-DS-0032-01-WM20</v>
          </cell>
          <cell r="B23" t="str">
            <v>9001-2211-DS-0032-01-WM</v>
          </cell>
          <cell r="C23">
            <v>20</v>
          </cell>
          <cell r="D23" t="str">
            <v>X3</v>
          </cell>
          <cell r="E23" t="str">
            <v>DB</v>
          </cell>
          <cell r="F23" t="str">
            <v>100%MT &amp; UT</v>
          </cell>
          <cell r="G23" t="str">
            <v>D</v>
          </cell>
          <cell r="H23">
            <v>2869.96</v>
          </cell>
          <cell r="I23">
            <v>25</v>
          </cell>
          <cell r="K23" t="str">
            <v>WPS-TNHA-S06</v>
          </cell>
          <cell r="L23" t="str">
            <v>ST-22</v>
          </cell>
          <cell r="M23" t="str">
            <v>THÁI</v>
          </cell>
          <cell r="N23">
            <v>45979</v>
          </cell>
          <cell r="O23" t="str">
            <v>F-090</v>
          </cell>
          <cell r="P23" t="str">
            <v>3/12/2025</v>
          </cell>
          <cell r="Q23" t="str">
            <v>BGT-0008;BGT-0015;GTC-12</v>
          </cell>
          <cell r="R23" t="str">
            <v>THÁI</v>
          </cell>
          <cell r="S23">
            <v>46003</v>
          </cell>
          <cell r="T23" t="str">
            <v>V-132</v>
          </cell>
          <cell r="U23">
            <v>45987</v>
          </cell>
          <cell r="V23" t="str">
            <v>BG-093</v>
          </cell>
          <cell r="Y23" t="str">
            <v>FINISH</v>
          </cell>
          <cell r="Z23" t="str">
            <v>ACC</v>
          </cell>
          <cell r="AA23" t="str">
            <v>ACC</v>
          </cell>
          <cell r="AB23" t="str">
            <v>MT-2211-ST-22-0037</v>
          </cell>
          <cell r="AC23" t="str">
            <v>ACC</v>
          </cell>
          <cell r="AD23" t="str">
            <v>UT-2211-ST-22-0068</v>
          </cell>
          <cell r="AJ23" t="str">
            <v>XX/12/2025</v>
          </cell>
          <cell r="AK23" t="str">
            <v>FINAL-V-156</v>
          </cell>
          <cell r="AL23" t="str">
            <v>XX/12/2025</v>
          </cell>
          <cell r="AM23" t="str">
            <v>IRN-2211-ST-22-0004</v>
          </cell>
          <cell r="AN23" t="str">
            <v>B</v>
          </cell>
          <cell r="AP23" t="str">
            <v>16/12/2025</v>
          </cell>
        </row>
        <row r="24">
          <cell r="A24" t="str">
            <v>9001-2211-DS-0032-01-WM21</v>
          </cell>
          <cell r="B24" t="str">
            <v>9001-2211-DS-0032-01-WM</v>
          </cell>
          <cell r="C24">
            <v>21</v>
          </cell>
          <cell r="D24" t="str">
            <v>X1</v>
          </cell>
          <cell r="E24" t="str">
            <v>DB</v>
          </cell>
          <cell r="F24" t="str">
            <v>100%MT &amp; UT</v>
          </cell>
          <cell r="G24" t="str">
            <v>D</v>
          </cell>
          <cell r="H24">
            <v>4785.3600000000006</v>
          </cell>
          <cell r="I24">
            <v>25</v>
          </cell>
          <cell r="K24" t="str">
            <v>WPS-TNHA-S06</v>
          </cell>
          <cell r="L24" t="str">
            <v>ST-22</v>
          </cell>
          <cell r="M24" t="str">
            <v>HIẾU</v>
          </cell>
          <cell r="N24">
            <v>45938</v>
          </cell>
          <cell r="O24" t="str">
            <v>F-036</v>
          </cell>
          <cell r="P24" t="str">
            <v>6/11/2025</v>
          </cell>
          <cell r="Q24" t="str">
            <v>BGT-0015;BGT-0016;BGT-0006</v>
          </cell>
          <cell r="R24" t="str">
            <v>THÁI</v>
          </cell>
          <cell r="S24">
            <v>45971</v>
          </cell>
          <cell r="T24" t="str">
            <v>V-065</v>
          </cell>
          <cell r="U24">
            <v>45942</v>
          </cell>
          <cell r="V24" t="str">
            <v>BG-039</v>
          </cell>
          <cell r="Y24" t="str">
            <v>FINISH</v>
          </cell>
          <cell r="Z24" t="str">
            <v>ACC</v>
          </cell>
          <cell r="AA24" t="str">
            <v>ACC</v>
          </cell>
          <cell r="AB24" t="str">
            <v>MT-2211-ST-22-0017</v>
          </cell>
          <cell r="AC24" t="str">
            <v>ACC</v>
          </cell>
          <cell r="AD24" t="str">
            <v>UT-2211-ST-22-0035</v>
          </cell>
          <cell r="AL24" t="str">
            <v>27/11/2025</v>
          </cell>
          <cell r="AM24" t="str">
            <v>IRN-2211-ST-22-0001</v>
          </cell>
          <cell r="AP24" t="str">
            <v>12/11/2025</v>
          </cell>
        </row>
        <row r="25">
          <cell r="A25" t="str">
            <v>9001-2211-DS-0032-01-WM22</v>
          </cell>
          <cell r="B25" t="str">
            <v>9001-2211-DS-0032-01-WM</v>
          </cell>
          <cell r="C25">
            <v>22</v>
          </cell>
          <cell r="D25" t="str">
            <v>X2</v>
          </cell>
          <cell r="E25" t="str">
            <v>DV</v>
          </cell>
          <cell r="F25" t="str">
            <v>100%MT &amp; UT</v>
          </cell>
          <cell r="G25" t="str">
            <v>L</v>
          </cell>
          <cell r="H25">
            <v>750</v>
          </cell>
          <cell r="I25">
            <v>25</v>
          </cell>
          <cell r="K25" t="str">
            <v>WPS-TNHA-S06</v>
          </cell>
          <cell r="L25" t="str">
            <v>ST-22</v>
          </cell>
          <cell r="M25" t="str">
            <v>TUÂN</v>
          </cell>
          <cell r="N25">
            <v>45943</v>
          </cell>
          <cell r="O25" t="str">
            <v>F-044</v>
          </cell>
          <cell r="P25" t="str">
            <v>6/11/2025</v>
          </cell>
          <cell r="Q25" t="str">
            <v>BGT-0015;BGT-0016;BGT-0006</v>
          </cell>
          <cell r="R25" t="str">
            <v>THÁI</v>
          </cell>
          <cell r="S25">
            <v>45971</v>
          </cell>
          <cell r="T25" t="str">
            <v>V-065</v>
          </cell>
          <cell r="U25" t="str">
            <v>15/10/2025</v>
          </cell>
          <cell r="V25" t="str">
            <v>BG-043</v>
          </cell>
          <cell r="Y25" t="str">
            <v>FINISH</v>
          </cell>
          <cell r="Z25" t="str">
            <v>ACC</v>
          </cell>
          <cell r="AA25" t="str">
            <v>ACC</v>
          </cell>
          <cell r="AB25" t="str">
            <v>MT-2211-ST-22-0017</v>
          </cell>
          <cell r="AC25" t="str">
            <v>ACC</v>
          </cell>
          <cell r="AD25" t="str">
            <v>UT-2211-ST-22-0033</v>
          </cell>
          <cell r="AL25" t="str">
            <v>27/11/2025</v>
          </cell>
          <cell r="AM25" t="str">
            <v>IRN-2211-ST-22-0001</v>
          </cell>
          <cell r="AP25" t="str">
            <v>12/11/2025</v>
          </cell>
        </row>
        <row r="26">
          <cell r="A26" t="str">
            <v>9001-2211-DS-0032-01-WM23</v>
          </cell>
          <cell r="B26" t="str">
            <v>9001-2211-DS-0032-01-WM</v>
          </cell>
          <cell r="C26">
            <v>23</v>
          </cell>
          <cell r="D26" t="str">
            <v>X1</v>
          </cell>
          <cell r="E26" t="str">
            <v>DB</v>
          </cell>
          <cell r="F26" t="str">
            <v>100%MT &amp; UT</v>
          </cell>
          <cell r="G26" t="str">
            <v>D</v>
          </cell>
          <cell r="H26">
            <v>4785.3600000000006</v>
          </cell>
          <cell r="I26">
            <v>25</v>
          </cell>
          <cell r="K26" t="str">
            <v>WPS-TNHA-S06</v>
          </cell>
          <cell r="L26" t="str">
            <v>ST-22</v>
          </cell>
          <cell r="M26" t="str">
            <v>BÁCH</v>
          </cell>
          <cell r="N26">
            <v>45941</v>
          </cell>
          <cell r="O26" t="str">
            <v>F-041</v>
          </cell>
          <cell r="P26" t="str">
            <v>21/10/2025</v>
          </cell>
          <cell r="Q26" t="str">
            <v>GTC-07;BGT-0002</v>
          </cell>
          <cell r="R26" t="str">
            <v>TUÂN</v>
          </cell>
          <cell r="S26">
            <v>45966</v>
          </cell>
          <cell r="T26" t="str">
            <v>V-058</v>
          </cell>
          <cell r="U26">
            <v>45944</v>
          </cell>
          <cell r="V26" t="str">
            <v>BG-041</v>
          </cell>
          <cell r="Y26" t="str">
            <v>FINISH</v>
          </cell>
          <cell r="Z26" t="str">
            <v>ACC</v>
          </cell>
          <cell r="AA26" t="str">
            <v>ACC</v>
          </cell>
          <cell r="AB26" t="str">
            <v>MT-2211-ST-22-0012</v>
          </cell>
          <cell r="AC26" t="str">
            <v>ACC</v>
          </cell>
          <cell r="AD26" t="str">
            <v>UT-2211-ST-22-0025</v>
          </cell>
          <cell r="AJ26" t="str">
            <v>XX/12/2025</v>
          </cell>
          <cell r="AK26" t="str">
            <v>FINAL-V-156</v>
          </cell>
          <cell r="AL26" t="str">
            <v>XX/12/2025</v>
          </cell>
          <cell r="AM26" t="str">
            <v>IRN-2211-ST-22-0004</v>
          </cell>
          <cell r="AN26" t="str">
            <v>B</v>
          </cell>
          <cell r="AP26" t="str">
            <v>12/11/2025</v>
          </cell>
        </row>
        <row r="27">
          <cell r="A27" t="str">
            <v>9001-2211-DS-0032-01-WM24</v>
          </cell>
          <cell r="B27" t="str">
            <v>9001-2211-DS-0032-01-WM</v>
          </cell>
          <cell r="C27">
            <v>24</v>
          </cell>
          <cell r="D27" t="str">
            <v>X2</v>
          </cell>
          <cell r="E27" t="str">
            <v>DV</v>
          </cell>
          <cell r="F27" t="str">
            <v>100%MT &amp; UT</v>
          </cell>
          <cell r="G27" t="str">
            <v>L</v>
          </cell>
          <cell r="H27">
            <v>750</v>
          </cell>
          <cell r="I27">
            <v>25</v>
          </cell>
          <cell r="K27" t="str">
            <v>WPS-TNHA-S06</v>
          </cell>
          <cell r="L27" t="str">
            <v>ST-22</v>
          </cell>
          <cell r="M27" t="str">
            <v>HIẾU</v>
          </cell>
          <cell r="N27">
            <v>45945</v>
          </cell>
          <cell r="O27" t="str">
            <v>F-047</v>
          </cell>
          <cell r="P27" t="str">
            <v>21/10/2025</v>
          </cell>
          <cell r="Q27" t="str">
            <v>GTC-07;BGT-0002</v>
          </cell>
          <cell r="R27" t="str">
            <v>TUÂN</v>
          </cell>
          <cell r="S27">
            <v>45966</v>
          </cell>
          <cell r="T27" t="str">
            <v>V-058</v>
          </cell>
          <cell r="U27">
            <v>45947</v>
          </cell>
          <cell r="V27" t="str">
            <v>BG-045</v>
          </cell>
          <cell r="Y27" t="str">
            <v>FINISH</v>
          </cell>
          <cell r="Z27" t="str">
            <v>ACC</v>
          </cell>
          <cell r="AA27" t="str">
            <v>ACC</v>
          </cell>
          <cell r="AB27" t="str">
            <v>MT-2211-ST-22-0013</v>
          </cell>
          <cell r="AC27" t="str">
            <v>ACC</v>
          </cell>
          <cell r="AD27" t="str">
            <v>UT-2211-ST-22-0026</v>
          </cell>
          <cell r="AJ27" t="str">
            <v>XX/12/2025</v>
          </cell>
          <cell r="AK27" t="str">
            <v>FINAL-V-156</v>
          </cell>
          <cell r="AL27" t="str">
            <v>XX/12/2025</v>
          </cell>
          <cell r="AM27" t="str">
            <v>IRN-2211-ST-22-0004</v>
          </cell>
          <cell r="AN27" t="str">
            <v>B</v>
          </cell>
          <cell r="AP27" t="str">
            <v>12/11/2025</v>
          </cell>
        </row>
        <row r="28">
          <cell r="A28" t="str">
            <v>9001-2211-DS-0032-01-WM25</v>
          </cell>
          <cell r="B28" t="str">
            <v>9001-2211-DS-0032-01-WM</v>
          </cell>
          <cell r="C28">
            <v>25</v>
          </cell>
          <cell r="D28" t="str">
            <v>X1</v>
          </cell>
          <cell r="E28" t="str">
            <v>DB</v>
          </cell>
          <cell r="F28" t="str">
            <v>100%MT &amp; UT</v>
          </cell>
          <cell r="G28" t="str">
            <v>D</v>
          </cell>
          <cell r="H28">
            <v>4785.3600000000006</v>
          </cell>
          <cell r="I28">
            <v>25</v>
          </cell>
          <cell r="K28" t="str">
            <v>WPS-TNHA-S06</v>
          </cell>
          <cell r="L28" t="str">
            <v>ST-22</v>
          </cell>
          <cell r="M28" t="str">
            <v>HIẾU</v>
          </cell>
          <cell r="N28">
            <v>45938</v>
          </cell>
          <cell r="O28" t="str">
            <v>F-036</v>
          </cell>
          <cell r="P28" t="str">
            <v>6/11/2025</v>
          </cell>
          <cell r="Q28" t="str">
            <v>BGT-0015;BGT-0016;BGT-0006</v>
          </cell>
          <cell r="R28" t="str">
            <v>THÁI</v>
          </cell>
          <cell r="S28">
            <v>45971</v>
          </cell>
          <cell r="T28" t="str">
            <v>V-065</v>
          </cell>
          <cell r="U28">
            <v>45942</v>
          </cell>
          <cell r="V28" t="str">
            <v>BG-039</v>
          </cell>
          <cell r="Y28" t="str">
            <v>FINISH</v>
          </cell>
          <cell r="Z28" t="str">
            <v>ACC</v>
          </cell>
          <cell r="AA28" t="str">
            <v>ACC</v>
          </cell>
          <cell r="AB28" t="str">
            <v>MT-2211-ST-22-0017</v>
          </cell>
          <cell r="AC28" t="str">
            <v>ACC</v>
          </cell>
          <cell r="AD28" t="str">
            <v>UT-2211-ST-22-0035</v>
          </cell>
          <cell r="AL28" t="str">
            <v>27/11/2025</v>
          </cell>
          <cell r="AM28" t="str">
            <v>IRN-2211-ST-22-0001</v>
          </cell>
          <cell r="AP28" t="str">
            <v>12/11/2025</v>
          </cell>
        </row>
        <row r="29">
          <cell r="A29" t="str">
            <v>9001-2211-DS-0032-01-WM26</v>
          </cell>
          <cell r="B29" t="str">
            <v>9001-2211-DS-0032-01-WM</v>
          </cell>
          <cell r="C29">
            <v>26</v>
          </cell>
          <cell r="D29" t="str">
            <v>X2</v>
          </cell>
          <cell r="E29" t="str">
            <v>DV</v>
          </cell>
          <cell r="F29" t="str">
            <v>100%MT &amp; UT</v>
          </cell>
          <cell r="G29" t="str">
            <v>L</v>
          </cell>
          <cell r="H29">
            <v>750</v>
          </cell>
          <cell r="I29">
            <v>25</v>
          </cell>
          <cell r="K29" t="str">
            <v>WPS-TNHA-S06</v>
          </cell>
          <cell r="L29" t="str">
            <v>ST-22</v>
          </cell>
          <cell r="M29" t="str">
            <v>TUÂN</v>
          </cell>
          <cell r="N29">
            <v>45943</v>
          </cell>
          <cell r="O29" t="str">
            <v>F-044</v>
          </cell>
          <cell r="P29" t="str">
            <v>6/11/2025</v>
          </cell>
          <cell r="Q29" t="str">
            <v>BGT-0015;BGT-0016;BGT-0006</v>
          </cell>
          <cell r="R29" t="str">
            <v>THÁI</v>
          </cell>
          <cell r="S29">
            <v>45971</v>
          </cell>
          <cell r="T29" t="str">
            <v>V-065</v>
          </cell>
          <cell r="U29" t="str">
            <v>15/10/2025</v>
          </cell>
          <cell r="V29" t="str">
            <v>BG-043</v>
          </cell>
          <cell r="Y29" t="str">
            <v>FINISH</v>
          </cell>
          <cell r="Z29" t="str">
            <v>ACC</v>
          </cell>
          <cell r="AA29" t="str">
            <v>ACC</v>
          </cell>
          <cell r="AB29" t="str">
            <v>MT-2211-ST-22-0017</v>
          </cell>
          <cell r="AC29" t="str">
            <v>ACC</v>
          </cell>
          <cell r="AD29" t="str">
            <v>UT-2211-ST-22-0033</v>
          </cell>
          <cell r="AL29" t="str">
            <v>27/11/2025</v>
          </cell>
          <cell r="AM29" t="str">
            <v>IRN-2211-ST-22-0001</v>
          </cell>
          <cell r="AP29" t="str">
            <v>12/11/2025</v>
          </cell>
        </row>
        <row r="30">
          <cell r="A30" t="str">
            <v>9001-2211-DS-0032-01-WM27</v>
          </cell>
          <cell r="B30" t="str">
            <v>9001-2211-DS-0032-01-WM</v>
          </cell>
          <cell r="C30">
            <v>27</v>
          </cell>
          <cell r="D30" t="str">
            <v>X1</v>
          </cell>
          <cell r="E30" t="str">
            <v>DB</v>
          </cell>
          <cell r="F30" t="str">
            <v>100%MT &amp; UT</v>
          </cell>
          <cell r="G30" t="str">
            <v>D</v>
          </cell>
          <cell r="H30">
            <v>4785.3600000000006</v>
          </cell>
          <cell r="I30">
            <v>25</v>
          </cell>
          <cell r="K30" t="str">
            <v>WPS-TNHA-S06</v>
          </cell>
          <cell r="L30" t="str">
            <v>ST-22</v>
          </cell>
          <cell r="M30" t="str">
            <v>BÁCH</v>
          </cell>
          <cell r="N30">
            <v>45941</v>
          </cell>
          <cell r="O30" t="str">
            <v>F-041</v>
          </cell>
          <cell r="P30" t="str">
            <v>21/10/2025</v>
          </cell>
          <cell r="Q30" t="str">
            <v>GTC-07;BGT-0002</v>
          </cell>
          <cell r="R30" t="str">
            <v>TUÂN</v>
          </cell>
          <cell r="S30">
            <v>45966</v>
          </cell>
          <cell r="T30" t="str">
            <v>V-058</v>
          </cell>
          <cell r="U30">
            <v>45944</v>
          </cell>
          <cell r="V30" t="str">
            <v>BG-041</v>
          </cell>
          <cell r="Y30" t="str">
            <v>FINISH</v>
          </cell>
          <cell r="Z30" t="str">
            <v>ACC</v>
          </cell>
          <cell r="AA30" t="str">
            <v>ACC</v>
          </cell>
          <cell r="AB30" t="str">
            <v>MT-2211-ST-22-0013</v>
          </cell>
          <cell r="AC30" t="str">
            <v>ACC</v>
          </cell>
          <cell r="AD30" t="str">
            <v>UT-2211-ST-22-0025</v>
          </cell>
          <cell r="AJ30" t="str">
            <v>XX/12/2025</v>
          </cell>
          <cell r="AK30" t="str">
            <v>FINAL-V-156</v>
          </cell>
          <cell r="AL30" t="str">
            <v>XX/12/2025</v>
          </cell>
          <cell r="AM30" t="str">
            <v>IRN-2211-ST-22-0004</v>
          </cell>
          <cell r="AN30" t="str">
            <v>B</v>
          </cell>
          <cell r="AP30" t="str">
            <v>12/11/2025</v>
          </cell>
        </row>
        <row r="31">
          <cell r="A31" t="str">
            <v>9001-2211-DS-0032-01-WM28</v>
          </cell>
          <cell r="B31" t="str">
            <v>9001-2211-DS-0032-01-WM</v>
          </cell>
          <cell r="C31">
            <v>28</v>
          </cell>
          <cell r="D31" t="str">
            <v>X2</v>
          </cell>
          <cell r="E31" t="str">
            <v>DV</v>
          </cell>
          <cell r="F31" t="str">
            <v>100%MT &amp; UT</v>
          </cell>
          <cell r="G31" t="str">
            <v>L</v>
          </cell>
          <cell r="H31">
            <v>750</v>
          </cell>
          <cell r="I31">
            <v>25</v>
          </cell>
          <cell r="K31" t="str">
            <v>WPS-TNHA-S06</v>
          </cell>
          <cell r="L31" t="str">
            <v>ST-22</v>
          </cell>
          <cell r="M31" t="str">
            <v>HIẾU</v>
          </cell>
          <cell r="N31">
            <v>45945</v>
          </cell>
          <cell r="O31" t="str">
            <v>F-047</v>
          </cell>
          <cell r="P31" t="str">
            <v>21/10/2025</v>
          </cell>
          <cell r="Q31" t="str">
            <v>GTC-07;BGT-0002</v>
          </cell>
          <cell r="R31" t="str">
            <v>TUÂN</v>
          </cell>
          <cell r="S31">
            <v>45966</v>
          </cell>
          <cell r="T31" t="str">
            <v>V-058</v>
          </cell>
          <cell r="U31">
            <v>45947</v>
          </cell>
          <cell r="V31" t="str">
            <v>BG-045</v>
          </cell>
          <cell r="Y31" t="str">
            <v>FINISH</v>
          </cell>
          <cell r="Z31" t="str">
            <v>ACC</v>
          </cell>
          <cell r="AA31" t="str">
            <v>ACC</v>
          </cell>
          <cell r="AB31" t="str">
            <v>MT-2211-ST-22-0013</v>
          </cell>
          <cell r="AC31" t="str">
            <v>ACC</v>
          </cell>
          <cell r="AD31" t="str">
            <v>UT-2211-ST-22-0026</v>
          </cell>
          <cell r="AJ31" t="str">
            <v>XX/12/2025</v>
          </cell>
          <cell r="AK31" t="str">
            <v>FINAL-V-156</v>
          </cell>
          <cell r="AL31" t="str">
            <v>XX/12/2025</v>
          </cell>
          <cell r="AM31" t="str">
            <v>IRN-2211-ST-22-0004</v>
          </cell>
          <cell r="AN31" t="str">
            <v>B</v>
          </cell>
          <cell r="AP31" t="str">
            <v>12/11/2025</v>
          </cell>
        </row>
        <row r="32">
          <cell r="A32" t="str">
            <v>9001-2211-DS-0032-01-WM29</v>
          </cell>
          <cell r="B32" t="str">
            <v>9001-2211-DS-0032-01-WM</v>
          </cell>
          <cell r="C32">
            <v>29</v>
          </cell>
          <cell r="D32" t="str">
            <v>X1</v>
          </cell>
          <cell r="E32" t="str">
            <v>DB</v>
          </cell>
          <cell r="F32" t="str">
            <v>100%MT &amp; UT</v>
          </cell>
          <cell r="G32" t="str">
            <v>D</v>
          </cell>
          <cell r="H32">
            <v>4785.3600000000006</v>
          </cell>
          <cell r="I32">
            <v>25</v>
          </cell>
          <cell r="K32" t="str">
            <v>WPS-TNHA-S06</v>
          </cell>
          <cell r="L32" t="str">
            <v>ST-22</v>
          </cell>
          <cell r="M32" t="str">
            <v>XUÂN</v>
          </cell>
          <cell r="N32">
            <v>45956</v>
          </cell>
          <cell r="O32" t="str">
            <v>F-062</v>
          </cell>
          <cell r="P32" t="str">
            <v>6/11/2025</v>
          </cell>
          <cell r="Q32" t="str">
            <v>BGT-0024;BGT-0013;GTC-11</v>
          </cell>
          <cell r="R32" t="str">
            <v>THÁI</v>
          </cell>
          <cell r="S32">
            <v>45971</v>
          </cell>
          <cell r="T32" t="str">
            <v>V-065</v>
          </cell>
          <cell r="U32">
            <v>45959</v>
          </cell>
          <cell r="V32" t="str">
            <v>BG-061</v>
          </cell>
          <cell r="Y32" t="str">
            <v>FINISH</v>
          </cell>
          <cell r="Z32" t="str">
            <v>ACC</v>
          </cell>
          <cell r="AA32" t="str">
            <v>ACC</v>
          </cell>
          <cell r="AB32" t="str">
            <v>MT-2211-ST-22-0017</v>
          </cell>
          <cell r="AC32" t="str">
            <v>ACC</v>
          </cell>
          <cell r="AD32" t="str">
            <v>UT-2211-ST-22-0035</v>
          </cell>
          <cell r="AL32" t="str">
            <v>27/11/2025</v>
          </cell>
          <cell r="AM32" t="str">
            <v>IRN-2211-ST-22-0001</v>
          </cell>
          <cell r="AP32" t="str">
            <v>12/11/2025</v>
          </cell>
        </row>
        <row r="33">
          <cell r="A33" t="str">
            <v>9001-2211-DS-0032-01-WM30</v>
          </cell>
          <cell r="B33" t="str">
            <v>9001-2211-DS-0032-01-WM</v>
          </cell>
          <cell r="C33">
            <v>30</v>
          </cell>
          <cell r="D33" t="str">
            <v>X2</v>
          </cell>
          <cell r="E33" t="str">
            <v>DV</v>
          </cell>
          <cell r="F33" t="str">
            <v>100%MT &amp; UT</v>
          </cell>
          <cell r="G33" t="str">
            <v>L</v>
          </cell>
          <cell r="H33">
            <v>750</v>
          </cell>
          <cell r="I33">
            <v>25</v>
          </cell>
          <cell r="K33" t="str">
            <v>WPS-TNHA-S06</v>
          </cell>
          <cell r="L33" t="str">
            <v>ST-22</v>
          </cell>
          <cell r="M33" t="str">
            <v>XUÂN</v>
          </cell>
          <cell r="N33">
            <v>45956</v>
          </cell>
          <cell r="O33" t="str">
            <v>F-062</v>
          </cell>
          <cell r="P33" t="str">
            <v>6/11/2025</v>
          </cell>
          <cell r="Q33" t="str">
            <v>BGT-0024;BGT-0013;GTC-11</v>
          </cell>
          <cell r="R33" t="str">
            <v>THÁI</v>
          </cell>
          <cell r="S33">
            <v>45971</v>
          </cell>
          <cell r="T33" t="str">
            <v>V-065</v>
          </cell>
          <cell r="U33">
            <v>45965</v>
          </cell>
          <cell r="V33" t="str">
            <v>BG-071</v>
          </cell>
          <cell r="Y33" t="str">
            <v>FINISH</v>
          </cell>
          <cell r="Z33" t="str">
            <v>ACC</v>
          </cell>
          <cell r="AA33" t="str">
            <v>ACC</v>
          </cell>
          <cell r="AB33" t="str">
            <v>MT-2211-ST-22-0017</v>
          </cell>
          <cell r="AC33" t="str">
            <v>ACC</v>
          </cell>
          <cell r="AD33" t="str">
            <v>UT-2211-ST-22-0033</v>
          </cell>
          <cell r="AL33" t="str">
            <v>27/11/2025</v>
          </cell>
          <cell r="AM33" t="str">
            <v>IRN-2211-ST-22-0001</v>
          </cell>
          <cell r="AP33" t="str">
            <v>12/11/2025</v>
          </cell>
        </row>
        <row r="34">
          <cell r="A34" t="str">
            <v>9001-2211-DS-0032-01-WM31</v>
          </cell>
          <cell r="B34" t="str">
            <v>9001-2211-DS-0032-01-WM</v>
          </cell>
          <cell r="C34">
            <v>31</v>
          </cell>
          <cell r="D34" t="str">
            <v>X1</v>
          </cell>
          <cell r="E34" t="str">
            <v>DB</v>
          </cell>
          <cell r="F34" t="str">
            <v>100%MT &amp; UT</v>
          </cell>
          <cell r="G34" t="str">
            <v>D</v>
          </cell>
          <cell r="H34">
            <v>4785.3600000000006</v>
          </cell>
          <cell r="I34">
            <v>25</v>
          </cell>
          <cell r="K34" t="str">
            <v>WPS-TNHA-S06</v>
          </cell>
          <cell r="L34" t="str">
            <v>ST-22</v>
          </cell>
          <cell r="M34" t="str">
            <v>THÁI</v>
          </cell>
          <cell r="N34">
            <v>45979</v>
          </cell>
          <cell r="O34" t="str">
            <v>F-090</v>
          </cell>
          <cell r="P34" t="str">
            <v>3/12/2025</v>
          </cell>
          <cell r="Q34" t="str">
            <v>BGT-0008;BGT-0015;GTC-12</v>
          </cell>
          <cell r="R34" t="str">
            <v>THÁI</v>
          </cell>
          <cell r="S34">
            <v>46003</v>
          </cell>
          <cell r="T34" t="str">
            <v>V-132</v>
          </cell>
          <cell r="U34">
            <v>45987</v>
          </cell>
          <cell r="V34" t="str">
            <v>BG-093</v>
          </cell>
          <cell r="Y34" t="str">
            <v>FINISH</v>
          </cell>
          <cell r="Z34" t="str">
            <v>ACC</v>
          </cell>
          <cell r="AA34" t="str">
            <v>ACC</v>
          </cell>
          <cell r="AB34" t="str">
            <v>MT-2211-ST-22-0037</v>
          </cell>
          <cell r="AC34" t="str">
            <v>ACC</v>
          </cell>
          <cell r="AD34" t="str">
            <v>UT-2211-ST-22-0068</v>
          </cell>
          <cell r="AJ34" t="str">
            <v>XX/12/2025</v>
          </cell>
          <cell r="AK34" t="str">
            <v>FINAL-V-156</v>
          </cell>
          <cell r="AL34" t="str">
            <v>XX/12/2025</v>
          </cell>
          <cell r="AM34" t="str">
            <v>IRN-2211-ST-22-0004</v>
          </cell>
          <cell r="AN34" t="str">
            <v>B</v>
          </cell>
          <cell r="AP34" t="str">
            <v>16/12/2025</v>
          </cell>
        </row>
        <row r="35">
          <cell r="A35" t="str">
            <v>9001-2211-DS-0032-01-WM32</v>
          </cell>
          <cell r="B35" t="str">
            <v>9001-2211-DS-0032-01-WM</v>
          </cell>
          <cell r="C35">
            <v>32</v>
          </cell>
          <cell r="D35" t="str">
            <v>X2</v>
          </cell>
          <cell r="E35" t="str">
            <v>DV</v>
          </cell>
          <cell r="F35" t="str">
            <v>100%MT &amp; UT</v>
          </cell>
          <cell r="G35" t="str">
            <v>L</v>
          </cell>
          <cell r="H35">
            <v>750</v>
          </cell>
          <cell r="I35">
            <v>25</v>
          </cell>
          <cell r="K35" t="str">
            <v>WPS-TNHA-S06</v>
          </cell>
          <cell r="L35" t="str">
            <v>ST-22</v>
          </cell>
          <cell r="M35" t="str">
            <v>THÁI</v>
          </cell>
          <cell r="N35">
            <v>45979</v>
          </cell>
          <cell r="O35" t="str">
            <v>F-090</v>
          </cell>
          <cell r="P35" t="str">
            <v>3/12/2025</v>
          </cell>
          <cell r="Q35" t="str">
            <v>BGT-0008</v>
          </cell>
          <cell r="R35" t="str">
            <v>THÁI</v>
          </cell>
          <cell r="S35">
            <v>46003</v>
          </cell>
          <cell r="T35" t="str">
            <v>V-132</v>
          </cell>
          <cell r="U35">
            <v>45993</v>
          </cell>
          <cell r="V35" t="str">
            <v>BG-105</v>
          </cell>
          <cell r="Y35" t="str">
            <v>FINISH</v>
          </cell>
          <cell r="Z35" t="str">
            <v>ACC</v>
          </cell>
          <cell r="AA35" t="str">
            <v>ACC</v>
          </cell>
          <cell r="AB35" t="str">
            <v>MT-2211-ST-22-0037</v>
          </cell>
          <cell r="AC35" t="str">
            <v>ACC</v>
          </cell>
          <cell r="AD35" t="str">
            <v>UT-2211-ST-22-0069</v>
          </cell>
          <cell r="AJ35" t="str">
            <v>XX/12/2025</v>
          </cell>
          <cell r="AK35" t="str">
            <v>FINAL-V-156</v>
          </cell>
          <cell r="AL35" t="str">
            <v>XX/12/2025</v>
          </cell>
          <cell r="AM35" t="str">
            <v>IRN-2211-ST-22-0004</v>
          </cell>
          <cell r="AN35" t="str">
            <v>B</v>
          </cell>
          <cell r="AP35" t="str">
            <v>16/12/2025</v>
          </cell>
        </row>
        <row r="36">
          <cell r="A36" t="str">
            <v>9001-2211-DS-0032-01-WM33</v>
          </cell>
          <cell r="B36" t="str">
            <v>9001-2211-DS-0032-01-WM</v>
          </cell>
          <cell r="C36">
            <v>33</v>
          </cell>
          <cell r="D36" t="str">
            <v>X1</v>
          </cell>
          <cell r="E36" t="str">
            <v>DB</v>
          </cell>
          <cell r="F36" t="str">
            <v>100%MT &amp; UT</v>
          </cell>
          <cell r="G36" t="str">
            <v>D</v>
          </cell>
          <cell r="H36">
            <v>4785.3600000000006</v>
          </cell>
          <cell r="I36">
            <v>25</v>
          </cell>
          <cell r="K36" t="str">
            <v>WPS-TNHA-S06</v>
          </cell>
          <cell r="L36" t="str">
            <v>ST-22</v>
          </cell>
          <cell r="M36" t="str">
            <v>XUÂN</v>
          </cell>
          <cell r="N36">
            <v>45956</v>
          </cell>
          <cell r="O36" t="str">
            <v>F-062</v>
          </cell>
          <cell r="P36" t="str">
            <v>6/11/2025</v>
          </cell>
          <cell r="Q36" t="str">
            <v>BGT-0024;BGT-0013;GTC-11</v>
          </cell>
          <cell r="R36" t="str">
            <v>THÁI</v>
          </cell>
          <cell r="S36">
            <v>45971</v>
          </cell>
          <cell r="T36" t="str">
            <v>V-065</v>
          </cell>
          <cell r="U36">
            <v>45959</v>
          </cell>
          <cell r="V36" t="str">
            <v>BG-061</v>
          </cell>
          <cell r="Y36" t="str">
            <v>FINISH</v>
          </cell>
          <cell r="Z36" t="str">
            <v>ACC</v>
          </cell>
          <cell r="AA36" t="str">
            <v>ACC</v>
          </cell>
          <cell r="AB36" t="str">
            <v>MT-2211-ST-22-0017</v>
          </cell>
          <cell r="AC36" t="str">
            <v>ACC</v>
          </cell>
          <cell r="AD36" t="str">
            <v>UT-2211-ST-22-0035</v>
          </cell>
          <cell r="AL36" t="str">
            <v>27/11/2025</v>
          </cell>
          <cell r="AM36" t="str">
            <v>IRN-2211-ST-22-0001</v>
          </cell>
          <cell r="AP36" t="str">
            <v>12/11/2025</v>
          </cell>
        </row>
        <row r="37">
          <cell r="A37" t="str">
            <v>9001-2211-DS-0032-01-WM34</v>
          </cell>
          <cell r="B37" t="str">
            <v>9001-2211-DS-0032-01-WM</v>
          </cell>
          <cell r="C37">
            <v>34</v>
          </cell>
          <cell r="D37" t="str">
            <v>X2</v>
          </cell>
          <cell r="E37" t="str">
            <v>DV</v>
          </cell>
          <cell r="F37" t="str">
            <v>100%MT &amp; UT</v>
          </cell>
          <cell r="G37" t="str">
            <v>L</v>
          </cell>
          <cell r="H37">
            <v>750</v>
          </cell>
          <cell r="I37">
            <v>25</v>
          </cell>
          <cell r="K37" t="str">
            <v>WPS-TNHA-S06</v>
          </cell>
          <cell r="L37" t="str">
            <v>ST-22</v>
          </cell>
          <cell r="M37" t="str">
            <v>XUÂN</v>
          </cell>
          <cell r="N37">
            <v>45956</v>
          </cell>
          <cell r="O37" t="str">
            <v>F-062</v>
          </cell>
          <cell r="P37" t="str">
            <v>6/11/2025</v>
          </cell>
          <cell r="Q37" t="str">
            <v>BGT-0024;BGT-0013;GTC-11</v>
          </cell>
          <cell r="R37" t="str">
            <v>THÁI</v>
          </cell>
          <cell r="S37">
            <v>45971</v>
          </cell>
          <cell r="T37" t="str">
            <v>V-065</v>
          </cell>
          <cell r="U37">
            <v>45965</v>
          </cell>
          <cell r="V37" t="str">
            <v>BG-071</v>
          </cell>
          <cell r="Y37" t="str">
            <v>FINISH</v>
          </cell>
          <cell r="Z37" t="str">
            <v>ACC</v>
          </cell>
          <cell r="AA37" t="str">
            <v>ACC</v>
          </cell>
          <cell r="AB37" t="str">
            <v>MT-2211-ST-22-0018</v>
          </cell>
          <cell r="AC37" t="str">
            <v>ACC</v>
          </cell>
          <cell r="AD37" t="str">
            <v>UT-2211-ST-22-0033</v>
          </cell>
          <cell r="AL37" t="str">
            <v>27/11/2025</v>
          </cell>
          <cell r="AM37" t="str">
            <v>IRN-2211-ST-22-0001</v>
          </cell>
          <cell r="AP37" t="str">
            <v>12/11/2025</v>
          </cell>
        </row>
        <row r="38">
          <cell r="A38" t="str">
            <v>9001-2211-DS-0032-01-WM35</v>
          </cell>
          <cell r="B38" t="str">
            <v>9001-2211-DS-0032-01-WM</v>
          </cell>
          <cell r="C38">
            <v>35</v>
          </cell>
          <cell r="D38" t="str">
            <v>X1</v>
          </cell>
          <cell r="E38" t="str">
            <v>DB</v>
          </cell>
          <cell r="F38" t="str">
            <v>100%MT &amp; UT</v>
          </cell>
          <cell r="G38" t="str">
            <v>D</v>
          </cell>
          <cell r="H38">
            <v>4785.3600000000006</v>
          </cell>
          <cell r="I38">
            <v>25</v>
          </cell>
          <cell r="K38" t="str">
            <v>WPS-TNHA-S06</v>
          </cell>
          <cell r="L38" t="str">
            <v>ST-22</v>
          </cell>
          <cell r="M38" t="str">
            <v>THÁI</v>
          </cell>
          <cell r="N38">
            <v>45979</v>
          </cell>
          <cell r="O38" t="str">
            <v>F-090</v>
          </cell>
          <cell r="P38" t="str">
            <v>3/12/2025</v>
          </cell>
          <cell r="Q38" t="str">
            <v>BGT-0008;BGT-0015;GTC-12</v>
          </cell>
          <cell r="R38" t="str">
            <v>THÁI</v>
          </cell>
          <cell r="S38">
            <v>46003</v>
          </cell>
          <cell r="T38" t="str">
            <v>V-132</v>
          </cell>
          <cell r="U38">
            <v>45987</v>
          </cell>
          <cell r="V38" t="str">
            <v>BG-093</v>
          </cell>
          <cell r="Y38" t="str">
            <v>FINISH</v>
          </cell>
          <cell r="Z38" t="str">
            <v>ACC</v>
          </cell>
          <cell r="AA38" t="str">
            <v>ACC</v>
          </cell>
          <cell r="AB38" t="str">
            <v>MT-2211-ST-22-0037</v>
          </cell>
          <cell r="AC38" t="str">
            <v>ACC</v>
          </cell>
          <cell r="AD38" t="str">
            <v>UT-2211-ST-22-0068</v>
          </cell>
          <cell r="AJ38" t="str">
            <v>XX/12/2025</v>
          </cell>
          <cell r="AK38" t="str">
            <v>FINAL-V-156</v>
          </cell>
          <cell r="AL38" t="str">
            <v>XX/12/2025</v>
          </cell>
          <cell r="AM38" t="str">
            <v>IRN-2211-ST-22-0004</v>
          </cell>
          <cell r="AN38" t="str">
            <v>B</v>
          </cell>
          <cell r="AP38" t="str">
            <v>16/12/2025</v>
          </cell>
        </row>
        <row r="39">
          <cell r="A39" t="str">
            <v>9001-2211-DS-0032-01-WM36</v>
          </cell>
          <cell r="B39" t="str">
            <v>9001-2211-DS-0032-01-WM</v>
          </cell>
          <cell r="C39">
            <v>36</v>
          </cell>
          <cell r="D39" t="str">
            <v>X2</v>
          </cell>
          <cell r="E39" t="str">
            <v>DV</v>
          </cell>
          <cell r="F39" t="str">
            <v>100%MT &amp; UT</v>
          </cell>
          <cell r="G39" t="str">
            <v>L</v>
          </cell>
          <cell r="H39">
            <v>750</v>
          </cell>
          <cell r="I39">
            <v>25</v>
          </cell>
          <cell r="K39" t="str">
            <v>WPS-TNHA-S06</v>
          </cell>
          <cell r="L39" t="str">
            <v>ST-22</v>
          </cell>
          <cell r="M39" t="str">
            <v>THÁI</v>
          </cell>
          <cell r="N39">
            <v>45979</v>
          </cell>
          <cell r="O39" t="str">
            <v>F-090</v>
          </cell>
          <cell r="P39" t="str">
            <v>3/12/2025</v>
          </cell>
          <cell r="Q39" t="str">
            <v>BGT-0008</v>
          </cell>
          <cell r="R39" t="str">
            <v>THÁI</v>
          </cell>
          <cell r="S39">
            <v>46003</v>
          </cell>
          <cell r="T39" t="str">
            <v>V-132</v>
          </cell>
          <cell r="U39">
            <v>45993</v>
          </cell>
          <cell r="V39" t="str">
            <v>BG-105</v>
          </cell>
          <cell r="Y39" t="str">
            <v>FINISH</v>
          </cell>
          <cell r="Z39" t="str">
            <v>ACC</v>
          </cell>
          <cell r="AA39" t="str">
            <v>ACC</v>
          </cell>
          <cell r="AB39" t="str">
            <v>MT-2211-ST-22-0037</v>
          </cell>
          <cell r="AC39" t="str">
            <v>ACC</v>
          </cell>
          <cell r="AD39" t="str">
            <v>UT-2211-ST-22-0069</v>
          </cell>
          <cell r="AJ39" t="str">
            <v>XX/12/2025</v>
          </cell>
          <cell r="AK39" t="str">
            <v>FINAL-V-156</v>
          </cell>
          <cell r="AL39" t="str">
            <v>XX/12/2025</v>
          </cell>
          <cell r="AM39" t="str">
            <v>IRN-2211-ST-22-0004</v>
          </cell>
          <cell r="AN39" t="str">
            <v>B</v>
          </cell>
          <cell r="AP39" t="str">
            <v>16/12/2025</v>
          </cell>
        </row>
        <row r="40">
          <cell r="A40" t="str">
            <v>9001-2211-DS-0032-01-WM37</v>
          </cell>
          <cell r="B40" t="str">
            <v>9001-2211-DS-0032-01-WM</v>
          </cell>
          <cell r="C40">
            <v>37</v>
          </cell>
          <cell r="D40" t="str">
            <v>X1</v>
          </cell>
          <cell r="E40" t="str">
            <v>DB</v>
          </cell>
          <cell r="F40" t="str">
            <v>100%MT &amp; UT</v>
          </cell>
          <cell r="G40" t="str">
            <v>D</v>
          </cell>
          <cell r="H40">
            <v>4785.3600000000006</v>
          </cell>
          <cell r="I40">
            <v>25</v>
          </cell>
          <cell r="K40" t="str">
            <v>WPS-TNHA-S06</v>
          </cell>
          <cell r="L40" t="str">
            <v>ST-22</v>
          </cell>
          <cell r="M40" t="str">
            <v>HIẾU</v>
          </cell>
          <cell r="N40">
            <v>45910</v>
          </cell>
          <cell r="O40" t="str">
            <v>F-012</v>
          </cell>
          <cell r="P40" t="str">
            <v>14h00 20/09/2025</v>
          </cell>
          <cell r="Q40" t="str">
            <v>BGT-0014;BGT-0020;BGT0017;BGT-0012</v>
          </cell>
          <cell r="R40" t="str">
            <v>TUÂN</v>
          </cell>
          <cell r="S40">
            <v>45923</v>
          </cell>
          <cell r="T40" t="str">
            <v>V-013</v>
          </cell>
          <cell r="U40">
            <v>45912</v>
          </cell>
          <cell r="V40" t="str">
            <v>BG-007</v>
          </cell>
          <cell r="Y40" t="str">
            <v>FINISH</v>
          </cell>
          <cell r="Z40" t="str">
            <v>ACC</v>
          </cell>
          <cell r="AA40" t="str">
            <v>ACC</v>
          </cell>
          <cell r="AB40" t="str">
            <v>MT-2211-ST-22-0001</v>
          </cell>
          <cell r="AC40" t="str">
            <v>ACC</v>
          </cell>
          <cell r="AD40" t="str">
            <v>UT-2211-ST-22-0001</v>
          </cell>
          <cell r="AL40" t="str">
            <v>27/11/2025</v>
          </cell>
          <cell r="AM40" t="str">
            <v>IRN-2211-ST-22-0001</v>
          </cell>
          <cell r="AP40" t="str">
            <v>24/09/2025</v>
          </cell>
        </row>
        <row r="41">
          <cell r="A41" t="str">
            <v>9001-2211-DS-0032-01-WM38</v>
          </cell>
          <cell r="B41" t="str">
            <v>9001-2211-DS-0032-01-WM</v>
          </cell>
          <cell r="C41">
            <v>38</v>
          </cell>
          <cell r="D41" t="str">
            <v>X2</v>
          </cell>
          <cell r="E41" t="str">
            <v>DV</v>
          </cell>
          <cell r="F41" t="str">
            <v>100%MT &amp; UT</v>
          </cell>
          <cell r="G41" t="str">
            <v>L</v>
          </cell>
          <cell r="H41">
            <v>750</v>
          </cell>
          <cell r="I41">
            <v>25</v>
          </cell>
          <cell r="K41" t="str">
            <v>WPS-TNHA-S06</v>
          </cell>
          <cell r="L41" t="str">
            <v>ST-22</v>
          </cell>
          <cell r="M41" t="str">
            <v>TUÂN</v>
          </cell>
          <cell r="N41">
            <v>45915</v>
          </cell>
          <cell r="O41" t="str">
            <v>F-019</v>
          </cell>
          <cell r="P41" t="str">
            <v>14h00 20/09/2025</v>
          </cell>
          <cell r="Q41" t="str">
            <v>BGT0017;BGT-0012</v>
          </cell>
          <cell r="R41" t="str">
            <v>TUÂN</v>
          </cell>
          <cell r="S41">
            <v>45923</v>
          </cell>
          <cell r="T41" t="str">
            <v>V-013</v>
          </cell>
          <cell r="U41">
            <v>45917</v>
          </cell>
          <cell r="V41" t="str">
            <v>BG-012</v>
          </cell>
          <cell r="Y41" t="str">
            <v>FINISH</v>
          </cell>
          <cell r="Z41" t="str">
            <v>ACC</v>
          </cell>
          <cell r="AA41" t="str">
            <v>ACC</v>
          </cell>
          <cell r="AB41" t="str">
            <v>MT-2211-ST-22-0001</v>
          </cell>
          <cell r="AC41" t="str">
            <v>ACC</v>
          </cell>
          <cell r="AD41" t="str">
            <v>UT-2211-ST-22-0002</v>
          </cell>
          <cell r="AL41" t="str">
            <v>27/11/2025</v>
          </cell>
          <cell r="AM41" t="str">
            <v>IRN-2211-ST-22-0001</v>
          </cell>
          <cell r="AP41" t="str">
            <v>24/09/2025</v>
          </cell>
        </row>
        <row r="42">
          <cell r="A42" t="str">
            <v>9001-2211-DS-0032-01-WM39</v>
          </cell>
          <cell r="B42" t="str">
            <v>9001-2211-DS-0032-01-WM</v>
          </cell>
          <cell r="C42">
            <v>39</v>
          </cell>
          <cell r="D42" t="str">
            <v>X3</v>
          </cell>
          <cell r="E42" t="str">
            <v>DB</v>
          </cell>
          <cell r="F42" t="str">
            <v>100%MT &amp; UT</v>
          </cell>
          <cell r="G42" t="str">
            <v>D</v>
          </cell>
          <cell r="H42">
            <v>2869.96</v>
          </cell>
          <cell r="I42">
            <v>25</v>
          </cell>
          <cell r="K42" t="str">
            <v>WPS-TNHA-S06</v>
          </cell>
          <cell r="L42" t="str">
            <v>ST-22</v>
          </cell>
          <cell r="M42" t="str">
            <v>HIẾU</v>
          </cell>
          <cell r="N42">
            <v>45938</v>
          </cell>
          <cell r="O42" t="str">
            <v>F-036</v>
          </cell>
          <cell r="P42" t="str">
            <v>15/10/2025</v>
          </cell>
          <cell r="Q42" t="str">
            <v>BGT-0005;BGT-0006</v>
          </cell>
          <cell r="R42" t="str">
            <v>THÁI</v>
          </cell>
          <cell r="S42">
            <v>45948</v>
          </cell>
          <cell r="T42" t="str">
            <v>V-034</v>
          </cell>
          <cell r="U42">
            <v>45940</v>
          </cell>
          <cell r="V42" t="str">
            <v>BG-036</v>
          </cell>
          <cell r="Y42" t="str">
            <v>FINISH</v>
          </cell>
          <cell r="Z42" t="str">
            <v>ACC</v>
          </cell>
          <cell r="AA42" t="str">
            <v>ACC</v>
          </cell>
          <cell r="AB42" t="str">
            <v>MT-2211-ST-22-0006</v>
          </cell>
          <cell r="AC42" t="str">
            <v>ACC</v>
          </cell>
          <cell r="AD42" t="str">
            <v>UT-2211-ST-22-0006</v>
          </cell>
          <cell r="AL42" t="str">
            <v>27/11/2025</v>
          </cell>
          <cell r="AM42" t="str">
            <v>IRN-2211-ST-22-0001</v>
          </cell>
          <cell r="AP42" t="str">
            <v>22/10/2025</v>
          </cell>
        </row>
        <row r="43">
          <cell r="A43" t="str">
            <v>9001-2211-DS-0032-01-WM40</v>
          </cell>
          <cell r="B43" t="str">
            <v>9001-2211-DS-0032-01-WM</v>
          </cell>
          <cell r="C43">
            <v>40</v>
          </cell>
          <cell r="D43" t="str">
            <v>X1</v>
          </cell>
          <cell r="E43" t="str">
            <v>DB</v>
          </cell>
          <cell r="F43" t="str">
            <v>100%MT &amp; UT</v>
          </cell>
          <cell r="G43" t="str">
            <v>D</v>
          </cell>
          <cell r="H43">
            <v>4785.3600000000006</v>
          </cell>
          <cell r="I43">
            <v>25</v>
          </cell>
          <cell r="K43" t="str">
            <v>WPS-TNHA-S06</v>
          </cell>
          <cell r="L43" t="str">
            <v>ST-22</v>
          </cell>
          <cell r="M43" t="str">
            <v>TUÂN</v>
          </cell>
          <cell r="N43">
            <v>45940</v>
          </cell>
          <cell r="O43" t="str">
            <v>F-040</v>
          </cell>
          <cell r="P43" t="str">
            <v>16h 17/10/2025</v>
          </cell>
          <cell r="Q43" t="str">
            <v>BGT-0014;BGT-0024</v>
          </cell>
          <cell r="R43" t="str">
            <v>HIẾU</v>
          </cell>
          <cell r="S43">
            <v>45950</v>
          </cell>
          <cell r="T43" t="str">
            <v>V-037</v>
          </cell>
          <cell r="U43">
            <v>45942</v>
          </cell>
          <cell r="V43" t="str">
            <v>BG-039</v>
          </cell>
          <cell r="Y43" t="str">
            <v>FINISH</v>
          </cell>
          <cell r="Z43" t="str">
            <v>ACC</v>
          </cell>
          <cell r="AA43" t="str">
            <v>ACC</v>
          </cell>
          <cell r="AB43" t="str">
            <v>MT-2211-ST-22-0007</v>
          </cell>
          <cell r="AC43" t="str">
            <v>ACC</v>
          </cell>
          <cell r="AD43" t="str">
            <v>UT-2211-ST-22-0012</v>
          </cell>
          <cell r="AJ43" t="str">
            <v>15/12/2025</v>
          </cell>
          <cell r="AK43" t="str">
            <v xml:space="preserve">FINAL V-141 </v>
          </cell>
          <cell r="AL43" t="str">
            <v>XX/12/2025</v>
          </cell>
          <cell r="AM43" t="str">
            <v>IRN-2211-ST-22-0003</v>
          </cell>
          <cell r="AN43" t="str">
            <v>a</v>
          </cell>
          <cell r="AP43" t="str">
            <v>22/10/2025</v>
          </cell>
        </row>
        <row r="44">
          <cell r="A44" t="str">
            <v>9001-2211-DS-0032-01-WM41</v>
          </cell>
          <cell r="B44" t="str">
            <v>9001-2211-DS-0032-01-WM</v>
          </cell>
          <cell r="C44">
            <v>41</v>
          </cell>
          <cell r="D44" t="str">
            <v>X2</v>
          </cell>
          <cell r="E44" t="str">
            <v>DV</v>
          </cell>
          <cell r="F44" t="str">
            <v>100%MT &amp; UT</v>
          </cell>
          <cell r="G44" t="str">
            <v>L</v>
          </cell>
          <cell r="H44">
            <v>750</v>
          </cell>
          <cell r="I44">
            <v>25</v>
          </cell>
          <cell r="K44" t="str">
            <v>WPS-TNHA-S06</v>
          </cell>
          <cell r="L44" t="str">
            <v>ST-22</v>
          </cell>
          <cell r="M44" t="str">
            <v>TUÂN</v>
          </cell>
          <cell r="N44">
            <v>45943</v>
          </cell>
          <cell r="O44" t="str">
            <v>F-044</v>
          </cell>
          <cell r="P44" t="str">
            <v>16h 17/10/2025</v>
          </cell>
          <cell r="Q44" t="str">
            <v>BGT-0014;BGT-0024</v>
          </cell>
          <cell r="R44" t="str">
            <v>HIẾU</v>
          </cell>
          <cell r="S44">
            <v>45950</v>
          </cell>
          <cell r="T44" t="str">
            <v>V-037</v>
          </cell>
          <cell r="U44" t="str">
            <v>15/10/2025</v>
          </cell>
          <cell r="V44" t="str">
            <v>BG-043</v>
          </cell>
          <cell r="Y44" t="str">
            <v>FINISH</v>
          </cell>
          <cell r="Z44" t="str">
            <v>ACC</v>
          </cell>
          <cell r="AA44" t="str">
            <v>ACC</v>
          </cell>
          <cell r="AB44" t="str">
            <v>MT-2211-ST-22-0007</v>
          </cell>
          <cell r="AC44" t="str">
            <v>ACC</v>
          </cell>
          <cell r="AD44" t="str">
            <v>UT-2211-ST-22-0011</v>
          </cell>
          <cell r="AJ44" t="str">
            <v>15/12/2025</v>
          </cell>
          <cell r="AK44" t="str">
            <v xml:space="preserve">FINAL V-141 </v>
          </cell>
          <cell r="AL44" t="str">
            <v>XX/12/2025</v>
          </cell>
          <cell r="AM44" t="str">
            <v>IRN-2211-ST-22-0003</v>
          </cell>
          <cell r="AN44" t="str">
            <v>a</v>
          </cell>
          <cell r="AP44" t="str">
            <v>22/10/2025</v>
          </cell>
        </row>
        <row r="45">
          <cell r="A45" t="str">
            <v>9001-2211-DS-0032-01-WM42</v>
          </cell>
          <cell r="B45" t="str">
            <v>9001-2211-DS-0032-01-WM</v>
          </cell>
          <cell r="C45">
            <v>42</v>
          </cell>
          <cell r="D45" t="str">
            <v>X3</v>
          </cell>
          <cell r="E45" t="str">
            <v>DB</v>
          </cell>
          <cell r="F45" t="str">
            <v>100%MT&amp;UT</v>
          </cell>
          <cell r="G45" t="str">
            <v>D</v>
          </cell>
          <cell r="H45">
            <v>2869.96</v>
          </cell>
          <cell r="I45">
            <v>25</v>
          </cell>
          <cell r="K45" t="str">
            <v>WPS-TNHA-S06</v>
          </cell>
          <cell r="L45" t="str">
            <v>ST-22</v>
          </cell>
          <cell r="M45" t="str">
            <v>HIẾU</v>
          </cell>
          <cell r="N45">
            <v>45955</v>
          </cell>
          <cell r="O45" t="str">
            <v>F-060</v>
          </cell>
          <cell r="P45" t="str">
            <v>26/11/2025</v>
          </cell>
          <cell r="Q45" t="str">
            <v>BGT-0008;GTC-12</v>
          </cell>
          <cell r="R45" t="str">
            <v>THÁI</v>
          </cell>
          <cell r="S45">
            <v>45994</v>
          </cell>
          <cell r="T45" t="str">
            <v>V-109</v>
          </cell>
          <cell r="U45">
            <v>45966</v>
          </cell>
          <cell r="V45" t="str">
            <v>BG-072</v>
          </cell>
          <cell r="Y45" t="str">
            <v>FINISH</v>
          </cell>
          <cell r="Z45" t="str">
            <v>ACC</v>
          </cell>
          <cell r="AA45" t="str">
            <v>ACC</v>
          </cell>
          <cell r="AB45" t="str">
            <v>MT-2211-ST-22-0030</v>
          </cell>
          <cell r="AC45" t="str">
            <v>ACC</v>
          </cell>
          <cell r="AD45" t="str">
            <v>UT-2211-ST-22-0053</v>
          </cell>
          <cell r="AJ45" t="str">
            <v>15/12/2025</v>
          </cell>
          <cell r="AK45" t="str">
            <v xml:space="preserve">FINAL V-141 </v>
          </cell>
          <cell r="AL45" t="str">
            <v>XX/12/2025</v>
          </cell>
          <cell r="AM45" t="str">
            <v>IRN-2211-ST-22-0003</v>
          </cell>
          <cell r="AN45" t="str">
            <v>a</v>
          </cell>
          <cell r="AP45" t="str">
            <v>10/12/2025</v>
          </cell>
        </row>
        <row r="46">
          <cell r="A46" t="str">
            <v>9001-2211-DS-0032-01-WM43</v>
          </cell>
          <cell r="B46" t="str">
            <v>9001-2211-DS-0032-01-WM</v>
          </cell>
          <cell r="C46">
            <v>43</v>
          </cell>
          <cell r="D46" t="str">
            <v>X1</v>
          </cell>
          <cell r="E46" t="str">
            <v>DB</v>
          </cell>
          <cell r="F46" t="str">
            <v>100%MT &amp; UT</v>
          </cell>
          <cell r="G46" t="str">
            <v>D</v>
          </cell>
          <cell r="H46">
            <v>4785.3600000000006</v>
          </cell>
          <cell r="I46">
            <v>25</v>
          </cell>
          <cell r="K46" t="str">
            <v>WPS-TNHA-S06</v>
          </cell>
          <cell r="L46" t="str">
            <v>ST-22</v>
          </cell>
          <cell r="M46" t="str">
            <v>HIẾU</v>
          </cell>
          <cell r="N46">
            <v>45910</v>
          </cell>
          <cell r="O46" t="str">
            <v>F-012</v>
          </cell>
          <cell r="P46" t="str">
            <v>14h00 20/09/2025</v>
          </cell>
          <cell r="Q46" t="str">
            <v>BGT-0014;BGT-0020;BGT0017;BGT-0012</v>
          </cell>
          <cell r="R46" t="str">
            <v>TUÂN</v>
          </cell>
          <cell r="S46">
            <v>45923</v>
          </cell>
          <cell r="T46" t="str">
            <v>V-013</v>
          </cell>
          <cell r="U46">
            <v>45912</v>
          </cell>
          <cell r="V46" t="str">
            <v>BG-007</v>
          </cell>
          <cell r="Y46" t="str">
            <v>FINISH</v>
          </cell>
          <cell r="Z46" t="str">
            <v>ACC</v>
          </cell>
          <cell r="AA46" t="str">
            <v>ACC</v>
          </cell>
          <cell r="AB46" t="str">
            <v>MT-2211-ST-22-0001</v>
          </cell>
          <cell r="AC46" t="str">
            <v>ACC</v>
          </cell>
          <cell r="AD46" t="str">
            <v>UT-2211-ST-22-0001</v>
          </cell>
          <cell r="AL46" t="str">
            <v>27/11/2025</v>
          </cell>
          <cell r="AM46" t="str">
            <v>IRN-2211-ST-22-0001</v>
          </cell>
          <cell r="AP46" t="str">
            <v>24/09/2025</v>
          </cell>
        </row>
        <row r="47">
          <cell r="A47" t="str">
            <v>9001-2211-DS-0032-01-WM44</v>
          </cell>
          <cell r="B47" t="str">
            <v>9001-2211-DS-0032-01-WM</v>
          </cell>
          <cell r="C47">
            <v>44</v>
          </cell>
          <cell r="D47" t="str">
            <v>X2</v>
          </cell>
          <cell r="E47" t="str">
            <v>DV</v>
          </cell>
          <cell r="F47" t="str">
            <v>100%MT &amp; UT</v>
          </cell>
          <cell r="G47" t="str">
            <v>L</v>
          </cell>
          <cell r="H47">
            <v>750</v>
          </cell>
          <cell r="I47">
            <v>25</v>
          </cell>
          <cell r="K47" t="str">
            <v>WPS-TNHA-S06</v>
          </cell>
          <cell r="L47" t="str">
            <v>ST-22</v>
          </cell>
          <cell r="M47" t="str">
            <v>TUÂN</v>
          </cell>
          <cell r="N47">
            <v>45915</v>
          </cell>
          <cell r="O47" t="str">
            <v>F-019</v>
          </cell>
          <cell r="P47" t="str">
            <v>14h00 20/09/2025</v>
          </cell>
          <cell r="Q47" t="str">
            <v>BGT0017;BGT-0012</v>
          </cell>
          <cell r="R47" t="str">
            <v>TUÂN</v>
          </cell>
          <cell r="S47">
            <v>45923</v>
          </cell>
          <cell r="T47" t="str">
            <v>V-013</v>
          </cell>
          <cell r="U47">
            <v>45917</v>
          </cell>
          <cell r="V47" t="str">
            <v>BG-012</v>
          </cell>
          <cell r="Y47" t="str">
            <v>FINISH</v>
          </cell>
          <cell r="Z47" t="str">
            <v>ACC</v>
          </cell>
          <cell r="AA47" t="str">
            <v>ACC</v>
          </cell>
          <cell r="AB47" t="str">
            <v>MT-2211-ST-22-0001</v>
          </cell>
          <cell r="AC47" t="str">
            <v>ACC</v>
          </cell>
          <cell r="AD47" t="str">
            <v>UT-2211-ST-22-0002</v>
          </cell>
          <cell r="AL47" t="str">
            <v>27/11/2025</v>
          </cell>
          <cell r="AM47" t="str">
            <v>IRN-2211-ST-22-0001</v>
          </cell>
          <cell r="AP47" t="str">
            <v>24/09/2025</v>
          </cell>
        </row>
        <row r="48">
          <cell r="A48" t="str">
            <v>9001-2211-DS-0032-01-WM45</v>
          </cell>
          <cell r="B48" t="str">
            <v>9001-2211-DS-0032-01-WM</v>
          </cell>
          <cell r="C48">
            <v>45</v>
          </cell>
          <cell r="D48" t="str">
            <v>X1</v>
          </cell>
          <cell r="E48" t="str">
            <v>DB</v>
          </cell>
          <cell r="F48" t="str">
            <v>100%MT&amp;UT</v>
          </cell>
          <cell r="G48" t="str">
            <v>D</v>
          </cell>
          <cell r="H48">
            <v>4785.3600000000006</v>
          </cell>
          <cell r="I48">
            <v>25</v>
          </cell>
          <cell r="K48" t="str">
            <v>WPS-TNHA-S06</v>
          </cell>
          <cell r="L48" t="str">
            <v>ST-22</v>
          </cell>
          <cell r="M48" t="str">
            <v>THÁI</v>
          </cell>
          <cell r="N48">
            <v>45978</v>
          </cell>
          <cell r="O48" t="str">
            <v>F-087</v>
          </cell>
          <cell r="P48" t="str">
            <v>26/11/2025</v>
          </cell>
          <cell r="Q48" t="str">
            <v>BGT-0008;GTC-12</v>
          </cell>
          <cell r="R48" t="str">
            <v>THÁI</v>
          </cell>
          <cell r="S48">
            <v>45994</v>
          </cell>
          <cell r="T48" t="str">
            <v>V-109</v>
          </cell>
          <cell r="U48">
            <v>45983</v>
          </cell>
          <cell r="V48" t="str">
            <v>BG-090</v>
          </cell>
          <cell r="Y48" t="str">
            <v>FINISH</v>
          </cell>
          <cell r="Z48" t="str">
            <v>ACC</v>
          </cell>
          <cell r="AA48" t="str">
            <v>ACC</v>
          </cell>
          <cell r="AB48" t="str">
            <v>MT-2211-ST-22-0030</v>
          </cell>
          <cell r="AC48" t="str">
            <v>ACC</v>
          </cell>
          <cell r="AD48" t="str">
            <v>UT-2211-ST-22-0053</v>
          </cell>
          <cell r="AJ48" t="str">
            <v>15/12/2025</v>
          </cell>
          <cell r="AK48" t="str">
            <v xml:space="preserve">FINAL V-141 </v>
          </cell>
          <cell r="AL48" t="str">
            <v>XX/12/2025</v>
          </cell>
          <cell r="AM48" t="str">
            <v>IRN-2211-ST-22-0003</v>
          </cell>
          <cell r="AN48" t="str">
            <v>a</v>
          </cell>
          <cell r="AP48" t="str">
            <v>10/12/2025</v>
          </cell>
        </row>
        <row r="49">
          <cell r="A49" t="str">
            <v>9001-2211-DS-0032-01-WM46</v>
          </cell>
          <cell r="B49" t="str">
            <v>9001-2211-DS-0032-01-WM</v>
          </cell>
          <cell r="C49">
            <v>46</v>
          </cell>
          <cell r="D49" t="str">
            <v>X2</v>
          </cell>
          <cell r="E49" t="str">
            <v>DV</v>
          </cell>
          <cell r="F49" t="str">
            <v>100%MT&amp;UT</v>
          </cell>
          <cell r="G49" t="str">
            <v>L</v>
          </cell>
          <cell r="H49">
            <v>750</v>
          </cell>
          <cell r="I49">
            <v>25</v>
          </cell>
          <cell r="K49" t="str">
            <v>WPS-TNHA-S06</v>
          </cell>
          <cell r="L49" t="str">
            <v>ST-22</v>
          </cell>
          <cell r="M49" t="str">
            <v>THÁI</v>
          </cell>
          <cell r="N49">
            <v>45978</v>
          </cell>
          <cell r="O49" t="str">
            <v>F-087</v>
          </cell>
          <cell r="P49" t="str">
            <v>26/11/2025</v>
          </cell>
          <cell r="Q49" t="str">
            <v>BGT-0008</v>
          </cell>
          <cell r="R49" t="str">
            <v>THÁI</v>
          </cell>
          <cell r="S49">
            <v>45994</v>
          </cell>
          <cell r="T49" t="str">
            <v>V-109</v>
          </cell>
          <cell r="U49" t="str">
            <v>24/11/2025</v>
          </cell>
          <cell r="V49" t="str">
            <v>BG-092</v>
          </cell>
          <cell r="Y49" t="str">
            <v>FINISH</v>
          </cell>
          <cell r="Z49" t="str">
            <v>ACC</v>
          </cell>
          <cell r="AA49" t="str">
            <v>ACC</v>
          </cell>
          <cell r="AB49" t="str">
            <v>MT-2211-ST-22-0030</v>
          </cell>
          <cell r="AC49" t="str">
            <v>ACC</v>
          </cell>
          <cell r="AD49" t="str">
            <v>UT-2211-ST-22-0054</v>
          </cell>
          <cell r="AJ49" t="str">
            <v>15/12/2025</v>
          </cell>
          <cell r="AK49" t="str">
            <v xml:space="preserve">FINAL V-141 </v>
          </cell>
          <cell r="AL49" t="str">
            <v>XX/12/2025</v>
          </cell>
          <cell r="AM49" t="str">
            <v>IRN-2211-ST-22-0003</v>
          </cell>
          <cell r="AN49" t="str">
            <v>a</v>
          </cell>
          <cell r="AP49" t="str">
            <v>10/12/2025</v>
          </cell>
        </row>
        <row r="50">
          <cell r="A50" t="str">
            <v>9001-2211-DS-0032-01-WM47</v>
          </cell>
          <cell r="B50" t="str">
            <v>9001-2211-DS-0032-01-WM</v>
          </cell>
          <cell r="C50">
            <v>47</v>
          </cell>
          <cell r="D50" t="str">
            <v>X1</v>
          </cell>
          <cell r="E50" t="str">
            <v>DB</v>
          </cell>
          <cell r="F50" t="str">
            <v>100%MT &amp; UT</v>
          </cell>
          <cell r="G50" t="str">
            <v>D</v>
          </cell>
          <cell r="H50">
            <v>4785.3600000000006</v>
          </cell>
          <cell r="I50">
            <v>25</v>
          </cell>
          <cell r="K50" t="str">
            <v>WPS-TNHA-S06</v>
          </cell>
          <cell r="L50" t="str">
            <v>ST-22</v>
          </cell>
          <cell r="M50" t="str">
            <v>HIẾU</v>
          </cell>
          <cell r="N50">
            <v>45938</v>
          </cell>
          <cell r="O50" t="str">
            <v>F-036</v>
          </cell>
          <cell r="P50" t="str">
            <v>15/10/2025</v>
          </cell>
          <cell r="Q50" t="str">
            <v>BGT-0005;BGT-0006</v>
          </cell>
          <cell r="R50" t="str">
            <v>THÁI</v>
          </cell>
          <cell r="S50">
            <v>45948</v>
          </cell>
          <cell r="T50" t="str">
            <v>V-034</v>
          </cell>
          <cell r="U50">
            <v>45940</v>
          </cell>
          <cell r="V50" t="str">
            <v>BG-036</v>
          </cell>
          <cell r="Y50" t="str">
            <v>FINISH</v>
          </cell>
          <cell r="Z50" t="str">
            <v>ACC</v>
          </cell>
          <cell r="AA50" t="str">
            <v>ACC</v>
          </cell>
          <cell r="AB50" t="str">
            <v>MT-2211-ST-22-0006</v>
          </cell>
          <cell r="AC50" t="str">
            <v>ACC</v>
          </cell>
          <cell r="AD50" t="str">
            <v>UT-2211-ST-22-0006</v>
          </cell>
          <cell r="AL50" t="str">
            <v>27/11/2025</v>
          </cell>
          <cell r="AM50" t="str">
            <v>IRN-2211-ST-22-0001</v>
          </cell>
          <cell r="AP50" t="str">
            <v>22/10/2025</v>
          </cell>
        </row>
        <row r="51">
          <cell r="A51" t="str">
            <v>9001-2211-DS-0032-01-WM48</v>
          </cell>
          <cell r="B51" t="str">
            <v>9001-2211-DS-0032-01-WM</v>
          </cell>
          <cell r="C51">
            <v>48</v>
          </cell>
          <cell r="D51" t="str">
            <v>X2</v>
          </cell>
          <cell r="E51" t="str">
            <v>DV</v>
          </cell>
          <cell r="F51" t="str">
            <v>100%MT &amp; UT</v>
          </cell>
          <cell r="G51" t="str">
            <v>L</v>
          </cell>
          <cell r="H51">
            <v>750</v>
          </cell>
          <cell r="I51">
            <v>25</v>
          </cell>
          <cell r="K51" t="str">
            <v>WPS-TNHA-S06</v>
          </cell>
          <cell r="L51" t="str">
            <v>ST-22</v>
          </cell>
          <cell r="M51" t="str">
            <v>BÁCH</v>
          </cell>
          <cell r="N51">
            <v>45942</v>
          </cell>
          <cell r="O51" t="str">
            <v>F-043</v>
          </cell>
          <cell r="P51" t="str">
            <v>15/10/2025</v>
          </cell>
          <cell r="Q51" t="str">
            <v>BGT-0005;BGT-0006</v>
          </cell>
          <cell r="R51" t="str">
            <v>THÁI</v>
          </cell>
          <cell r="S51">
            <v>45948</v>
          </cell>
          <cell r="T51" t="str">
            <v>V-034</v>
          </cell>
          <cell r="U51" t="str">
            <v>15/10/2025</v>
          </cell>
          <cell r="V51" t="str">
            <v>BG-043</v>
          </cell>
          <cell r="Y51" t="str">
            <v>FINISH</v>
          </cell>
          <cell r="Z51" t="str">
            <v>ACC</v>
          </cell>
          <cell r="AA51" t="str">
            <v>ACC</v>
          </cell>
          <cell r="AB51" t="str">
            <v>MT-2211-ST-22-0006</v>
          </cell>
          <cell r="AC51" t="str">
            <v>ACC</v>
          </cell>
          <cell r="AD51" t="str">
            <v>UT-2211-ST-22-0007</v>
          </cell>
          <cell r="AL51" t="str">
            <v>27/11/2025</v>
          </cell>
          <cell r="AM51" t="str">
            <v>IRN-2211-ST-22-0001</v>
          </cell>
          <cell r="AP51" t="str">
            <v>22/10/2025</v>
          </cell>
        </row>
        <row r="52">
          <cell r="A52" t="str">
            <v>9001-2211-DS-0032-01-WM49</v>
          </cell>
          <cell r="B52" t="str">
            <v>9001-2211-DS-0032-01-WM</v>
          </cell>
          <cell r="C52">
            <v>49</v>
          </cell>
          <cell r="D52" t="str">
            <v>X1</v>
          </cell>
          <cell r="E52" t="str">
            <v>DB</v>
          </cell>
          <cell r="F52" t="str">
            <v>100%MT&amp;UT</v>
          </cell>
          <cell r="G52" t="str">
            <v>D</v>
          </cell>
          <cell r="H52">
            <v>4785.3600000000006</v>
          </cell>
          <cell r="I52">
            <v>25</v>
          </cell>
          <cell r="K52" t="str">
            <v>WPS-TNHA-S06</v>
          </cell>
          <cell r="L52" t="str">
            <v>ST-22</v>
          </cell>
          <cell r="M52" t="str">
            <v>THÁI</v>
          </cell>
          <cell r="N52">
            <v>45978</v>
          </cell>
          <cell r="O52" t="str">
            <v>F-087</v>
          </cell>
          <cell r="P52" t="str">
            <v>26/11/2025</v>
          </cell>
          <cell r="Q52" t="str">
            <v>BGT-0008;GTC-12</v>
          </cell>
          <cell r="R52" t="str">
            <v>THÁI</v>
          </cell>
          <cell r="S52">
            <v>45994</v>
          </cell>
          <cell r="T52" t="str">
            <v>V-109</v>
          </cell>
          <cell r="U52">
            <v>45983</v>
          </cell>
          <cell r="V52" t="str">
            <v>BG-090</v>
          </cell>
          <cell r="Y52" t="str">
            <v>FINISH</v>
          </cell>
          <cell r="Z52" t="str">
            <v>ACC</v>
          </cell>
          <cell r="AA52" t="str">
            <v>ACC</v>
          </cell>
          <cell r="AB52" t="str">
            <v>MT-2211-ST-22-0030</v>
          </cell>
          <cell r="AC52" t="str">
            <v>ACC</v>
          </cell>
          <cell r="AD52" t="str">
            <v>UT-2211-ST-22-0053</v>
          </cell>
          <cell r="AJ52" t="str">
            <v>15/12/2025</v>
          </cell>
          <cell r="AK52" t="str">
            <v xml:space="preserve">FINAL V-141 </v>
          </cell>
          <cell r="AL52" t="str">
            <v>XX/12/2025</v>
          </cell>
          <cell r="AM52" t="str">
            <v>IRN-2211-ST-22-0003</v>
          </cell>
          <cell r="AN52" t="str">
            <v>a</v>
          </cell>
          <cell r="AP52" t="str">
            <v>10/12/2025</v>
          </cell>
        </row>
        <row r="53">
          <cell r="A53" t="str">
            <v>9001-2211-DS-0032-01-WM50</v>
          </cell>
          <cell r="B53" t="str">
            <v>9001-2211-DS-0032-01-WM</v>
          </cell>
          <cell r="C53">
            <v>50</v>
          </cell>
          <cell r="D53" t="str">
            <v>X2</v>
          </cell>
          <cell r="E53" t="str">
            <v>DV</v>
          </cell>
          <cell r="F53" t="str">
            <v>100%MT&amp;UT</v>
          </cell>
          <cell r="G53" t="str">
            <v>L</v>
          </cell>
          <cell r="H53">
            <v>750</v>
          </cell>
          <cell r="I53">
            <v>25</v>
          </cell>
          <cell r="K53" t="str">
            <v>WPS-TNHA-S06</v>
          </cell>
          <cell r="L53" t="str">
            <v>ST-22</v>
          </cell>
          <cell r="M53" t="str">
            <v>THÁI</v>
          </cell>
          <cell r="N53">
            <v>45978</v>
          </cell>
          <cell r="O53" t="str">
            <v>F-087</v>
          </cell>
          <cell r="P53" t="str">
            <v>26/11/2025</v>
          </cell>
          <cell r="Q53" t="str">
            <v>BGT-0008</v>
          </cell>
          <cell r="R53" t="str">
            <v>THÁI</v>
          </cell>
          <cell r="S53">
            <v>45994</v>
          </cell>
          <cell r="T53" t="str">
            <v>V-109</v>
          </cell>
          <cell r="U53" t="str">
            <v>24/11/2025</v>
          </cell>
          <cell r="V53" t="str">
            <v>BG-092</v>
          </cell>
          <cell r="Y53" t="str">
            <v>FINISH</v>
          </cell>
          <cell r="Z53" t="str">
            <v>ACC</v>
          </cell>
          <cell r="AA53" t="str">
            <v>ACC</v>
          </cell>
          <cell r="AB53" t="str">
            <v>MT-2211-ST-22-0030</v>
          </cell>
          <cell r="AC53" t="str">
            <v>ACC</v>
          </cell>
          <cell r="AD53" t="str">
            <v>UT-2211-ST-22-0054</v>
          </cell>
          <cell r="AJ53" t="str">
            <v>15/12/2025</v>
          </cell>
          <cell r="AK53" t="str">
            <v xml:space="preserve">FINAL V-141 </v>
          </cell>
          <cell r="AL53" t="str">
            <v>XX/12/2025</v>
          </cell>
          <cell r="AM53" t="str">
            <v>IRN-2211-ST-22-0003</v>
          </cell>
          <cell r="AN53" t="str">
            <v>a</v>
          </cell>
          <cell r="AP53" t="str">
            <v>10/12/2025</v>
          </cell>
        </row>
        <row r="54">
          <cell r="A54" t="str">
            <v>9001-2211-DS-0032-01-WM51</v>
          </cell>
          <cell r="B54" t="str">
            <v>9001-2211-DS-0032-01-WM</v>
          </cell>
          <cell r="C54">
            <v>51</v>
          </cell>
          <cell r="D54" t="str">
            <v>X1</v>
          </cell>
          <cell r="E54" t="str">
            <v>DB</v>
          </cell>
          <cell r="F54" t="str">
            <v>100%MT &amp; UT</v>
          </cell>
          <cell r="G54" t="str">
            <v>D</v>
          </cell>
          <cell r="H54">
            <v>4785.3600000000006</v>
          </cell>
          <cell r="I54">
            <v>25</v>
          </cell>
          <cell r="K54" t="str">
            <v>WPS-TNHA-S06</v>
          </cell>
          <cell r="L54" t="str">
            <v>ST-22</v>
          </cell>
          <cell r="M54" t="str">
            <v>HIẾU</v>
          </cell>
          <cell r="N54">
            <v>45910</v>
          </cell>
          <cell r="O54" t="str">
            <v>F-012</v>
          </cell>
          <cell r="P54" t="str">
            <v>14h00 20/09/2025</v>
          </cell>
          <cell r="Q54" t="str">
            <v>BGT-0014;BGT-0020;BGT0017;BGT-0012</v>
          </cell>
          <cell r="R54" t="str">
            <v>TUÂN</v>
          </cell>
          <cell r="S54">
            <v>45923</v>
          </cell>
          <cell r="T54" t="str">
            <v>V-013</v>
          </cell>
          <cell r="U54">
            <v>45912</v>
          </cell>
          <cell r="V54" t="str">
            <v>BG-007</v>
          </cell>
          <cell r="Y54" t="str">
            <v>FINISH</v>
          </cell>
          <cell r="Z54" t="str">
            <v>ACC</v>
          </cell>
          <cell r="AA54" t="str">
            <v>ACC</v>
          </cell>
          <cell r="AB54" t="str">
            <v>MT-2211-ST-22-0001</v>
          </cell>
          <cell r="AC54" t="str">
            <v>ACC</v>
          </cell>
          <cell r="AD54" t="str">
            <v>UT-2211-ST-22-0001</v>
          </cell>
          <cell r="AL54" t="str">
            <v>27/11/2025</v>
          </cell>
          <cell r="AM54" t="str">
            <v>IRN-2211-ST-22-0001</v>
          </cell>
          <cell r="AP54" t="str">
            <v>24/09/2025</v>
          </cell>
        </row>
        <row r="55">
          <cell r="A55" t="str">
            <v>9001-2211-DS-0032-01-WM52</v>
          </cell>
          <cell r="B55" t="str">
            <v>9001-2211-DS-0032-01-WM</v>
          </cell>
          <cell r="C55">
            <v>52</v>
          </cell>
          <cell r="D55" t="str">
            <v>X2</v>
          </cell>
          <cell r="E55" t="str">
            <v>DV</v>
          </cell>
          <cell r="F55" t="str">
            <v>100%MT &amp; UT</v>
          </cell>
          <cell r="G55" t="str">
            <v>L</v>
          </cell>
          <cell r="H55">
            <v>750</v>
          </cell>
          <cell r="I55">
            <v>25</v>
          </cell>
          <cell r="K55" t="str">
            <v>WPS-TNHA-S06</v>
          </cell>
          <cell r="L55" t="str">
            <v>ST-22</v>
          </cell>
          <cell r="M55" t="str">
            <v>TUÂN</v>
          </cell>
          <cell r="N55">
            <v>45915</v>
          </cell>
          <cell r="O55" t="str">
            <v>F-019</v>
          </cell>
          <cell r="P55" t="str">
            <v>14h00 20/09/2025</v>
          </cell>
          <cell r="Q55" t="str">
            <v>BGT0017;BGT-0012</v>
          </cell>
          <cell r="R55" t="str">
            <v>TUÂN</v>
          </cell>
          <cell r="S55">
            <v>45923</v>
          </cell>
          <cell r="T55" t="str">
            <v>V-013</v>
          </cell>
          <cell r="U55">
            <v>45917</v>
          </cell>
          <cell r="V55" t="str">
            <v>BG-012</v>
          </cell>
          <cell r="Y55" t="str">
            <v>FINISH</v>
          </cell>
          <cell r="Z55" t="str">
            <v>ACC</v>
          </cell>
          <cell r="AA55" t="str">
            <v>ACC</v>
          </cell>
          <cell r="AB55" t="str">
            <v>MT-2211-ST-22-0001</v>
          </cell>
          <cell r="AC55" t="str">
            <v>ACC</v>
          </cell>
          <cell r="AD55" t="str">
            <v>UT-2211-ST-22-0002</v>
          </cell>
          <cell r="AL55" t="str">
            <v>27/11/2025</v>
          </cell>
          <cell r="AM55" t="str">
            <v>IRN-2211-ST-22-0001</v>
          </cell>
          <cell r="AP55" t="str">
            <v>24/09/2025</v>
          </cell>
        </row>
        <row r="56">
          <cell r="A56" t="str">
            <v>9001-2211-DS-0032-01-WM53</v>
          </cell>
          <cell r="B56" t="str">
            <v>9001-2211-DS-0032-01-WM</v>
          </cell>
          <cell r="C56">
            <v>53</v>
          </cell>
          <cell r="D56" t="str">
            <v>X1</v>
          </cell>
          <cell r="E56" t="str">
            <v>DB</v>
          </cell>
          <cell r="F56" t="str">
            <v>100%MT &amp; UT</v>
          </cell>
          <cell r="G56" t="str">
            <v>D</v>
          </cell>
          <cell r="H56">
            <v>4785.3600000000006</v>
          </cell>
          <cell r="I56">
            <v>25</v>
          </cell>
          <cell r="K56" t="str">
            <v>WPS-TNHA-S06</v>
          </cell>
          <cell r="L56" t="str">
            <v>ST-22</v>
          </cell>
          <cell r="M56" t="str">
            <v>TUÂN</v>
          </cell>
          <cell r="N56">
            <v>45940</v>
          </cell>
          <cell r="O56" t="str">
            <v>F-040</v>
          </cell>
          <cell r="P56" t="str">
            <v>16h 17/10/2025</v>
          </cell>
          <cell r="Q56" t="str">
            <v>BGT-0014;BGT-0024</v>
          </cell>
          <cell r="R56" t="str">
            <v>HIẾU</v>
          </cell>
          <cell r="S56">
            <v>45950</v>
          </cell>
          <cell r="T56" t="str">
            <v>V-037</v>
          </cell>
          <cell r="U56">
            <v>45942</v>
          </cell>
          <cell r="V56" t="str">
            <v>BG-039</v>
          </cell>
          <cell r="Y56" t="str">
            <v>FINISH</v>
          </cell>
          <cell r="Z56" t="str">
            <v>ACC</v>
          </cell>
          <cell r="AA56" t="str">
            <v>ACC</v>
          </cell>
          <cell r="AB56" t="str">
            <v>MT-2211-ST-22-0007</v>
          </cell>
          <cell r="AC56" t="str">
            <v>ACC</v>
          </cell>
          <cell r="AD56" t="str">
            <v>UT-2211-ST-22-0013</v>
          </cell>
          <cell r="AJ56" t="str">
            <v>15/12/2025</v>
          </cell>
          <cell r="AK56" t="str">
            <v xml:space="preserve">FINAL V-141 </v>
          </cell>
          <cell r="AL56" t="str">
            <v>XX/12/2025</v>
          </cell>
          <cell r="AM56" t="str">
            <v>IRN-2211-ST-22-0003</v>
          </cell>
          <cell r="AN56" t="str">
            <v>a</v>
          </cell>
          <cell r="AP56" t="str">
            <v>22/10/2025</v>
          </cell>
        </row>
        <row r="57">
          <cell r="A57" t="str">
            <v>9001-2211-DS-0032-01-WM54</v>
          </cell>
          <cell r="B57" t="str">
            <v>9001-2211-DS-0032-01-WM</v>
          </cell>
          <cell r="C57">
            <v>54</v>
          </cell>
          <cell r="D57" t="str">
            <v>X2</v>
          </cell>
          <cell r="E57" t="str">
            <v>DV</v>
          </cell>
          <cell r="F57" t="str">
            <v>100%MT &amp; UT</v>
          </cell>
          <cell r="G57" t="str">
            <v>L</v>
          </cell>
          <cell r="H57">
            <v>750</v>
          </cell>
          <cell r="I57">
            <v>25</v>
          </cell>
          <cell r="K57" t="str">
            <v>WPS-TNHA-S06</v>
          </cell>
          <cell r="L57" t="str">
            <v>ST-22</v>
          </cell>
          <cell r="M57" t="str">
            <v>TUÂN</v>
          </cell>
          <cell r="N57">
            <v>45943</v>
          </cell>
          <cell r="O57" t="str">
            <v>F-044</v>
          </cell>
          <cell r="P57" t="str">
            <v>16h 17/10/2025</v>
          </cell>
          <cell r="Q57" t="str">
            <v>BGT-0014;BGT-0024</v>
          </cell>
          <cell r="R57" t="str">
            <v>HIẾU</v>
          </cell>
          <cell r="S57">
            <v>45950</v>
          </cell>
          <cell r="T57" t="str">
            <v>V-037</v>
          </cell>
          <cell r="U57" t="str">
            <v>15/10/2025</v>
          </cell>
          <cell r="V57" t="str">
            <v>BG-043</v>
          </cell>
          <cell r="Y57" t="str">
            <v>FINISH</v>
          </cell>
          <cell r="Z57" t="str">
            <v>ACC</v>
          </cell>
          <cell r="AA57" t="str">
            <v>ACC</v>
          </cell>
          <cell r="AB57" t="str">
            <v>MT-2211-ST-22-0007</v>
          </cell>
          <cell r="AC57" t="str">
            <v>ACC</v>
          </cell>
          <cell r="AD57" t="str">
            <v>UT-2211-ST-22-0011</v>
          </cell>
          <cell r="AJ57" t="str">
            <v>15/12/2025</v>
          </cell>
          <cell r="AK57" t="str">
            <v xml:space="preserve">FINAL V-141 </v>
          </cell>
          <cell r="AL57" t="str">
            <v>XX/12/2025</v>
          </cell>
          <cell r="AM57" t="str">
            <v>IRN-2211-ST-22-0003</v>
          </cell>
          <cell r="AN57" t="str">
            <v>a</v>
          </cell>
          <cell r="AP57" t="str">
            <v>22/10/2025</v>
          </cell>
        </row>
        <row r="58">
          <cell r="A58" t="str">
            <v>9001-2211-DS-0032-01-WM55</v>
          </cell>
          <cell r="B58" t="str">
            <v>9001-2211-DS-0032-01-WM</v>
          </cell>
          <cell r="C58">
            <v>55</v>
          </cell>
          <cell r="D58" t="str">
            <v>X1</v>
          </cell>
          <cell r="E58" t="str">
            <v>DB</v>
          </cell>
          <cell r="F58" t="str">
            <v>100%MT &amp; UT</v>
          </cell>
          <cell r="G58" t="str">
            <v>D</v>
          </cell>
          <cell r="H58">
            <v>4785.3600000000006</v>
          </cell>
          <cell r="I58">
            <v>25</v>
          </cell>
          <cell r="K58" t="str">
            <v>WPS-TNHA-S06</v>
          </cell>
          <cell r="L58" t="str">
            <v>ST-22</v>
          </cell>
          <cell r="M58" t="str">
            <v>HIẾU</v>
          </cell>
          <cell r="N58">
            <v>45938</v>
          </cell>
          <cell r="O58" t="str">
            <v>F-036</v>
          </cell>
          <cell r="P58" t="str">
            <v>15/10/2025</v>
          </cell>
          <cell r="Q58" t="str">
            <v>BGT-0005;BGT-0006</v>
          </cell>
          <cell r="R58" t="str">
            <v>THÁI</v>
          </cell>
          <cell r="S58">
            <v>45948</v>
          </cell>
          <cell r="T58" t="str">
            <v>V-034</v>
          </cell>
          <cell r="U58">
            <v>45940</v>
          </cell>
          <cell r="V58" t="str">
            <v>BG-036</v>
          </cell>
          <cell r="Y58" t="str">
            <v>FINISH</v>
          </cell>
          <cell r="Z58" t="str">
            <v>ACC</v>
          </cell>
          <cell r="AA58" t="str">
            <v>ACC</v>
          </cell>
          <cell r="AB58" t="str">
            <v>MT-2211-ST-22-0006</v>
          </cell>
          <cell r="AC58" t="str">
            <v>ACC</v>
          </cell>
          <cell r="AD58" t="str">
            <v>UT-2211-ST-22-0006</v>
          </cell>
          <cell r="AL58" t="str">
            <v>27/11/2025</v>
          </cell>
          <cell r="AM58" t="str">
            <v>IRN-2211-ST-22-0001</v>
          </cell>
          <cell r="AP58" t="str">
            <v>22/10/2025</v>
          </cell>
        </row>
        <row r="59">
          <cell r="A59" t="str">
            <v>9001-2211-DS-0032-01-WM56</v>
          </cell>
          <cell r="B59" t="str">
            <v>9001-2211-DS-0032-01-WM</v>
          </cell>
          <cell r="C59">
            <v>56</v>
          </cell>
          <cell r="D59" t="str">
            <v>X2</v>
          </cell>
          <cell r="E59" t="str">
            <v>DV</v>
          </cell>
          <cell r="F59" t="str">
            <v>100%MT &amp; UT</v>
          </cell>
          <cell r="G59" t="str">
            <v>L</v>
          </cell>
          <cell r="H59">
            <v>750</v>
          </cell>
          <cell r="I59">
            <v>25</v>
          </cell>
          <cell r="K59" t="str">
            <v>WPS-TNHA-S06</v>
          </cell>
          <cell r="L59" t="str">
            <v>ST-22</v>
          </cell>
          <cell r="M59" t="str">
            <v>BÁCH</v>
          </cell>
          <cell r="N59">
            <v>45942</v>
          </cell>
          <cell r="O59" t="str">
            <v>F-043</v>
          </cell>
          <cell r="P59" t="str">
            <v>15/10/2025</v>
          </cell>
          <cell r="Q59" t="str">
            <v>BGT-0005;BGT-0006</v>
          </cell>
          <cell r="R59" t="str">
            <v>THÁI</v>
          </cell>
          <cell r="S59">
            <v>45948</v>
          </cell>
          <cell r="T59" t="str">
            <v>V-034</v>
          </cell>
          <cell r="U59" t="str">
            <v>15/10/2025</v>
          </cell>
          <cell r="V59" t="str">
            <v>BG-043</v>
          </cell>
          <cell r="Y59" t="str">
            <v>FINISH</v>
          </cell>
          <cell r="Z59" t="str">
            <v>ACC</v>
          </cell>
          <cell r="AA59" t="str">
            <v>ACC</v>
          </cell>
          <cell r="AB59" t="str">
            <v>MT-2211-ST-22-0006</v>
          </cell>
          <cell r="AC59" t="str">
            <v>ACC</v>
          </cell>
          <cell r="AD59" t="str">
            <v>UT-2211-ST-22-0007</v>
          </cell>
          <cell r="AL59" t="str">
            <v>27/11/2025</v>
          </cell>
          <cell r="AM59" t="str">
            <v>IRN-2211-ST-22-0001</v>
          </cell>
          <cell r="AP59" t="str">
            <v>22/10/2025</v>
          </cell>
        </row>
        <row r="60">
          <cell r="A60" t="str">
            <v>9001-2211-DS-0032-01-WM57</v>
          </cell>
          <cell r="B60" t="str">
            <v>9001-2211-DS-0032-01-WM</v>
          </cell>
          <cell r="C60">
            <v>57</v>
          </cell>
          <cell r="D60" t="str">
            <v>X1</v>
          </cell>
          <cell r="E60" t="str">
            <v>DB</v>
          </cell>
          <cell r="F60" t="str">
            <v>100%MT&amp;UT</v>
          </cell>
          <cell r="G60" t="str">
            <v>D</v>
          </cell>
          <cell r="H60">
            <v>4785.3600000000006</v>
          </cell>
          <cell r="I60">
            <v>25</v>
          </cell>
          <cell r="K60" t="str">
            <v>WPS-TNHA-S06</v>
          </cell>
          <cell r="L60" t="str">
            <v>ST-22</v>
          </cell>
          <cell r="M60" t="str">
            <v>THÁI</v>
          </cell>
          <cell r="N60">
            <v>45978</v>
          </cell>
          <cell r="O60" t="str">
            <v>F-087</v>
          </cell>
          <cell r="P60" t="str">
            <v>26/11/2025</v>
          </cell>
          <cell r="Q60" t="str">
            <v>BGT-0008;GTC-12</v>
          </cell>
          <cell r="R60" t="str">
            <v>THÁI</v>
          </cell>
          <cell r="S60">
            <v>45994</v>
          </cell>
          <cell r="T60" t="str">
            <v>V-109</v>
          </cell>
          <cell r="U60">
            <v>45983</v>
          </cell>
          <cell r="V60" t="str">
            <v>BG-090</v>
          </cell>
          <cell r="Y60" t="str">
            <v>FINISH</v>
          </cell>
          <cell r="Z60" t="str">
            <v>ACC</v>
          </cell>
          <cell r="AA60" t="str">
            <v>ACC</v>
          </cell>
          <cell r="AB60" t="str">
            <v>MT-2211-ST-22-0030</v>
          </cell>
          <cell r="AC60" t="str">
            <v>ACC</v>
          </cell>
          <cell r="AD60" t="str">
            <v>UT-2211-ST-22-0053</v>
          </cell>
          <cell r="AJ60" t="str">
            <v>15/12/2025</v>
          </cell>
          <cell r="AK60" t="str">
            <v xml:space="preserve">FINAL V-141 </v>
          </cell>
          <cell r="AL60" t="str">
            <v>XX/12/2025</v>
          </cell>
          <cell r="AM60" t="str">
            <v>IRN-2211-ST-22-0003</v>
          </cell>
          <cell r="AN60" t="str">
            <v>a</v>
          </cell>
          <cell r="AP60" t="str">
            <v>10/12/2025</v>
          </cell>
        </row>
        <row r="61">
          <cell r="A61" t="str">
            <v>9001-2211-DS-0032-01-WM58</v>
          </cell>
          <cell r="B61" t="str">
            <v>9001-2211-DS-0032-01-WM</v>
          </cell>
          <cell r="C61">
            <v>58</v>
          </cell>
          <cell r="D61" t="str">
            <v>X2</v>
          </cell>
          <cell r="E61" t="str">
            <v>DV</v>
          </cell>
          <cell r="F61" t="str">
            <v>100%MT&amp;UT</v>
          </cell>
          <cell r="G61" t="str">
            <v>L</v>
          </cell>
          <cell r="H61">
            <v>750</v>
          </cell>
          <cell r="I61">
            <v>25</v>
          </cell>
          <cell r="K61" t="str">
            <v>WPS-TNHA-S06</v>
          </cell>
          <cell r="L61" t="str">
            <v>ST-22</v>
          </cell>
          <cell r="M61" t="str">
            <v>THÁI</v>
          </cell>
          <cell r="N61">
            <v>45978</v>
          </cell>
          <cell r="O61" t="str">
            <v>F-087</v>
          </cell>
          <cell r="P61" t="str">
            <v>26/11/2025</v>
          </cell>
          <cell r="Q61" t="str">
            <v>BGT-0008</v>
          </cell>
          <cell r="R61" t="str">
            <v>THÁI</v>
          </cell>
          <cell r="S61">
            <v>45994</v>
          </cell>
          <cell r="T61" t="str">
            <v>V-109</v>
          </cell>
          <cell r="U61" t="str">
            <v>24/11/2025</v>
          </cell>
          <cell r="V61" t="str">
            <v>BG-092</v>
          </cell>
          <cell r="Y61" t="str">
            <v>FINISH</v>
          </cell>
          <cell r="Z61" t="str">
            <v>ACC</v>
          </cell>
          <cell r="AA61" t="str">
            <v>ACC</v>
          </cell>
          <cell r="AB61" t="str">
            <v>MT-2211-ST-22-0030</v>
          </cell>
          <cell r="AC61" t="str">
            <v>ACC</v>
          </cell>
          <cell r="AD61" t="str">
            <v>UT-2211-ST-22-0054</v>
          </cell>
          <cell r="AJ61" t="str">
            <v>15/12/2025</v>
          </cell>
          <cell r="AK61" t="str">
            <v xml:space="preserve">FINAL V-141 </v>
          </cell>
          <cell r="AL61" t="str">
            <v>XX/12/2025</v>
          </cell>
          <cell r="AM61" t="str">
            <v>IRN-2211-ST-22-0003</v>
          </cell>
          <cell r="AN61" t="str">
            <v>a</v>
          </cell>
          <cell r="AP61" t="str">
            <v>10/12/2025</v>
          </cell>
        </row>
        <row r="62">
          <cell r="A62" t="str">
            <v>9001-2211-DS-0032-01-WM59</v>
          </cell>
          <cell r="B62" t="str">
            <v>9001-2211-DS-0032-01-WM</v>
          </cell>
          <cell r="C62">
            <v>59</v>
          </cell>
          <cell r="D62" t="str">
            <v>X1</v>
          </cell>
          <cell r="E62" t="str">
            <v>DB</v>
          </cell>
          <cell r="F62" t="str">
            <v>100%MT &amp; UT</v>
          </cell>
          <cell r="G62" t="str">
            <v>D</v>
          </cell>
          <cell r="H62">
            <v>4785.3600000000006</v>
          </cell>
          <cell r="I62">
            <v>25</v>
          </cell>
          <cell r="K62" t="str">
            <v>WPS-TNHA-S06</v>
          </cell>
          <cell r="L62" t="str">
            <v>ST-22</v>
          </cell>
          <cell r="M62" t="str">
            <v>Tuân</v>
          </cell>
          <cell r="N62">
            <v>45909</v>
          </cell>
          <cell r="O62" t="str">
            <v>F-011</v>
          </cell>
          <cell r="P62" t="str">
            <v>14H00 23/09/2025</v>
          </cell>
          <cell r="Q62" t="str">
            <v>BGT-0012</v>
          </cell>
          <cell r="R62" t="str">
            <v>BÁCH</v>
          </cell>
          <cell r="S62">
            <v>45929</v>
          </cell>
          <cell r="T62" t="str">
            <v>V-019</v>
          </cell>
          <cell r="U62">
            <v>45912</v>
          </cell>
          <cell r="V62" t="str">
            <v>BG-007</v>
          </cell>
          <cell r="Y62" t="str">
            <v>FINISH</v>
          </cell>
          <cell r="Z62" t="str">
            <v>ACC</v>
          </cell>
          <cell r="AA62" t="str">
            <v>ACC</v>
          </cell>
          <cell r="AB62" t="str">
            <v>MT-2211-ST-22-0002</v>
          </cell>
          <cell r="AC62" t="str">
            <v>ACC</v>
          </cell>
          <cell r="AD62" t="str">
            <v>UT-2211-ST-22-0003</v>
          </cell>
          <cell r="AL62" t="str">
            <v>27/11/2025</v>
          </cell>
          <cell r="AM62" t="str">
            <v>IRN-2211-ST-22-0001</v>
          </cell>
          <cell r="AP62" t="str">
            <v>01/10/2025</v>
          </cell>
        </row>
        <row r="63">
          <cell r="A63" t="str">
            <v>9001-2211-DS-0032-01-WM60</v>
          </cell>
          <cell r="B63" t="str">
            <v>9001-2211-DS-0032-01-WM</v>
          </cell>
          <cell r="C63">
            <v>60</v>
          </cell>
          <cell r="D63" t="str">
            <v>X2</v>
          </cell>
          <cell r="E63" t="str">
            <v>DV</v>
          </cell>
          <cell r="F63" t="str">
            <v>100%MT &amp; UT</v>
          </cell>
          <cell r="G63" t="str">
            <v>L</v>
          </cell>
          <cell r="H63">
            <v>750</v>
          </cell>
          <cell r="I63">
            <v>25</v>
          </cell>
          <cell r="K63" t="str">
            <v>WPS-TNHA-S06</v>
          </cell>
          <cell r="L63" t="str">
            <v>ST-22</v>
          </cell>
          <cell r="M63" t="str">
            <v>TUÂN</v>
          </cell>
          <cell r="N63">
            <v>45915</v>
          </cell>
          <cell r="O63" t="str">
            <v>F-019</v>
          </cell>
          <cell r="P63" t="str">
            <v>14H00 23/09/2025</v>
          </cell>
          <cell r="Q63" t="str">
            <v>BGT-0012</v>
          </cell>
          <cell r="R63" t="str">
            <v>BÁCH</v>
          </cell>
          <cell r="S63">
            <v>45929</v>
          </cell>
          <cell r="T63" t="str">
            <v>V-019</v>
          </cell>
          <cell r="U63">
            <v>45917</v>
          </cell>
          <cell r="V63" t="str">
            <v>BG-012</v>
          </cell>
          <cell r="Y63" t="str">
            <v>FINISH</v>
          </cell>
          <cell r="Z63" t="str">
            <v>ACC</v>
          </cell>
          <cell r="AA63" t="str">
            <v>ACC</v>
          </cell>
          <cell r="AB63" t="str">
            <v>MT-2211-ST-22-0002</v>
          </cell>
          <cell r="AC63" t="str">
            <v>ACC</v>
          </cell>
          <cell r="AD63" t="str">
            <v>UT-2211-ST-22-0003</v>
          </cell>
          <cell r="AL63" t="str">
            <v>27/11/2025</v>
          </cell>
          <cell r="AM63" t="str">
            <v>IRN-2211-ST-22-0001</v>
          </cell>
          <cell r="AP63" t="str">
            <v>01/10/2025</v>
          </cell>
        </row>
        <row r="64">
          <cell r="A64" t="str">
            <v>9001-2211-DS-0032-01-WM61</v>
          </cell>
          <cell r="B64" t="str">
            <v>9001-2211-DS-0032-01-WM</v>
          </cell>
          <cell r="C64">
            <v>61</v>
          </cell>
          <cell r="D64" t="str">
            <v>X3</v>
          </cell>
          <cell r="E64" t="str">
            <v>DB</v>
          </cell>
          <cell r="F64" t="str">
            <v>100%MT &amp; UT</v>
          </cell>
          <cell r="G64" t="str">
            <v>D</v>
          </cell>
          <cell r="H64">
            <v>2869.96</v>
          </cell>
          <cell r="I64">
            <v>25</v>
          </cell>
          <cell r="K64" t="str">
            <v>WPS-TNHA-S06</v>
          </cell>
          <cell r="L64" t="str">
            <v>ST-22</v>
          </cell>
          <cell r="M64" t="str">
            <v xml:space="preserve">HIẾU </v>
          </cell>
          <cell r="N64">
            <v>45921</v>
          </cell>
          <cell r="O64" t="str">
            <v>F-026</v>
          </cell>
          <cell r="P64" t="str">
            <v>14H00 23/09/2025</v>
          </cell>
          <cell r="Q64" t="str">
            <v>BGT-0012</v>
          </cell>
          <cell r="R64" t="str">
            <v>BÁCH</v>
          </cell>
          <cell r="S64">
            <v>45929</v>
          </cell>
          <cell r="T64" t="str">
            <v>V-019</v>
          </cell>
          <cell r="U64">
            <v>45922</v>
          </cell>
          <cell r="V64" t="str">
            <v>BG-018</v>
          </cell>
          <cell r="Y64" t="str">
            <v>FINISH</v>
          </cell>
          <cell r="Z64" t="str">
            <v>ACC</v>
          </cell>
          <cell r="AA64" t="str">
            <v>ACC</v>
          </cell>
          <cell r="AB64" t="str">
            <v>MT-2211-ST-22-0002</v>
          </cell>
          <cell r="AC64" t="str">
            <v>ACC</v>
          </cell>
          <cell r="AD64" t="str">
            <v>UT-2211-ST-22-0003</v>
          </cell>
          <cell r="AL64" t="str">
            <v>27/11/2025</v>
          </cell>
          <cell r="AM64" t="str">
            <v>IRN-2211-ST-22-0001</v>
          </cell>
          <cell r="AP64" t="str">
            <v>01/10/2025</v>
          </cell>
        </row>
        <row r="65">
          <cell r="A65" t="str">
            <v>9001-2211-DS-0032-01-WM62</v>
          </cell>
          <cell r="B65" t="str">
            <v>9001-2211-DS-0032-01-WM</v>
          </cell>
          <cell r="C65">
            <v>62</v>
          </cell>
          <cell r="D65" t="str">
            <v>X1</v>
          </cell>
          <cell r="E65" t="str">
            <v>DB</v>
          </cell>
          <cell r="F65" t="str">
            <v>100%MT&amp;UT</v>
          </cell>
          <cell r="G65" t="str">
            <v>D</v>
          </cell>
          <cell r="H65">
            <v>4785.3600000000006</v>
          </cell>
          <cell r="I65">
            <v>25</v>
          </cell>
          <cell r="K65" t="str">
            <v>WPS-TNHA-S06</v>
          </cell>
          <cell r="L65" t="str">
            <v>ST-22</v>
          </cell>
          <cell r="M65" t="str">
            <v xml:space="preserve">HIẾU </v>
          </cell>
          <cell r="N65">
            <v>45944</v>
          </cell>
          <cell r="O65" t="str">
            <v>F-045</v>
          </cell>
          <cell r="P65" t="str">
            <v>29/10/2025</v>
          </cell>
          <cell r="Q65" t="str">
            <v>BGT-0008;BGT0017</v>
          </cell>
          <cell r="R65" t="str">
            <v>TUÂN</v>
          </cell>
          <cell r="S65">
            <v>45965</v>
          </cell>
          <cell r="T65" t="str">
            <v>V-055</v>
          </cell>
          <cell r="U65">
            <v>45950</v>
          </cell>
          <cell r="V65" t="str">
            <v>BG-049</v>
          </cell>
          <cell r="Y65" t="str">
            <v>FINISH</v>
          </cell>
          <cell r="Z65" t="str">
            <v>ACC</v>
          </cell>
          <cell r="AA65" t="str">
            <v>ACC</v>
          </cell>
          <cell r="AB65" t="str">
            <v>MT-2211-ST-22-0011</v>
          </cell>
          <cell r="AC65" t="str">
            <v>ACC</v>
          </cell>
          <cell r="AD65" t="str">
            <v>UT-2211-ST-22-0024</v>
          </cell>
          <cell r="AJ65" t="str">
            <v>9/12/2025</v>
          </cell>
          <cell r="AK65" t="str">
            <v>FINAL V-124</v>
          </cell>
          <cell r="AL65" t="str">
            <v>XX/12/2025</v>
          </cell>
          <cell r="AM65" t="str">
            <v>IRN-2211-ST-22-0004</v>
          </cell>
          <cell r="AN65" t="str">
            <v>B</v>
          </cell>
          <cell r="AP65" t="str">
            <v>5/11/2025</v>
          </cell>
        </row>
        <row r="66">
          <cell r="A66" t="str">
            <v>9001-2211-DS-0032-01-WM63</v>
          </cell>
          <cell r="B66" t="str">
            <v>9001-2211-DS-0032-01-WM</v>
          </cell>
          <cell r="C66">
            <v>63</v>
          </cell>
          <cell r="D66" t="str">
            <v>X2</v>
          </cell>
          <cell r="E66" t="str">
            <v>DV</v>
          </cell>
          <cell r="F66" t="str">
            <v>100%MT&amp;UT</v>
          </cell>
          <cell r="G66" t="str">
            <v>L</v>
          </cell>
          <cell r="H66">
            <v>750</v>
          </cell>
          <cell r="I66">
            <v>25</v>
          </cell>
          <cell r="K66" t="str">
            <v>WPS-TNHA-S06</v>
          </cell>
          <cell r="L66" t="str">
            <v>ST-22</v>
          </cell>
          <cell r="M66" t="str">
            <v>HIẾU</v>
          </cell>
          <cell r="N66">
            <v>45952</v>
          </cell>
          <cell r="O66" t="str">
            <v>F-056</v>
          </cell>
          <cell r="P66" t="str">
            <v>29/10/2025</v>
          </cell>
          <cell r="Q66" t="str">
            <v>BGT-0008;BGT0017</v>
          </cell>
          <cell r="R66" t="str">
            <v>TUÂN</v>
          </cell>
          <cell r="S66">
            <v>45965</v>
          </cell>
          <cell r="T66" t="str">
            <v>V-055</v>
          </cell>
          <cell r="U66">
            <v>45955</v>
          </cell>
          <cell r="V66" t="str">
            <v>BG-055</v>
          </cell>
          <cell r="Y66" t="str">
            <v>FINISH</v>
          </cell>
          <cell r="Z66" t="str">
            <v>ACC</v>
          </cell>
          <cell r="AA66" t="str">
            <v>ACC</v>
          </cell>
          <cell r="AB66" t="str">
            <v>MT-2211-ST-22-0011</v>
          </cell>
          <cell r="AC66" t="str">
            <v>ACC</v>
          </cell>
          <cell r="AD66" t="str">
            <v>UT-2211-ST-22-0025</v>
          </cell>
          <cell r="AJ66" t="str">
            <v>9/12/2025</v>
          </cell>
          <cell r="AK66" t="str">
            <v>FINAL V-124</v>
          </cell>
          <cell r="AL66" t="str">
            <v>XX/12/2025</v>
          </cell>
          <cell r="AM66" t="str">
            <v>IRN-2211-ST-22-0004</v>
          </cell>
          <cell r="AN66" t="str">
            <v>B</v>
          </cell>
          <cell r="AP66" t="str">
            <v>5/11/2025</v>
          </cell>
        </row>
        <row r="67">
          <cell r="A67" t="str">
            <v>9001-2211-DS-0032-01-WM64</v>
          </cell>
          <cell r="B67" t="str">
            <v>9001-2211-DS-0032-01-WM</v>
          </cell>
          <cell r="C67">
            <v>64</v>
          </cell>
          <cell r="D67" t="str">
            <v>X3</v>
          </cell>
          <cell r="E67" t="str">
            <v>DB</v>
          </cell>
          <cell r="F67" t="str">
            <v>100%MT&amp;UT</v>
          </cell>
          <cell r="G67" t="str">
            <v>D</v>
          </cell>
          <cell r="H67">
            <v>2869.96</v>
          </cell>
          <cell r="I67">
            <v>25</v>
          </cell>
          <cell r="K67" t="str">
            <v>WPS-TNHA-S06</v>
          </cell>
          <cell r="L67" t="str">
            <v>ST-22</v>
          </cell>
          <cell r="M67" t="str">
            <v>HIẾU</v>
          </cell>
          <cell r="N67">
            <v>45959</v>
          </cell>
          <cell r="O67" t="str">
            <v>F-065</v>
          </cell>
          <cell r="P67" t="str">
            <v>29/10/2025</v>
          </cell>
          <cell r="Q67" t="str">
            <v>GTC-12</v>
          </cell>
          <cell r="R67" t="str">
            <v>TUÂN</v>
          </cell>
          <cell r="S67">
            <v>45965</v>
          </cell>
          <cell r="T67" t="str">
            <v>V-055</v>
          </cell>
          <cell r="U67">
            <v>45961</v>
          </cell>
          <cell r="V67" t="str">
            <v>BG-065</v>
          </cell>
          <cell r="Y67" t="str">
            <v>FINISH</v>
          </cell>
          <cell r="Z67" t="str">
            <v>ACC</v>
          </cell>
          <cell r="AA67" t="str">
            <v>ACC</v>
          </cell>
          <cell r="AB67" t="str">
            <v>MT-2211-ST-22-0011</v>
          </cell>
          <cell r="AC67" t="str">
            <v>ACC</v>
          </cell>
          <cell r="AD67" t="str">
            <v>UT-2211-ST-22-0024</v>
          </cell>
          <cell r="AJ67" t="str">
            <v>9/12/2025</v>
          </cell>
          <cell r="AK67" t="str">
            <v>FINAL V-124</v>
          </cell>
          <cell r="AL67" t="str">
            <v>XX/12/2025</v>
          </cell>
          <cell r="AM67" t="str">
            <v>IRN-2211-ST-22-0004</v>
          </cell>
          <cell r="AN67" t="str">
            <v>B</v>
          </cell>
          <cell r="AP67" t="str">
            <v>5/11/2025</v>
          </cell>
        </row>
        <row r="68">
          <cell r="A68" t="str">
            <v>9001-2211-DS-0032-01-WM65</v>
          </cell>
          <cell r="B68" t="str">
            <v>9001-2211-DS-0032-01-WM</v>
          </cell>
          <cell r="C68">
            <v>65</v>
          </cell>
          <cell r="D68" t="str">
            <v>X1</v>
          </cell>
          <cell r="E68" t="str">
            <v>DB</v>
          </cell>
          <cell r="F68" t="str">
            <v>100%MT &amp; UT</v>
          </cell>
          <cell r="G68" t="str">
            <v>D</v>
          </cell>
          <cell r="H68">
            <v>4785.3600000000006</v>
          </cell>
          <cell r="I68">
            <v>25</v>
          </cell>
          <cell r="K68" t="str">
            <v>WPS-TNHA-S06</v>
          </cell>
          <cell r="L68" t="str">
            <v>ST-22</v>
          </cell>
          <cell r="M68" t="str">
            <v>HIẾU</v>
          </cell>
          <cell r="N68">
            <v>45952</v>
          </cell>
          <cell r="O68" t="str">
            <v>F-058</v>
          </cell>
          <cell r="P68" t="str">
            <v>30/10/2025</v>
          </cell>
          <cell r="Q68" t="str">
            <v>BGT-0005;BGT-0015</v>
          </cell>
          <cell r="R68" t="str">
            <v>TUÂN</v>
          </cell>
          <cell r="S68">
            <v>45967</v>
          </cell>
          <cell r="T68" t="str">
            <v>V-059</v>
          </cell>
          <cell r="U68">
            <v>45958</v>
          </cell>
          <cell r="V68" t="str">
            <v>BG-058</v>
          </cell>
          <cell r="Y68" t="str">
            <v>FINISH</v>
          </cell>
          <cell r="Z68" t="str">
            <v>ACC</v>
          </cell>
          <cell r="AA68" t="str">
            <v>ACC</v>
          </cell>
          <cell r="AB68" t="str">
            <v>MT-2211-ST-22-0014</v>
          </cell>
          <cell r="AC68" t="str">
            <v>ACC</v>
          </cell>
          <cell r="AD68" t="str">
            <v>UT-2211-ST-22-0027</v>
          </cell>
          <cell r="AL68" t="str">
            <v>27/11/2025</v>
          </cell>
          <cell r="AM68" t="str">
            <v>IRN-2211-ST-22-0001</v>
          </cell>
          <cell r="AP68" t="str">
            <v>12/11/2025</v>
          </cell>
        </row>
        <row r="69">
          <cell r="A69" t="str">
            <v>9001-2211-DS-0032-01-WM66</v>
          </cell>
          <cell r="B69" t="str">
            <v>9001-2211-DS-0032-01-WM</v>
          </cell>
          <cell r="C69">
            <v>66</v>
          </cell>
          <cell r="D69" t="str">
            <v>X2</v>
          </cell>
          <cell r="E69" t="str">
            <v>DV</v>
          </cell>
          <cell r="F69" t="str">
            <v>100%MT &amp; UT</v>
          </cell>
          <cell r="G69" t="str">
            <v>L</v>
          </cell>
          <cell r="H69">
            <v>1206</v>
          </cell>
          <cell r="I69">
            <v>25</v>
          </cell>
          <cell r="K69" t="str">
            <v>WPS-TNHA-S06</v>
          </cell>
          <cell r="L69" t="str">
            <v>ST-22</v>
          </cell>
          <cell r="M69" t="str">
            <v>HIẾU</v>
          </cell>
          <cell r="N69">
            <v>45952</v>
          </cell>
          <cell r="O69" t="str">
            <v>F-058</v>
          </cell>
          <cell r="P69" t="str">
            <v>30/10/2025</v>
          </cell>
          <cell r="Q69" t="str">
            <v>BGT-0005;BGT-0015</v>
          </cell>
          <cell r="R69" t="str">
            <v>TUÂN</v>
          </cell>
          <cell r="S69">
            <v>45967</v>
          </cell>
          <cell r="T69" t="str">
            <v>V-059</v>
          </cell>
          <cell r="U69">
            <v>45958</v>
          </cell>
          <cell r="V69" t="str">
            <v>BG-058</v>
          </cell>
          <cell r="Y69" t="str">
            <v>FINISH</v>
          </cell>
          <cell r="Z69" t="str">
            <v>ACC</v>
          </cell>
          <cell r="AA69" t="str">
            <v>ACC</v>
          </cell>
          <cell r="AB69" t="str">
            <v>MT-2211-ST-22-0014</v>
          </cell>
          <cell r="AC69" t="str">
            <v>ACC</v>
          </cell>
          <cell r="AD69" t="str">
            <v>UT-2211-ST-22-0028</v>
          </cell>
          <cell r="AL69" t="str">
            <v>27/11/2025</v>
          </cell>
          <cell r="AM69" t="str">
            <v>IRN-2211-ST-22-0001</v>
          </cell>
          <cell r="AP69" t="str">
            <v>12/11/2025</v>
          </cell>
        </row>
        <row r="70">
          <cell r="A70" t="str">
            <v>9001-2211-DS-0032-01-WM67</v>
          </cell>
          <cell r="B70" t="str">
            <v>9001-2211-DS-0032-01-WM</v>
          </cell>
          <cell r="C70">
            <v>67</v>
          </cell>
          <cell r="D70" t="str">
            <v>X3</v>
          </cell>
          <cell r="E70" t="str">
            <v>SB</v>
          </cell>
          <cell r="F70" t="str">
            <v>100%MT &amp; UT</v>
          </cell>
          <cell r="G70" t="str">
            <v>D</v>
          </cell>
          <cell r="H70">
            <v>1915.4</v>
          </cell>
          <cell r="I70">
            <v>25</v>
          </cell>
          <cell r="K70" t="str">
            <v>WPS-TNHA-S06</v>
          </cell>
          <cell r="L70" t="str">
            <v>ST-22</v>
          </cell>
          <cell r="M70" t="str">
            <v>BÁCH</v>
          </cell>
          <cell r="N70">
            <v>45969</v>
          </cell>
          <cell r="O70" t="str">
            <v>F-077</v>
          </cell>
          <cell r="P70" t="str">
            <v>8/11/2025</v>
          </cell>
          <cell r="Q70" t="str">
            <v>GTC-12</v>
          </cell>
          <cell r="R70" t="str">
            <v>THÁI</v>
          </cell>
          <cell r="S70">
            <v>45971</v>
          </cell>
          <cell r="T70" t="str">
            <v>V-064</v>
          </cell>
          <cell r="Y70" t="str">
            <v>FINISH</v>
          </cell>
          <cell r="Z70" t="str">
            <v>ACC</v>
          </cell>
          <cell r="AA70" t="str">
            <v>ACC</v>
          </cell>
          <cell r="AB70" t="str">
            <v>MT-2211-ST-22-0016</v>
          </cell>
          <cell r="AC70" t="str">
            <v>ACC</v>
          </cell>
          <cell r="AD70" t="str">
            <v>UT-2211-ST-22-0031</v>
          </cell>
          <cell r="AL70" t="str">
            <v>27/11/2025</v>
          </cell>
          <cell r="AM70" t="str">
            <v>IRN-2211-ST-22-0001</v>
          </cell>
          <cell r="AP70" t="str">
            <v>12/11/2025</v>
          </cell>
        </row>
        <row r="71">
          <cell r="A71" t="str">
            <v>9001-2211-DS-0032-01-WM68</v>
          </cell>
          <cell r="B71" t="str">
            <v>9001-2211-DS-0032-01-WM</v>
          </cell>
          <cell r="C71">
            <v>68</v>
          </cell>
          <cell r="D71" t="str">
            <v>X1</v>
          </cell>
          <cell r="E71" t="str">
            <v>DB</v>
          </cell>
          <cell r="F71" t="str">
            <v>100%MT &amp; UT</v>
          </cell>
          <cell r="G71" t="str">
            <v>D</v>
          </cell>
          <cell r="H71">
            <v>4785.3600000000006</v>
          </cell>
          <cell r="I71">
            <v>25</v>
          </cell>
          <cell r="K71" t="str">
            <v>WPS-TNHA-S06</v>
          </cell>
          <cell r="L71" t="str">
            <v>ST-22</v>
          </cell>
          <cell r="M71" t="str">
            <v>THÁI</v>
          </cell>
          <cell r="N71">
            <v>45991</v>
          </cell>
          <cell r="O71" t="str">
            <v>F-109</v>
          </cell>
          <cell r="P71" t="str">
            <v>7/12/2025</v>
          </cell>
          <cell r="Q71" t="str">
            <v>BGT-0005;GTC-12</v>
          </cell>
          <cell r="R71" t="str">
            <v>THÁI</v>
          </cell>
          <cell r="S71">
            <v>46006</v>
          </cell>
          <cell r="T71" t="str">
            <v>V-139</v>
          </cell>
          <cell r="U71">
            <v>45993</v>
          </cell>
          <cell r="V71" t="str">
            <v>BG-104</v>
          </cell>
          <cell r="Y71" t="str">
            <v>FINISH</v>
          </cell>
          <cell r="Z71" t="str">
            <v>ACC</v>
          </cell>
          <cell r="AA71" t="str">
            <v>ACC</v>
          </cell>
          <cell r="AB71" t="str">
            <v>MT-2211-ST-22-0040</v>
          </cell>
          <cell r="AC71" t="str">
            <v>ACC</v>
          </cell>
          <cell r="AD71" t="str">
            <v>UT-2211-ST-22-0072</v>
          </cell>
          <cell r="AJ71" t="str">
            <v>XX/12/2025</v>
          </cell>
          <cell r="AK71" t="str">
            <v>FINAL-V-155</v>
          </cell>
          <cell r="AL71" t="str">
            <v>XX/12/2025</v>
          </cell>
          <cell r="AM71" t="str">
            <v>IRN-2211-ST-22-0003</v>
          </cell>
          <cell r="AN71" t="str">
            <v>a</v>
          </cell>
          <cell r="AP71" t="str">
            <v>16/12/2025</v>
          </cell>
        </row>
        <row r="72">
          <cell r="A72" t="str">
            <v>9001-2211-DS-0032-01-WM69</v>
          </cell>
          <cell r="B72" t="str">
            <v>9001-2211-DS-0032-01-WM</v>
          </cell>
          <cell r="C72">
            <v>69</v>
          </cell>
          <cell r="D72" t="str">
            <v>X2</v>
          </cell>
          <cell r="E72" t="str">
            <v>DV</v>
          </cell>
          <cell r="F72" t="str">
            <v>100%MT &amp; UT</v>
          </cell>
          <cell r="G72" t="str">
            <v>L</v>
          </cell>
          <cell r="H72">
            <v>1206</v>
          </cell>
          <cell r="I72">
            <v>25</v>
          </cell>
          <cell r="K72" t="str">
            <v>WPS-TNHA-S06</v>
          </cell>
          <cell r="L72" t="str">
            <v>ST-22</v>
          </cell>
          <cell r="M72" t="str">
            <v>THÁI</v>
          </cell>
          <cell r="N72">
            <v>45991</v>
          </cell>
          <cell r="O72" t="str">
            <v>F-109</v>
          </cell>
          <cell r="P72" t="str">
            <v>7/12/2025</v>
          </cell>
          <cell r="Q72" t="str">
            <v>BGT-0005;GTC-12</v>
          </cell>
          <cell r="R72" t="str">
            <v>THÁI</v>
          </cell>
          <cell r="S72">
            <v>46006</v>
          </cell>
          <cell r="T72" t="str">
            <v>V-139</v>
          </cell>
          <cell r="U72" t="str">
            <v>05/12/2025</v>
          </cell>
          <cell r="V72" t="str">
            <v>BG-106</v>
          </cell>
          <cell r="Y72" t="str">
            <v>FINISH</v>
          </cell>
          <cell r="Z72" t="str">
            <v>ACC</v>
          </cell>
          <cell r="AA72" t="str">
            <v>ACC</v>
          </cell>
          <cell r="AB72" t="str">
            <v>MT-2211-ST-22-0040</v>
          </cell>
          <cell r="AC72" t="str">
            <v>ACC</v>
          </cell>
          <cell r="AD72" t="str">
            <v>UT-2211-ST-22-0073</v>
          </cell>
          <cell r="AJ72" t="str">
            <v>XX/12/2025</v>
          </cell>
          <cell r="AK72" t="str">
            <v>FINAL-V-155</v>
          </cell>
          <cell r="AL72" t="str">
            <v>XX/12/2025</v>
          </cell>
          <cell r="AM72" t="str">
            <v>IRN-2211-ST-22-0003</v>
          </cell>
          <cell r="AN72" t="str">
            <v>a</v>
          </cell>
          <cell r="AP72" t="str">
            <v>16/12/2025</v>
          </cell>
        </row>
        <row r="73">
          <cell r="A73" t="str">
            <v>9001-2211-DS-0032-01-WM70</v>
          </cell>
          <cell r="B73" t="str">
            <v>9001-2211-DS-0032-01-WM</v>
          </cell>
          <cell r="C73">
            <v>70</v>
          </cell>
          <cell r="D73" t="str">
            <v>X3</v>
          </cell>
          <cell r="E73" t="str">
            <v>SB</v>
          </cell>
          <cell r="F73" t="str">
            <v>100%MT &amp; UT</v>
          </cell>
          <cell r="G73" t="str">
            <v>D</v>
          </cell>
          <cell r="H73">
            <v>1915.4</v>
          </cell>
          <cell r="I73">
            <v>25</v>
          </cell>
          <cell r="K73" t="str">
            <v>WPS-TNHA-S06</v>
          </cell>
          <cell r="L73" t="str">
            <v>ST-22</v>
          </cell>
          <cell r="M73" t="str">
            <v>THÁI</v>
          </cell>
          <cell r="N73">
            <v>46008</v>
          </cell>
          <cell r="O73" t="str">
            <v>F-137</v>
          </cell>
          <cell r="P73" t="str">
            <v>17/12/2025</v>
          </cell>
          <cell r="Q73" t="str">
            <v>BGT-0006;GTC-12</v>
          </cell>
          <cell r="R73" t="str">
            <v>THÁI</v>
          </cell>
          <cell r="S73">
            <v>46010</v>
          </cell>
          <cell r="T73" t="str">
            <v>V-149</v>
          </cell>
          <cell r="Y73" t="str">
            <v>FINISH</v>
          </cell>
          <cell r="Z73" t="str">
            <v>ACC</v>
          </cell>
          <cell r="AA73" t="str">
            <v>ACC</v>
          </cell>
          <cell r="AB73" t="str">
            <v>MT-2211-ST-22-0041</v>
          </cell>
          <cell r="AC73" t="str">
            <v>ACC</v>
          </cell>
          <cell r="AD73" t="str">
            <v>UT-2211-ST-22-0074</v>
          </cell>
          <cell r="AJ73" t="str">
            <v>XX/12/2025</v>
          </cell>
          <cell r="AK73" t="str">
            <v>FINAL-V-155</v>
          </cell>
          <cell r="AL73" t="str">
            <v>XX/12/2025</v>
          </cell>
          <cell r="AM73" t="str">
            <v>IRN-2211-ST-22-0003</v>
          </cell>
          <cell r="AN73" t="str">
            <v>a</v>
          </cell>
          <cell r="AP73" t="str">
            <v>23/12/2025</v>
          </cell>
        </row>
        <row r="74">
          <cell r="A74" t="str">
            <v>9001-2211-DS-0032-02-WM1</v>
          </cell>
          <cell r="B74" t="str">
            <v>9001-2211-DS-0032-02-WM</v>
          </cell>
          <cell r="C74">
            <v>1</v>
          </cell>
          <cell r="D74" t="str">
            <v>X1</v>
          </cell>
          <cell r="E74" t="str">
            <v>DB</v>
          </cell>
          <cell r="F74" t="str">
            <v>100%MT &amp; UT</v>
          </cell>
          <cell r="G74" t="str">
            <v>D</v>
          </cell>
          <cell r="H74">
            <v>5981.7</v>
          </cell>
          <cell r="I74">
            <v>25</v>
          </cell>
          <cell r="K74" t="str">
            <v>WPS-TNHA-S06</v>
          </cell>
          <cell r="L74" t="str">
            <v>ST-22</v>
          </cell>
          <cell r="M74" t="str">
            <v xml:space="preserve">HIẾU </v>
          </cell>
          <cell r="N74">
            <v>45918</v>
          </cell>
          <cell r="O74" t="str">
            <v>F-023</v>
          </cell>
          <cell r="P74" t="str">
            <v>16h00 08/10/2025</v>
          </cell>
          <cell r="Q74" t="str">
            <v>BGT-0012;BGT-0034</v>
          </cell>
          <cell r="R74" t="str">
            <v>HIẾU</v>
          </cell>
          <cell r="S74">
            <v>45946</v>
          </cell>
          <cell r="T74" t="str">
            <v>V-033</v>
          </cell>
          <cell r="U74">
            <v>45932</v>
          </cell>
          <cell r="V74" t="str">
            <v>BG-028</v>
          </cell>
          <cell r="Y74" t="str">
            <v>FINISH</v>
          </cell>
          <cell r="Z74" t="str">
            <v>ACC</v>
          </cell>
          <cell r="AA74" t="str">
            <v>ACC</v>
          </cell>
          <cell r="AB74" t="str">
            <v>MT-2211-ST-22-0004</v>
          </cell>
          <cell r="AC74" t="str">
            <v>ACC</v>
          </cell>
          <cell r="AD74" t="str">
            <v>UT-2211-ST-22-0010</v>
          </cell>
          <cell r="AL74" t="str">
            <v>27/11/2025</v>
          </cell>
          <cell r="AM74" t="str">
            <v>IRN-2211-ST-22-0001</v>
          </cell>
          <cell r="AP74" t="str">
            <v>22/10/2025</v>
          </cell>
        </row>
        <row r="75">
          <cell r="A75" t="str">
            <v>9001-2211-DS-0032-02-WM2</v>
          </cell>
          <cell r="B75" t="str">
            <v>9001-2211-DS-0032-02-WM</v>
          </cell>
          <cell r="C75">
            <v>2</v>
          </cell>
          <cell r="D75" t="str">
            <v>X2</v>
          </cell>
          <cell r="E75" t="str">
            <v>DV</v>
          </cell>
          <cell r="F75" t="str">
            <v>100%MT &amp; UT</v>
          </cell>
          <cell r="G75" t="str">
            <v>L</v>
          </cell>
          <cell r="H75">
            <v>1293</v>
          </cell>
          <cell r="I75">
            <v>25</v>
          </cell>
          <cell r="K75" t="str">
            <v>WPS-TNHA-S06</v>
          </cell>
          <cell r="L75" t="str">
            <v>ST-22</v>
          </cell>
          <cell r="M75" t="str">
            <v xml:space="preserve">HIẾU </v>
          </cell>
          <cell r="N75">
            <v>45932</v>
          </cell>
          <cell r="O75" t="str">
            <v>F-032</v>
          </cell>
          <cell r="P75" t="str">
            <v>16h00 08/10/2025</v>
          </cell>
          <cell r="Q75" t="str">
            <v>BGT-0012;BGT-0034</v>
          </cell>
          <cell r="R75" t="str">
            <v>HIẾU</v>
          </cell>
          <cell r="S75">
            <v>45946</v>
          </cell>
          <cell r="T75" t="str">
            <v>V-032</v>
          </cell>
          <cell r="U75">
            <v>45933</v>
          </cell>
          <cell r="V75" t="str">
            <v>BG-030</v>
          </cell>
          <cell r="Y75" t="str">
            <v>FINISH</v>
          </cell>
          <cell r="Z75" t="str">
            <v>ACC</v>
          </cell>
          <cell r="AA75" t="str">
            <v>ACC</v>
          </cell>
          <cell r="AB75" t="str">
            <v>MT-2211-ST-22-0003</v>
          </cell>
          <cell r="AC75" t="str">
            <v>ACC</v>
          </cell>
          <cell r="AD75" t="str">
            <v>UT-2211-ST-22-0005</v>
          </cell>
          <cell r="AL75" t="str">
            <v>27/11/2025</v>
          </cell>
          <cell r="AM75" t="str">
            <v>IRN-2211-ST-22-0001</v>
          </cell>
          <cell r="AP75" t="str">
            <v>22/10/2025</v>
          </cell>
        </row>
        <row r="76">
          <cell r="A76" t="str">
            <v>9001-2211-DS-0032-02-WM3</v>
          </cell>
          <cell r="B76" t="str">
            <v>9001-2211-DS-0032-02-WM</v>
          </cell>
          <cell r="C76">
            <v>3</v>
          </cell>
          <cell r="D76" t="str">
            <v>X3</v>
          </cell>
          <cell r="E76" t="str">
            <v>DB</v>
          </cell>
          <cell r="F76" t="str">
            <v>100%MT &amp; UT</v>
          </cell>
          <cell r="G76" t="str">
            <v>D</v>
          </cell>
          <cell r="H76">
            <v>2869.96</v>
          </cell>
          <cell r="I76">
            <v>25</v>
          </cell>
          <cell r="K76" t="str">
            <v>WPS-TNHA-S06</v>
          </cell>
          <cell r="L76" t="str">
            <v>ST-22</v>
          </cell>
          <cell r="M76" t="str">
            <v xml:space="preserve">HIẾU </v>
          </cell>
          <cell r="N76">
            <v>45938</v>
          </cell>
          <cell r="O76" t="str">
            <v>F-035</v>
          </cell>
          <cell r="P76" t="str">
            <v>16h00 08/10/2025</v>
          </cell>
          <cell r="Q76" t="str">
            <v>BGT-0012;BGT-0034</v>
          </cell>
          <cell r="R76" t="str">
            <v>HIẾU</v>
          </cell>
          <cell r="S76">
            <v>45946</v>
          </cell>
          <cell r="T76" t="str">
            <v>V-032</v>
          </cell>
          <cell r="U76">
            <v>45942</v>
          </cell>
          <cell r="V76" t="str">
            <v>BG-039</v>
          </cell>
          <cell r="Y76" t="str">
            <v>FINISH</v>
          </cell>
          <cell r="Z76" t="str">
            <v>ACC</v>
          </cell>
          <cell r="AA76" t="str">
            <v>ACC</v>
          </cell>
          <cell r="AB76" t="str">
            <v>MT-2211-ST-22-0003</v>
          </cell>
          <cell r="AC76" t="str">
            <v>ACC</v>
          </cell>
          <cell r="AD76" t="str">
            <v>UT-2211-ST-22-0009</v>
          </cell>
          <cell r="AL76" t="str">
            <v>27/11/2025</v>
          </cell>
          <cell r="AM76" t="str">
            <v>IRN-2211-ST-22-0001</v>
          </cell>
          <cell r="AP76" t="str">
            <v>22/10/2025</v>
          </cell>
        </row>
        <row r="77">
          <cell r="A77" t="str">
            <v>9001-2211-DS-0032-02-WM4</v>
          </cell>
          <cell r="B77" t="str">
            <v>9001-2211-DS-0032-02-WM</v>
          </cell>
          <cell r="C77">
            <v>4</v>
          </cell>
          <cell r="D77" t="str">
            <v>X1</v>
          </cell>
          <cell r="E77" t="str">
            <v>DB</v>
          </cell>
          <cell r="F77" t="str">
            <v>100%MT &amp; UT</v>
          </cell>
          <cell r="G77" t="str">
            <v>D</v>
          </cell>
          <cell r="H77">
            <v>5981.7</v>
          </cell>
          <cell r="I77">
            <v>25</v>
          </cell>
          <cell r="K77" t="str">
            <v>WPS-TNHA-S06</v>
          </cell>
          <cell r="L77" t="str">
            <v>ST-22</v>
          </cell>
          <cell r="M77" t="str">
            <v xml:space="preserve">HIẾU </v>
          </cell>
          <cell r="N77">
            <v>45950</v>
          </cell>
          <cell r="O77" t="str">
            <v>F-054</v>
          </cell>
          <cell r="P77" t="str">
            <v>26/11/2025</v>
          </cell>
          <cell r="Q77" t="str">
            <v>ND-01</v>
          </cell>
          <cell r="R77" t="str">
            <v>THÁI</v>
          </cell>
          <cell r="S77">
            <v>45997</v>
          </cell>
          <cell r="T77" t="str">
            <v>V-118</v>
          </cell>
          <cell r="U77">
            <v>45954</v>
          </cell>
          <cell r="V77" t="str">
            <v>BG-053</v>
          </cell>
          <cell r="Y77" t="str">
            <v>FINISH</v>
          </cell>
          <cell r="Z77" t="str">
            <v>ACC</v>
          </cell>
          <cell r="AA77" t="str">
            <v>ACC</v>
          </cell>
          <cell r="AB77" t="str">
            <v>MT-2211-ST-22-0034</v>
          </cell>
          <cell r="AC77" t="str">
            <v>ACC</v>
          </cell>
          <cell r="AD77" t="str">
            <v>UT-2211-ST-22-0059</v>
          </cell>
          <cell r="AJ77" t="str">
            <v>XX/12/2025</v>
          </cell>
          <cell r="AK77" t="str">
            <v>FINAL-V-155</v>
          </cell>
          <cell r="AL77" t="str">
            <v>XX/12/2025</v>
          </cell>
          <cell r="AM77" t="str">
            <v>IRN-2211-ST-22-0003</v>
          </cell>
          <cell r="AN77" t="str">
            <v>a</v>
          </cell>
          <cell r="AP77" t="str">
            <v>10/12/2025</v>
          </cell>
        </row>
        <row r="78">
          <cell r="A78" t="str">
            <v>9001-2211-DS-0032-02-WM5</v>
          </cell>
          <cell r="B78" t="str">
            <v>9001-2211-DS-0032-02-WM</v>
          </cell>
          <cell r="C78">
            <v>5</v>
          </cell>
          <cell r="D78" t="str">
            <v>X2</v>
          </cell>
          <cell r="E78" t="str">
            <v>DV</v>
          </cell>
          <cell r="F78" t="str">
            <v>100%MT &amp; UT</v>
          </cell>
          <cell r="G78" t="str">
            <v>L</v>
          </cell>
          <cell r="H78">
            <v>1293</v>
          </cell>
          <cell r="I78">
            <v>25</v>
          </cell>
          <cell r="K78" t="str">
            <v>WPS-TNHA-S06</v>
          </cell>
          <cell r="L78" t="str">
            <v>ST-22</v>
          </cell>
          <cell r="M78" t="str">
            <v xml:space="preserve">HIẾU </v>
          </cell>
          <cell r="N78">
            <v>45950</v>
          </cell>
          <cell r="O78" t="str">
            <v>F-054</v>
          </cell>
          <cell r="P78" t="str">
            <v>26/11/2025</v>
          </cell>
          <cell r="Q78" t="str">
            <v>ND-01</v>
          </cell>
          <cell r="R78" t="str">
            <v>THÁI</v>
          </cell>
          <cell r="S78">
            <v>45997</v>
          </cell>
          <cell r="T78" t="str">
            <v>V-118</v>
          </cell>
          <cell r="U78">
            <v>45954</v>
          </cell>
          <cell r="V78" t="str">
            <v>BG-053</v>
          </cell>
          <cell r="Y78" t="str">
            <v>FINISH</v>
          </cell>
          <cell r="Z78" t="str">
            <v>ACC</v>
          </cell>
          <cell r="AA78" t="str">
            <v>ACC</v>
          </cell>
          <cell r="AB78" t="str">
            <v>MT-2211-ST-22-0034</v>
          </cell>
          <cell r="AC78" t="str">
            <v>ACC</v>
          </cell>
          <cell r="AD78" t="str">
            <v>UT-2211-ST-22-0060</v>
          </cell>
          <cell r="AJ78" t="str">
            <v>XX/12/2025</v>
          </cell>
          <cell r="AK78" t="str">
            <v>FINAL-V-155</v>
          </cell>
          <cell r="AL78" t="str">
            <v>XX/12/2025</v>
          </cell>
          <cell r="AM78" t="str">
            <v>IRN-2211-ST-22-0003</v>
          </cell>
          <cell r="AN78" t="str">
            <v>a</v>
          </cell>
          <cell r="AP78" t="str">
            <v>10/12/2025</v>
          </cell>
        </row>
        <row r="79">
          <cell r="A79" t="str">
            <v>9001-2211-DS-0032-02-WM6</v>
          </cell>
          <cell r="B79" t="str">
            <v>9001-2211-DS-0032-02-WM</v>
          </cell>
          <cell r="C79">
            <v>6</v>
          </cell>
          <cell r="D79" t="str">
            <v>X3</v>
          </cell>
          <cell r="E79" t="str">
            <v>DB</v>
          </cell>
          <cell r="F79" t="str">
            <v>100%MT &amp; UT</v>
          </cell>
          <cell r="G79" t="str">
            <v>D</v>
          </cell>
          <cell r="H79">
            <v>2869.96</v>
          </cell>
          <cell r="I79">
            <v>25</v>
          </cell>
          <cell r="K79" t="str">
            <v>WPS-TNHA-S06</v>
          </cell>
          <cell r="L79" t="str">
            <v>ST-22</v>
          </cell>
          <cell r="M79" t="str">
            <v>THÁI</v>
          </cell>
          <cell r="N79">
            <v>45981</v>
          </cell>
          <cell r="O79" t="str">
            <v>F-093</v>
          </cell>
          <cell r="P79" t="str">
            <v>26/11/2025</v>
          </cell>
          <cell r="Q79" t="str">
            <v>BGT0019;GTC-12</v>
          </cell>
          <cell r="R79" t="str">
            <v>THÁI</v>
          </cell>
          <cell r="S79">
            <v>45997</v>
          </cell>
          <cell r="T79" t="str">
            <v>V-118</v>
          </cell>
          <cell r="U79" t="str">
            <v>24/11/2025</v>
          </cell>
          <cell r="V79" t="str">
            <v>BG-092</v>
          </cell>
          <cell r="Y79" t="str">
            <v>FINISH</v>
          </cell>
          <cell r="Z79" t="str">
            <v>ACC</v>
          </cell>
          <cell r="AA79" t="str">
            <v>ACC</v>
          </cell>
          <cell r="AB79" t="str">
            <v>MT-2211-ST-22-0034</v>
          </cell>
          <cell r="AC79" t="str">
            <v>ACC</v>
          </cell>
          <cell r="AD79" t="str">
            <v>UT-2211-ST-22-0059</v>
          </cell>
          <cell r="AJ79" t="str">
            <v>XX/12/2025</v>
          </cell>
          <cell r="AK79" t="str">
            <v>FINAL-V-155</v>
          </cell>
          <cell r="AL79" t="str">
            <v>XX/12/2025</v>
          </cell>
          <cell r="AM79" t="str">
            <v>IRN-2211-ST-22-0003</v>
          </cell>
          <cell r="AN79" t="str">
            <v>a</v>
          </cell>
          <cell r="AP79" t="str">
            <v>10/12/2025</v>
          </cell>
        </row>
        <row r="80">
          <cell r="A80" t="str">
            <v>9001-2211-DS-0032-02-WM7</v>
          </cell>
          <cell r="B80" t="str">
            <v>9001-2211-DS-0032-02-WM</v>
          </cell>
          <cell r="C80">
            <v>7</v>
          </cell>
          <cell r="D80" t="str">
            <v>X1</v>
          </cell>
          <cell r="E80" t="str">
            <v>DB</v>
          </cell>
          <cell r="F80" t="str">
            <v>100%MT &amp; UT</v>
          </cell>
          <cell r="G80" t="str">
            <v>D</v>
          </cell>
          <cell r="H80">
            <v>5981.7</v>
          </cell>
          <cell r="I80">
            <v>25</v>
          </cell>
          <cell r="K80" t="str">
            <v>WPS-TNHA-S06</v>
          </cell>
          <cell r="L80" t="str">
            <v>ST-22</v>
          </cell>
          <cell r="M80" t="str">
            <v>TUÂN</v>
          </cell>
          <cell r="N80">
            <v>45926</v>
          </cell>
          <cell r="O80" t="str">
            <v>F-030</v>
          </cell>
          <cell r="P80" t="str">
            <v>20/10/2025</v>
          </cell>
          <cell r="Q80" t="str">
            <v>GTC-07;GTC-12;BGT-0015;BGT-0016</v>
          </cell>
          <cell r="R80" t="str">
            <v>XUÂN</v>
          </cell>
          <cell r="S80">
            <v>45958</v>
          </cell>
          <cell r="T80" t="str">
            <v>V-044</v>
          </cell>
          <cell r="U80">
            <v>45941</v>
          </cell>
          <cell r="V80" t="str">
            <v>BG-037</v>
          </cell>
          <cell r="Y80" t="str">
            <v>FINISH</v>
          </cell>
          <cell r="Z80" t="str">
            <v>ACC</v>
          </cell>
          <cell r="AA80" t="str">
            <v>ACC</v>
          </cell>
          <cell r="AB80" t="str">
            <v>MT-2211-ST-22-0008</v>
          </cell>
          <cell r="AC80" t="str">
            <v>ACC</v>
          </cell>
          <cell r="AD80" t="str">
            <v>UT-2211-ST-22-0014</v>
          </cell>
          <cell r="AL80" t="str">
            <v>27/11/2025</v>
          </cell>
          <cell r="AM80" t="str">
            <v>IRN-2211-ST-22-0001</v>
          </cell>
          <cell r="AP80" t="str">
            <v>29/10/2025</v>
          </cell>
        </row>
        <row r="81">
          <cell r="A81" t="str">
            <v>9001-2211-DS-0032-02-WM8</v>
          </cell>
          <cell r="B81" t="str">
            <v>9001-2211-DS-0032-02-WM</v>
          </cell>
          <cell r="C81">
            <v>8</v>
          </cell>
          <cell r="D81" t="str">
            <v>X2</v>
          </cell>
          <cell r="E81" t="str">
            <v>DV</v>
          </cell>
          <cell r="F81" t="str">
            <v>100%MT &amp; UT</v>
          </cell>
          <cell r="G81" t="str">
            <v>L</v>
          </cell>
          <cell r="H81">
            <v>1293</v>
          </cell>
          <cell r="I81">
            <v>25</v>
          </cell>
          <cell r="K81" t="str">
            <v>WPS-TNHA-S06</v>
          </cell>
          <cell r="L81" t="str">
            <v>ST-22</v>
          </cell>
          <cell r="M81" t="str">
            <v>TUÂN</v>
          </cell>
          <cell r="N81">
            <v>45943</v>
          </cell>
          <cell r="O81" t="str">
            <v>F-044</v>
          </cell>
          <cell r="P81" t="str">
            <v>20/10/2025</v>
          </cell>
          <cell r="Q81" t="str">
            <v>GTC-07;GTC-12</v>
          </cell>
          <cell r="R81" t="str">
            <v>XUÂN</v>
          </cell>
          <cell r="S81">
            <v>45958</v>
          </cell>
          <cell r="T81" t="str">
            <v>V-044</v>
          </cell>
          <cell r="U81">
            <v>45947</v>
          </cell>
          <cell r="V81" t="str">
            <v>BG-045</v>
          </cell>
          <cell r="Y81" t="str">
            <v>FINISH</v>
          </cell>
          <cell r="Z81" t="str">
            <v>ACC</v>
          </cell>
          <cell r="AA81" t="str">
            <v>ACC</v>
          </cell>
          <cell r="AB81" t="str">
            <v>MT-2211-ST-22-0008</v>
          </cell>
          <cell r="AC81" t="str">
            <v>ACC</v>
          </cell>
          <cell r="AD81" t="str">
            <v>UT-2211-ST-22-0015</v>
          </cell>
          <cell r="AL81" t="str">
            <v>27/11/2025</v>
          </cell>
          <cell r="AM81" t="str">
            <v>IRN-2211-ST-22-0001</v>
          </cell>
          <cell r="AP81" t="str">
            <v>29/10/2025</v>
          </cell>
        </row>
        <row r="82">
          <cell r="A82" t="str">
            <v>9001-2211-DS-0032-02-WM9</v>
          </cell>
          <cell r="B82" t="str">
            <v>9001-2211-DS-0032-02-WM</v>
          </cell>
          <cell r="C82">
            <v>9</v>
          </cell>
          <cell r="D82" t="str">
            <v>X3</v>
          </cell>
          <cell r="E82" t="str">
            <v>DB</v>
          </cell>
          <cell r="F82" t="str">
            <v>100%MT &amp; UT</v>
          </cell>
          <cell r="G82" t="str">
            <v>D</v>
          </cell>
          <cell r="H82">
            <v>2869.96</v>
          </cell>
          <cell r="I82">
            <v>25</v>
          </cell>
          <cell r="K82" t="str">
            <v>WPS-TNHA-S06</v>
          </cell>
          <cell r="L82" t="str">
            <v>ST-22</v>
          </cell>
          <cell r="M82" t="str">
            <v>HIẾU</v>
          </cell>
          <cell r="N82">
            <v>45963</v>
          </cell>
          <cell r="O82" t="str">
            <v>F-071</v>
          </cell>
          <cell r="P82" t="str">
            <v>6/11/2025</v>
          </cell>
          <cell r="Q82" t="str">
            <v>BGT-0008</v>
          </cell>
          <cell r="R82" t="str">
            <v>XUÂN</v>
          </cell>
          <cell r="S82">
            <v>45977</v>
          </cell>
          <cell r="T82" t="str">
            <v>V-077</v>
          </cell>
          <cell r="U82">
            <v>45968</v>
          </cell>
          <cell r="V82" t="str">
            <v>BG-074</v>
          </cell>
          <cell r="Y82" t="str">
            <v>FINISH</v>
          </cell>
          <cell r="Z82" t="str">
            <v>ACC</v>
          </cell>
          <cell r="AA82" t="str">
            <v>ACC</v>
          </cell>
          <cell r="AB82" t="str">
            <v>MT-2211-ST-22-0022</v>
          </cell>
          <cell r="AC82" t="str">
            <v>ACC</v>
          </cell>
          <cell r="AD82" t="str">
            <v>UT-2211-ST-22-0039</v>
          </cell>
          <cell r="AL82" t="str">
            <v>27/11/2025</v>
          </cell>
          <cell r="AM82" t="str">
            <v>IRN-2211-ST-22-0001</v>
          </cell>
          <cell r="AP82" t="str">
            <v>19/11/2025</v>
          </cell>
        </row>
        <row r="83">
          <cell r="A83" t="str">
            <v>9001-2211-DS-0032-02-WM10</v>
          </cell>
          <cell r="B83" t="str">
            <v>9001-2211-DS-0032-02-WM</v>
          </cell>
          <cell r="C83">
            <v>10</v>
          </cell>
          <cell r="D83" t="str">
            <v>X1</v>
          </cell>
          <cell r="E83" t="str">
            <v>DB</v>
          </cell>
          <cell r="F83" t="str">
            <v>100%MT &amp; UT</v>
          </cell>
          <cell r="G83" t="str">
            <v>D</v>
          </cell>
          <cell r="H83">
            <v>5981.7</v>
          </cell>
          <cell r="I83">
            <v>25</v>
          </cell>
          <cell r="K83" t="str">
            <v>WPS-TNHA-S06</v>
          </cell>
          <cell r="L83" t="str">
            <v>ST-22</v>
          </cell>
          <cell r="M83" t="str">
            <v xml:space="preserve">HIẾU </v>
          </cell>
          <cell r="N83">
            <v>45946</v>
          </cell>
          <cell r="O83" t="str">
            <v>F-049</v>
          </cell>
          <cell r="P83" t="str">
            <v>25/10/2025</v>
          </cell>
          <cell r="Q83" t="str">
            <v>BGT-0032;ND-01</v>
          </cell>
          <cell r="R83" t="str">
            <v>THÁI</v>
          </cell>
          <cell r="S83">
            <v>46004</v>
          </cell>
          <cell r="T83" t="str">
            <v>V-135</v>
          </cell>
          <cell r="U83">
            <v>45952</v>
          </cell>
          <cell r="V83" t="str">
            <v>BG-050</v>
          </cell>
          <cell r="Y83" t="str">
            <v>FINISH</v>
          </cell>
          <cell r="Z83" t="str">
            <v>ACC</v>
          </cell>
          <cell r="AA83" t="str">
            <v>ACC</v>
          </cell>
          <cell r="AB83" t="str">
            <v>MT-2211-ST-22-0038</v>
          </cell>
          <cell r="AC83" t="str">
            <v>ACC</v>
          </cell>
          <cell r="AD83" t="str">
            <v>UT-2211-ST-22-0070</v>
          </cell>
          <cell r="AJ83" t="str">
            <v>XX/12/2025</v>
          </cell>
          <cell r="AK83" t="str">
            <v>FINAL-V-156</v>
          </cell>
          <cell r="AL83" t="str">
            <v>XX/12/2025</v>
          </cell>
          <cell r="AM83" t="str">
            <v>IRN-2211-ST-22-0004</v>
          </cell>
          <cell r="AN83" t="str">
            <v>B</v>
          </cell>
          <cell r="AP83" t="str">
            <v>16/12/2025</v>
          </cell>
        </row>
        <row r="84">
          <cell r="A84" t="str">
            <v>9001-2211-DS-0032-02-WM11</v>
          </cell>
          <cell r="B84" t="str">
            <v>9001-2211-DS-0032-02-WM</v>
          </cell>
          <cell r="C84">
            <v>11</v>
          </cell>
          <cell r="D84" t="str">
            <v>X2</v>
          </cell>
          <cell r="E84" t="str">
            <v>DV</v>
          </cell>
          <cell r="F84" t="str">
            <v>100%MT &amp; UT</v>
          </cell>
          <cell r="G84" t="str">
            <v>L</v>
          </cell>
          <cell r="H84">
            <v>1293</v>
          </cell>
          <cell r="I84">
            <v>25</v>
          </cell>
          <cell r="K84" t="str">
            <v>WPS-TNHA-S06</v>
          </cell>
          <cell r="L84" t="str">
            <v>ST-22</v>
          </cell>
          <cell r="M84" t="str">
            <v xml:space="preserve">HIẾU </v>
          </cell>
          <cell r="N84">
            <v>45960</v>
          </cell>
          <cell r="O84" t="str">
            <v>F-067</v>
          </cell>
          <cell r="P84" t="str">
            <v>30/10/2025</v>
          </cell>
          <cell r="Q84" t="str">
            <v>BGT-0032;ND-01</v>
          </cell>
          <cell r="R84" t="str">
            <v>THÁI</v>
          </cell>
          <cell r="S84">
            <v>46004</v>
          </cell>
          <cell r="T84" t="str">
            <v>V-135</v>
          </cell>
          <cell r="U84">
            <v>45961</v>
          </cell>
          <cell r="V84" t="str">
            <v>BG-063</v>
          </cell>
          <cell r="Y84" t="str">
            <v>FINISH</v>
          </cell>
          <cell r="Z84" t="str">
            <v>ACC</v>
          </cell>
          <cell r="AA84" t="str">
            <v>ACC</v>
          </cell>
          <cell r="AB84" t="str">
            <v>MT-2211-ST-22-0038</v>
          </cell>
          <cell r="AC84" t="str">
            <v>ACC</v>
          </cell>
          <cell r="AD84" t="str">
            <v>UT-2211-ST-22-0071</v>
          </cell>
          <cell r="AJ84" t="str">
            <v>XX/12/2025</v>
          </cell>
          <cell r="AK84" t="str">
            <v>FINAL-V-156</v>
          </cell>
          <cell r="AL84" t="str">
            <v>XX/12/2025</v>
          </cell>
          <cell r="AM84" t="str">
            <v>IRN-2211-ST-22-0004</v>
          </cell>
          <cell r="AN84" t="str">
            <v>B</v>
          </cell>
          <cell r="AP84" t="str">
            <v>16/12/2025</v>
          </cell>
        </row>
        <row r="85">
          <cell r="A85" t="str">
            <v>9001-2211-DS-0032-02-WM12</v>
          </cell>
          <cell r="B85" t="str">
            <v>9001-2211-DS-0032-02-WM</v>
          </cell>
          <cell r="C85">
            <v>12</v>
          </cell>
          <cell r="D85" t="str">
            <v>X3</v>
          </cell>
          <cell r="E85" t="str">
            <v>DB</v>
          </cell>
          <cell r="F85" t="str">
            <v>100%MT &amp; UT</v>
          </cell>
          <cell r="G85" t="str">
            <v>D</v>
          </cell>
          <cell r="H85">
            <v>2869.96</v>
          </cell>
          <cell r="I85">
            <v>25</v>
          </cell>
          <cell r="K85" t="str">
            <v>WPS-TNHA-S06</v>
          </cell>
          <cell r="L85" t="str">
            <v>ST-22</v>
          </cell>
          <cell r="M85" t="str">
            <v>THÁI</v>
          </cell>
          <cell r="N85">
            <v>45981</v>
          </cell>
          <cell r="O85" t="str">
            <v>F-093</v>
          </cell>
          <cell r="P85" t="str">
            <v>26/11/2025</v>
          </cell>
          <cell r="Q85" t="str">
            <v>BGT0019;GTC-12</v>
          </cell>
          <cell r="R85" t="str">
            <v>THÁI</v>
          </cell>
          <cell r="S85">
            <v>46004</v>
          </cell>
          <cell r="T85" t="str">
            <v>V-135</v>
          </cell>
          <cell r="U85" t="str">
            <v>24/11/2025</v>
          </cell>
          <cell r="V85" t="str">
            <v>BG-092</v>
          </cell>
          <cell r="Y85" t="str">
            <v>FINISH</v>
          </cell>
          <cell r="Z85" t="str">
            <v>ACC</v>
          </cell>
          <cell r="AA85" t="str">
            <v>ACC</v>
          </cell>
          <cell r="AB85" t="str">
            <v>MT-2211-ST-22-0038</v>
          </cell>
          <cell r="AC85" t="str">
            <v>ACC</v>
          </cell>
          <cell r="AD85" t="str">
            <v>UT-2211-ST-22-0070</v>
          </cell>
          <cell r="AJ85" t="str">
            <v>XX/12/2025</v>
          </cell>
          <cell r="AK85" t="str">
            <v>FINAL-V-156</v>
          </cell>
          <cell r="AL85" t="str">
            <v>XX/12/2025</v>
          </cell>
          <cell r="AM85" t="str">
            <v>IRN-2211-ST-22-0004</v>
          </cell>
          <cell r="AN85" t="str">
            <v>B</v>
          </cell>
          <cell r="AP85" t="str">
            <v>16/12/2025</v>
          </cell>
        </row>
        <row r="86">
          <cell r="A86" t="str">
            <v>9001-2211-DS-0032-02-WM13</v>
          </cell>
          <cell r="B86" t="str">
            <v>9001-2211-DS-0032-02-WM</v>
          </cell>
          <cell r="C86">
            <v>13</v>
          </cell>
          <cell r="D86" t="str">
            <v>X1</v>
          </cell>
          <cell r="E86" t="str">
            <v>DB</v>
          </cell>
          <cell r="F86" t="str">
            <v>100%MT &amp; UT</v>
          </cell>
          <cell r="G86" t="str">
            <v>D</v>
          </cell>
          <cell r="H86">
            <v>5981.7</v>
          </cell>
          <cell r="I86">
            <v>25</v>
          </cell>
          <cell r="K86" t="str">
            <v>WPS-TNHA-S06</v>
          </cell>
          <cell r="L86" t="str">
            <v>ST-22</v>
          </cell>
          <cell r="M86" t="str">
            <v>TUÂN</v>
          </cell>
          <cell r="N86">
            <v>45926</v>
          </cell>
          <cell r="O86" t="str">
            <v>F-030</v>
          </cell>
          <cell r="P86" t="str">
            <v>20/10/2025</v>
          </cell>
          <cell r="Q86" t="str">
            <v>GTC-07;GTC-12;BGT-0015;BGT-0016</v>
          </cell>
          <cell r="R86" t="str">
            <v>XUÂN</v>
          </cell>
          <cell r="S86">
            <v>45958</v>
          </cell>
          <cell r="T86" t="str">
            <v>V-044</v>
          </cell>
          <cell r="U86">
            <v>45941</v>
          </cell>
          <cell r="V86" t="str">
            <v>BG-037</v>
          </cell>
          <cell r="Y86" t="str">
            <v>FINISH</v>
          </cell>
          <cell r="Z86" t="str">
            <v>ACC</v>
          </cell>
          <cell r="AA86" t="str">
            <v>ACC</v>
          </cell>
          <cell r="AB86" t="str">
            <v>MT-2211-ST-22-0008</v>
          </cell>
          <cell r="AC86" t="str">
            <v>ACC</v>
          </cell>
          <cell r="AD86" t="str">
            <v>UT-2211-ST-22-0014</v>
          </cell>
          <cell r="AL86" t="str">
            <v>27/11/2025</v>
          </cell>
          <cell r="AM86" t="str">
            <v>IRN-2211-ST-22-0001</v>
          </cell>
          <cell r="AP86" t="str">
            <v>29/10/2025</v>
          </cell>
        </row>
        <row r="87">
          <cell r="A87" t="str">
            <v>9001-2211-DS-0032-02-WM14</v>
          </cell>
          <cell r="B87" t="str">
            <v>9001-2211-DS-0032-02-WM</v>
          </cell>
          <cell r="C87">
            <v>14</v>
          </cell>
          <cell r="D87" t="str">
            <v>X2</v>
          </cell>
          <cell r="E87" t="str">
            <v>DV</v>
          </cell>
          <cell r="F87" t="str">
            <v>100%MT &amp; UT</v>
          </cell>
          <cell r="G87" t="str">
            <v>L</v>
          </cell>
          <cell r="H87">
            <v>750</v>
          </cell>
          <cell r="I87">
            <v>25</v>
          </cell>
          <cell r="K87" t="str">
            <v>WPS-TNHA-S06</v>
          </cell>
          <cell r="L87" t="str">
            <v>ST-22</v>
          </cell>
          <cell r="M87" t="str">
            <v>TUÂN</v>
          </cell>
          <cell r="N87">
            <v>45943</v>
          </cell>
          <cell r="O87" t="str">
            <v>F-044</v>
          </cell>
          <cell r="P87" t="str">
            <v>20/10/2025</v>
          </cell>
          <cell r="Q87" t="str">
            <v>GTC-07;GTC-12</v>
          </cell>
          <cell r="R87" t="str">
            <v>XUÂN</v>
          </cell>
          <cell r="S87">
            <v>45958</v>
          </cell>
          <cell r="T87" t="str">
            <v>V-044</v>
          </cell>
          <cell r="U87">
            <v>45947</v>
          </cell>
          <cell r="V87" t="str">
            <v>BG-045</v>
          </cell>
          <cell r="Y87" t="str">
            <v>FINISH</v>
          </cell>
          <cell r="Z87" t="str">
            <v>ACC</v>
          </cell>
          <cell r="AA87" t="str">
            <v>ACC</v>
          </cell>
          <cell r="AB87" t="str">
            <v>MT-2211-ST-22-0008</v>
          </cell>
          <cell r="AC87" t="str">
            <v>ACC</v>
          </cell>
          <cell r="AD87" t="str">
            <v>UT-2211-ST-22-0015</v>
          </cell>
          <cell r="AL87" t="str">
            <v>27/11/2025</v>
          </cell>
          <cell r="AM87" t="str">
            <v>IRN-2211-ST-22-0001</v>
          </cell>
          <cell r="AP87" t="str">
            <v>29/10/2025</v>
          </cell>
        </row>
        <row r="88">
          <cell r="A88" t="str">
            <v>9001-2211-DS-0032-02-WM15</v>
          </cell>
          <cell r="B88" t="str">
            <v>9001-2211-DS-0032-02-WM</v>
          </cell>
          <cell r="C88">
            <v>15</v>
          </cell>
          <cell r="D88" t="str">
            <v>X1</v>
          </cell>
          <cell r="E88" t="str">
            <v>DB</v>
          </cell>
          <cell r="F88" t="str">
            <v>100%MT &amp; UT</v>
          </cell>
          <cell r="G88" t="str">
            <v>D</v>
          </cell>
          <cell r="H88">
            <v>5981.7</v>
          </cell>
          <cell r="I88">
            <v>25</v>
          </cell>
          <cell r="K88" t="str">
            <v>WPS-TNHA-S06</v>
          </cell>
          <cell r="L88" t="str">
            <v>ST-22</v>
          </cell>
          <cell r="M88" t="str">
            <v xml:space="preserve">HIẾU </v>
          </cell>
          <cell r="N88">
            <v>45946</v>
          </cell>
          <cell r="O88" t="str">
            <v>F-049</v>
          </cell>
          <cell r="P88" t="str">
            <v>25/10/2025</v>
          </cell>
          <cell r="Q88" t="str">
            <v>BGT-0032;ND-01</v>
          </cell>
          <cell r="R88" t="str">
            <v>THÁI</v>
          </cell>
          <cell r="S88">
            <v>46004</v>
          </cell>
          <cell r="T88" t="str">
            <v>V-135</v>
          </cell>
          <cell r="U88">
            <v>45952</v>
          </cell>
          <cell r="V88" t="str">
            <v>BG-050</v>
          </cell>
          <cell r="Y88" t="str">
            <v>FINISH</v>
          </cell>
          <cell r="Z88" t="str">
            <v>ACC</v>
          </cell>
          <cell r="AA88" t="str">
            <v>ACC</v>
          </cell>
          <cell r="AB88" t="str">
            <v>MT-2211-ST-22-0038</v>
          </cell>
          <cell r="AC88" t="str">
            <v>ACC</v>
          </cell>
          <cell r="AD88" t="str">
            <v>UT-2211-ST-22-0070</v>
          </cell>
          <cell r="AJ88" t="str">
            <v>XX/12/2025</v>
          </cell>
          <cell r="AK88" t="str">
            <v>FINAL-V-156</v>
          </cell>
          <cell r="AL88" t="str">
            <v>XX/12/2025</v>
          </cell>
          <cell r="AM88" t="str">
            <v>IRN-2211-ST-22-0004</v>
          </cell>
          <cell r="AN88" t="str">
            <v>B</v>
          </cell>
          <cell r="AP88" t="str">
            <v>16/12/2025</v>
          </cell>
        </row>
        <row r="89">
          <cell r="A89" t="str">
            <v>9001-2211-DS-0032-02-WM16</v>
          </cell>
          <cell r="B89" t="str">
            <v>9001-2211-DS-0032-02-WM</v>
          </cell>
          <cell r="C89">
            <v>16</v>
          </cell>
          <cell r="D89" t="str">
            <v>X2</v>
          </cell>
          <cell r="E89" t="str">
            <v>DV</v>
          </cell>
          <cell r="F89" t="str">
            <v>100%MT &amp; UT</v>
          </cell>
          <cell r="G89" t="str">
            <v>L</v>
          </cell>
          <cell r="H89">
            <v>750</v>
          </cell>
          <cell r="I89">
            <v>25</v>
          </cell>
          <cell r="K89" t="str">
            <v>WPS-TNHA-S06</v>
          </cell>
          <cell r="L89" t="str">
            <v>ST-22</v>
          </cell>
          <cell r="M89" t="str">
            <v xml:space="preserve">HIẾU </v>
          </cell>
          <cell r="N89">
            <v>45960</v>
          </cell>
          <cell r="O89" t="str">
            <v>F-067</v>
          </cell>
          <cell r="P89" t="str">
            <v>30/10/2025</v>
          </cell>
          <cell r="Q89" t="str">
            <v>BGT-0032;ND-01</v>
          </cell>
          <cell r="R89" t="str">
            <v>THÁI</v>
          </cell>
          <cell r="S89">
            <v>46004</v>
          </cell>
          <cell r="T89" t="str">
            <v>V-135</v>
          </cell>
          <cell r="U89">
            <v>45961</v>
          </cell>
          <cell r="V89" t="str">
            <v>BG-063</v>
          </cell>
          <cell r="Y89" t="str">
            <v>FINISH</v>
          </cell>
          <cell r="Z89" t="str">
            <v>ACC</v>
          </cell>
          <cell r="AA89" t="str">
            <v>ACC</v>
          </cell>
          <cell r="AB89" t="str">
            <v>MT-2211-ST-22-0038</v>
          </cell>
          <cell r="AC89" t="str">
            <v>ACC</v>
          </cell>
          <cell r="AD89" t="str">
            <v>UT-2211-ST-22-0071</v>
          </cell>
          <cell r="AJ89" t="str">
            <v>XX/12/2025</v>
          </cell>
          <cell r="AK89" t="str">
            <v>FINAL-V-156</v>
          </cell>
          <cell r="AL89" t="str">
            <v>XX/12/2025</v>
          </cell>
          <cell r="AM89" t="str">
            <v>IRN-2211-ST-22-0004</v>
          </cell>
          <cell r="AN89" t="str">
            <v>B</v>
          </cell>
          <cell r="AP89" t="str">
            <v>16/12/2025</v>
          </cell>
        </row>
        <row r="90">
          <cell r="A90" t="str">
            <v>9001-2211-DS-0032-02-WM17</v>
          </cell>
          <cell r="B90" t="str">
            <v>9001-2211-DS-0032-02-WM</v>
          </cell>
          <cell r="C90">
            <v>17</v>
          </cell>
          <cell r="D90" t="str">
            <v>X1</v>
          </cell>
          <cell r="E90" t="str">
            <v>DB</v>
          </cell>
          <cell r="F90" t="str">
            <v>100%MT &amp; UT</v>
          </cell>
          <cell r="G90" t="str">
            <v>D</v>
          </cell>
          <cell r="H90">
            <v>5981.7</v>
          </cell>
          <cell r="I90">
            <v>25</v>
          </cell>
          <cell r="K90" t="str">
            <v>WPS-TNHA-S06</v>
          </cell>
          <cell r="L90" t="str">
            <v>ST-22</v>
          </cell>
          <cell r="M90" t="str">
            <v>TUÂN</v>
          </cell>
          <cell r="N90">
            <v>45926</v>
          </cell>
          <cell r="O90" t="str">
            <v>F-030</v>
          </cell>
          <cell r="P90" t="str">
            <v>20/10/2025</v>
          </cell>
          <cell r="Q90" t="str">
            <v>GTC-07;GTC-12;BGT-0015;BGT-0016</v>
          </cell>
          <cell r="R90" t="str">
            <v>XUÂN</v>
          </cell>
          <cell r="S90">
            <v>45958</v>
          </cell>
          <cell r="T90" t="str">
            <v>V-044</v>
          </cell>
          <cell r="U90">
            <v>45941</v>
          </cell>
          <cell r="V90" t="str">
            <v>BG-037</v>
          </cell>
          <cell r="Y90" t="str">
            <v>FINISH</v>
          </cell>
          <cell r="Z90" t="str">
            <v>ACC</v>
          </cell>
          <cell r="AA90" t="str">
            <v>ACC</v>
          </cell>
          <cell r="AB90" t="str">
            <v>MT-2211-ST-22-0008</v>
          </cell>
          <cell r="AC90" t="str">
            <v>ACC</v>
          </cell>
          <cell r="AD90" t="str">
            <v>UT-2211-ST-22-0016</v>
          </cell>
          <cell r="AL90" t="str">
            <v>27/11/2025</v>
          </cell>
          <cell r="AM90" t="str">
            <v>IRN-2211-ST-22-0001</v>
          </cell>
          <cell r="AP90" t="str">
            <v>29/10/2025</v>
          </cell>
        </row>
        <row r="91">
          <cell r="A91" t="str">
            <v>9001-2211-DS-0032-02-WM18</v>
          </cell>
          <cell r="B91" t="str">
            <v>9001-2211-DS-0032-02-WM</v>
          </cell>
          <cell r="C91">
            <v>18</v>
          </cell>
          <cell r="D91" t="str">
            <v>X2</v>
          </cell>
          <cell r="E91" t="str">
            <v>DV</v>
          </cell>
          <cell r="F91" t="str">
            <v>100%MT &amp; UT</v>
          </cell>
          <cell r="G91" t="str">
            <v>L</v>
          </cell>
          <cell r="H91">
            <v>750</v>
          </cell>
          <cell r="I91">
            <v>25</v>
          </cell>
          <cell r="K91" t="str">
            <v>WPS-TNHA-S06</v>
          </cell>
          <cell r="L91" t="str">
            <v>ST-22</v>
          </cell>
          <cell r="M91" t="str">
            <v>TUÂN</v>
          </cell>
          <cell r="N91">
            <v>45943</v>
          </cell>
          <cell r="O91" t="str">
            <v>F-044</v>
          </cell>
          <cell r="P91" t="str">
            <v>20/10/2025</v>
          </cell>
          <cell r="Q91" t="str">
            <v>BGT-0015;BGT-0016</v>
          </cell>
          <cell r="R91" t="str">
            <v>XUÂN</v>
          </cell>
          <cell r="S91">
            <v>45958</v>
          </cell>
          <cell r="T91" t="str">
            <v>V-044</v>
          </cell>
          <cell r="U91">
            <v>45947</v>
          </cell>
          <cell r="V91" t="str">
            <v>BG-045</v>
          </cell>
          <cell r="Y91" t="str">
            <v>FINISH</v>
          </cell>
          <cell r="Z91" t="str">
            <v>ACC</v>
          </cell>
          <cell r="AA91" t="str">
            <v>ACC</v>
          </cell>
          <cell r="AB91" t="str">
            <v>MT-2211-ST-22-0008</v>
          </cell>
          <cell r="AC91" t="str">
            <v>ACC</v>
          </cell>
          <cell r="AD91" t="str">
            <v>UT-2211-ST-22-0017</v>
          </cell>
          <cell r="AL91" t="str">
            <v>27/11/2025</v>
          </cell>
          <cell r="AM91" t="str">
            <v>IRN-2211-ST-22-0001</v>
          </cell>
          <cell r="AP91" t="str">
            <v>29/10/2025</v>
          </cell>
        </row>
        <row r="92">
          <cell r="A92" t="str">
            <v>9001-2211-DS-0032-02-WM19</v>
          </cell>
          <cell r="B92" t="str">
            <v>9001-2211-DS-0032-02-WM</v>
          </cell>
          <cell r="C92">
            <v>19</v>
          </cell>
          <cell r="D92" t="str">
            <v>X1</v>
          </cell>
          <cell r="E92" t="str">
            <v>DB</v>
          </cell>
          <cell r="F92" t="str">
            <v>100%MT &amp; UT</v>
          </cell>
          <cell r="G92" t="str">
            <v>D</v>
          </cell>
          <cell r="H92">
            <v>5981.7</v>
          </cell>
          <cell r="I92">
            <v>25</v>
          </cell>
          <cell r="K92" t="str">
            <v>WPS-TNHA-S06</v>
          </cell>
          <cell r="L92" t="str">
            <v>ST-22</v>
          </cell>
          <cell r="M92" t="str">
            <v xml:space="preserve">HIẾU </v>
          </cell>
          <cell r="N92">
            <v>45946</v>
          </cell>
          <cell r="O92" t="str">
            <v>F-049</v>
          </cell>
          <cell r="P92" t="str">
            <v>25/10/2025</v>
          </cell>
          <cell r="Q92" t="str">
            <v>BGT-0032;ND-01</v>
          </cell>
          <cell r="R92" t="str">
            <v>THÁI</v>
          </cell>
          <cell r="S92">
            <v>46004</v>
          </cell>
          <cell r="T92" t="str">
            <v>V-135</v>
          </cell>
          <cell r="U92">
            <v>45952</v>
          </cell>
          <cell r="V92" t="str">
            <v>BG-050</v>
          </cell>
          <cell r="Y92" t="str">
            <v>FINISH</v>
          </cell>
          <cell r="Z92" t="str">
            <v>ACC</v>
          </cell>
          <cell r="AA92" t="str">
            <v>ACC</v>
          </cell>
          <cell r="AB92" t="str">
            <v>MT-2211-ST-22-0038</v>
          </cell>
          <cell r="AC92" t="str">
            <v>ACC</v>
          </cell>
          <cell r="AD92" t="str">
            <v>UT-2211-ST-22-0070</v>
          </cell>
          <cell r="AJ92" t="str">
            <v>XX/12/2025</v>
          </cell>
          <cell r="AK92" t="str">
            <v>FINAL-V-156</v>
          </cell>
          <cell r="AL92" t="str">
            <v>XX/12/2025</v>
          </cell>
          <cell r="AM92" t="str">
            <v>IRN-2211-ST-22-0004</v>
          </cell>
          <cell r="AN92" t="str">
            <v>B</v>
          </cell>
          <cell r="AP92" t="str">
            <v>16/12/2025</v>
          </cell>
        </row>
        <row r="93">
          <cell r="A93" t="str">
            <v>9001-2211-DS-0032-02-WM20</v>
          </cell>
          <cell r="B93" t="str">
            <v>9001-2211-DS-0032-02-WM</v>
          </cell>
          <cell r="C93">
            <v>20</v>
          </cell>
          <cell r="D93" t="str">
            <v>X2</v>
          </cell>
          <cell r="E93" t="str">
            <v>DV</v>
          </cell>
          <cell r="F93" t="str">
            <v>100%MT &amp; UT</v>
          </cell>
          <cell r="G93" t="str">
            <v>L</v>
          </cell>
          <cell r="H93">
            <v>750</v>
          </cell>
          <cell r="I93">
            <v>25</v>
          </cell>
          <cell r="K93" t="str">
            <v>WPS-TNHA-S06</v>
          </cell>
          <cell r="L93" t="str">
            <v>ST-22</v>
          </cell>
          <cell r="M93" t="str">
            <v>HIẾU</v>
          </cell>
          <cell r="N93">
            <v>45959</v>
          </cell>
          <cell r="O93" t="str">
            <v>F-065</v>
          </cell>
          <cell r="P93" t="str">
            <v>30/10/2025</v>
          </cell>
          <cell r="Q93" t="str">
            <v>BGT-0032;ND-01</v>
          </cell>
          <cell r="R93" t="str">
            <v>THÁI</v>
          </cell>
          <cell r="S93">
            <v>46004</v>
          </cell>
          <cell r="T93" t="str">
            <v>V-135</v>
          </cell>
          <cell r="U93">
            <v>45961</v>
          </cell>
          <cell r="V93" t="str">
            <v>BG-065</v>
          </cell>
          <cell r="Y93" t="str">
            <v>FINISH</v>
          </cell>
          <cell r="Z93" t="str">
            <v>ACC</v>
          </cell>
          <cell r="AA93" t="str">
            <v>ACC</v>
          </cell>
          <cell r="AB93" t="str">
            <v>MT-2211-ST-22-0038</v>
          </cell>
          <cell r="AC93" t="str">
            <v>ACC</v>
          </cell>
          <cell r="AD93" t="str">
            <v>UT-2211-ST-22-0071</v>
          </cell>
          <cell r="AJ93" t="str">
            <v>XX/12/2025</v>
          </cell>
          <cell r="AK93" t="str">
            <v>FINAL-V-156</v>
          </cell>
          <cell r="AL93" t="str">
            <v>XX/12/2025</v>
          </cell>
          <cell r="AM93" t="str">
            <v>IRN-2211-ST-22-0004</v>
          </cell>
          <cell r="AN93" t="str">
            <v>B</v>
          </cell>
          <cell r="AP93" t="str">
            <v>16/12/2025</v>
          </cell>
        </row>
        <row r="94">
          <cell r="A94" t="str">
            <v>9001-2211-DS-0032-02-WM21</v>
          </cell>
          <cell r="B94" t="str">
            <v>9001-2211-DS-0032-02-WM</v>
          </cell>
          <cell r="C94">
            <v>21</v>
          </cell>
          <cell r="D94" t="str">
            <v>X1</v>
          </cell>
          <cell r="E94" t="str">
            <v>DB</v>
          </cell>
          <cell r="F94" t="str">
            <v>100%MT &amp; UT</v>
          </cell>
          <cell r="G94" t="str">
            <v>D</v>
          </cell>
          <cell r="H94">
            <v>5981.7</v>
          </cell>
          <cell r="I94">
            <v>25</v>
          </cell>
          <cell r="K94" t="str">
            <v>WPS-TNHA-S06</v>
          </cell>
          <cell r="L94" t="str">
            <v>ST-22</v>
          </cell>
          <cell r="M94" t="str">
            <v>TUÂN</v>
          </cell>
          <cell r="N94">
            <v>45926</v>
          </cell>
          <cell r="O94" t="str">
            <v>F-030</v>
          </cell>
          <cell r="P94" t="str">
            <v>20/10/2025</v>
          </cell>
          <cell r="Q94" t="str">
            <v>GTC-07;GTC-12;BGT-0015;BGT-0016</v>
          </cell>
          <cell r="R94" t="str">
            <v>XUÂN</v>
          </cell>
          <cell r="S94">
            <v>45958</v>
          </cell>
          <cell r="T94" t="str">
            <v>V-044</v>
          </cell>
          <cell r="U94">
            <v>45941</v>
          </cell>
          <cell r="V94" t="str">
            <v>BG-037</v>
          </cell>
          <cell r="Y94" t="str">
            <v>FINISH</v>
          </cell>
          <cell r="Z94" t="str">
            <v>ACC</v>
          </cell>
          <cell r="AA94" t="str">
            <v>ACC</v>
          </cell>
          <cell r="AB94" t="str">
            <v>MT-2211-ST-22-0008</v>
          </cell>
          <cell r="AC94" t="str">
            <v>ACC</v>
          </cell>
          <cell r="AD94" t="str">
            <v>UT-2211-ST-22-0018</v>
          </cell>
          <cell r="AL94" t="str">
            <v>27/11/2025</v>
          </cell>
          <cell r="AM94" t="str">
            <v>IRN-2211-ST-22-0001</v>
          </cell>
          <cell r="AP94" t="str">
            <v>29/10/2025</v>
          </cell>
        </row>
        <row r="95">
          <cell r="A95" t="str">
            <v>9001-2211-DS-0032-02-WM22</v>
          </cell>
          <cell r="B95" t="str">
            <v>9001-2211-DS-0032-02-WM</v>
          </cell>
          <cell r="C95">
            <v>22</v>
          </cell>
          <cell r="D95" t="str">
            <v>X2</v>
          </cell>
          <cell r="E95" t="str">
            <v>DV</v>
          </cell>
          <cell r="F95" t="str">
            <v>100%MT &amp; UT</v>
          </cell>
          <cell r="G95" t="str">
            <v>L</v>
          </cell>
          <cell r="H95">
            <v>750</v>
          </cell>
          <cell r="I95">
            <v>25</v>
          </cell>
          <cell r="K95" t="str">
            <v>WPS-TNHA-S06</v>
          </cell>
          <cell r="L95" t="str">
            <v>ST-22</v>
          </cell>
          <cell r="M95" t="str">
            <v>TUÂN</v>
          </cell>
          <cell r="N95">
            <v>45943</v>
          </cell>
          <cell r="O95" t="str">
            <v>F-044</v>
          </cell>
          <cell r="P95" t="str">
            <v>20/10/2025</v>
          </cell>
          <cell r="Q95" t="str">
            <v>BGT-0015;BGT-0016</v>
          </cell>
          <cell r="R95" t="str">
            <v>XUÂN</v>
          </cell>
          <cell r="S95">
            <v>45958</v>
          </cell>
          <cell r="T95" t="str">
            <v>V-044</v>
          </cell>
          <cell r="U95">
            <v>45947</v>
          </cell>
          <cell r="V95" t="str">
            <v>BG-045</v>
          </cell>
          <cell r="Y95" t="str">
            <v>FINISH</v>
          </cell>
          <cell r="Z95" t="str">
            <v>ACC</v>
          </cell>
          <cell r="AA95" t="str">
            <v>ACC</v>
          </cell>
          <cell r="AB95" t="str">
            <v>MT-2211-ST-22-0008</v>
          </cell>
          <cell r="AC95" t="str">
            <v>ACC</v>
          </cell>
          <cell r="AD95" t="str">
            <v>UT-2211-ST-22-0017</v>
          </cell>
          <cell r="AL95" t="str">
            <v>27/11/2025</v>
          </cell>
          <cell r="AM95" t="str">
            <v>IRN-2211-ST-22-0001</v>
          </cell>
          <cell r="AP95" t="str">
            <v>29/10/2025</v>
          </cell>
        </row>
        <row r="96">
          <cell r="A96" t="str">
            <v>9001-2211-DS-0032-02-WM23</v>
          </cell>
          <cell r="B96" t="str">
            <v>9001-2211-DS-0032-02-WM</v>
          </cell>
          <cell r="C96">
            <v>23</v>
          </cell>
          <cell r="D96" t="str">
            <v>X1</v>
          </cell>
          <cell r="E96" t="str">
            <v>DB</v>
          </cell>
          <cell r="F96" t="str">
            <v>100%MT &amp; UT</v>
          </cell>
          <cell r="G96" t="str">
            <v>D</v>
          </cell>
          <cell r="H96">
            <v>5981.7</v>
          </cell>
          <cell r="I96">
            <v>25</v>
          </cell>
          <cell r="K96" t="str">
            <v>WPS-TNHA-S06</v>
          </cell>
          <cell r="L96" t="str">
            <v>ST-22</v>
          </cell>
          <cell r="M96" t="str">
            <v xml:space="preserve">HIẾU </v>
          </cell>
          <cell r="N96">
            <v>45946</v>
          </cell>
          <cell r="O96" t="str">
            <v>F-049</v>
          </cell>
          <cell r="P96" t="str">
            <v>25/10/2025</v>
          </cell>
          <cell r="Q96" t="str">
            <v>BGT-0032;ND-01</v>
          </cell>
          <cell r="R96" t="str">
            <v>THÁI</v>
          </cell>
          <cell r="S96">
            <v>46004</v>
          </cell>
          <cell r="T96" t="str">
            <v>V-135</v>
          </cell>
          <cell r="U96">
            <v>45952</v>
          </cell>
          <cell r="V96" t="str">
            <v>BG-050</v>
          </cell>
          <cell r="Y96" t="str">
            <v>FINISH</v>
          </cell>
          <cell r="Z96" t="str">
            <v>ACC</v>
          </cell>
          <cell r="AA96" t="str">
            <v>ACC</v>
          </cell>
          <cell r="AB96" t="str">
            <v>MT-2211-ST-22-0038</v>
          </cell>
          <cell r="AC96" t="str">
            <v>ACC</v>
          </cell>
          <cell r="AD96" t="str">
            <v>UT-2211-ST-22-0070</v>
          </cell>
          <cell r="AJ96" t="str">
            <v>XX/12/2025</v>
          </cell>
          <cell r="AK96" t="str">
            <v>FINAL-V-156</v>
          </cell>
          <cell r="AL96" t="str">
            <v>XX/12/2025</v>
          </cell>
          <cell r="AM96" t="str">
            <v>IRN-2211-ST-22-0004</v>
          </cell>
          <cell r="AN96" t="str">
            <v>B</v>
          </cell>
          <cell r="AP96" t="str">
            <v>16/12/2025</v>
          </cell>
        </row>
        <row r="97">
          <cell r="A97" t="str">
            <v>9001-2211-DS-0032-02-WM24</v>
          </cell>
          <cell r="B97" t="str">
            <v>9001-2211-DS-0032-02-WM</v>
          </cell>
          <cell r="C97">
            <v>24</v>
          </cell>
          <cell r="D97" t="str">
            <v>X2</v>
          </cell>
          <cell r="E97" t="str">
            <v>DV</v>
          </cell>
          <cell r="F97" t="str">
            <v>100%MT &amp; UT</v>
          </cell>
          <cell r="G97" t="str">
            <v>L</v>
          </cell>
          <cell r="H97">
            <v>750</v>
          </cell>
          <cell r="I97">
            <v>25</v>
          </cell>
          <cell r="K97" t="str">
            <v>WPS-TNHA-S06</v>
          </cell>
          <cell r="L97" t="str">
            <v>ST-22</v>
          </cell>
          <cell r="M97" t="str">
            <v xml:space="preserve">HIẾU </v>
          </cell>
          <cell r="N97">
            <v>45960</v>
          </cell>
          <cell r="O97" t="str">
            <v>F-067</v>
          </cell>
          <cell r="P97" t="str">
            <v>30/10/2025</v>
          </cell>
          <cell r="Q97" t="str">
            <v>BGT-0032;ND-01</v>
          </cell>
          <cell r="R97" t="str">
            <v>THÁI</v>
          </cell>
          <cell r="S97">
            <v>46004</v>
          </cell>
          <cell r="T97" t="str">
            <v>V-135</v>
          </cell>
          <cell r="U97">
            <v>45961</v>
          </cell>
          <cell r="V97" t="str">
            <v>BG-063</v>
          </cell>
          <cell r="Y97" t="str">
            <v>FINISH</v>
          </cell>
          <cell r="Z97" t="str">
            <v>ACC</v>
          </cell>
          <cell r="AA97" t="str">
            <v>ACC</v>
          </cell>
          <cell r="AB97" t="str">
            <v>MT-2211-ST-22-0038</v>
          </cell>
          <cell r="AC97" t="str">
            <v>ACC</v>
          </cell>
          <cell r="AD97" t="str">
            <v>UT-2211-ST-22-0071</v>
          </cell>
          <cell r="AJ97" t="str">
            <v>XX/12/2025</v>
          </cell>
          <cell r="AK97" t="str">
            <v>FINAL-V-156</v>
          </cell>
          <cell r="AL97" t="str">
            <v>XX/12/2025</v>
          </cell>
          <cell r="AM97" t="str">
            <v>IRN-2211-ST-22-0004</v>
          </cell>
          <cell r="AN97" t="str">
            <v>B</v>
          </cell>
          <cell r="AP97" t="str">
            <v>16/12/2025</v>
          </cell>
        </row>
        <row r="98">
          <cell r="A98" t="str">
            <v>9001-2211-DS-0032-02-WM25</v>
          </cell>
          <cell r="B98" t="str">
            <v>9001-2211-DS-0032-02-WM</v>
          </cell>
          <cell r="C98">
            <v>25</v>
          </cell>
          <cell r="D98" t="str">
            <v>X1</v>
          </cell>
          <cell r="E98" t="str">
            <v>DB</v>
          </cell>
          <cell r="F98" t="str">
            <v>100%MT &amp; UT</v>
          </cell>
          <cell r="G98" t="str">
            <v>D</v>
          </cell>
          <cell r="H98">
            <v>5981.7</v>
          </cell>
          <cell r="I98">
            <v>25</v>
          </cell>
          <cell r="K98" t="str">
            <v>WPS-TNHA-S06</v>
          </cell>
          <cell r="L98" t="str">
            <v>ST-22</v>
          </cell>
          <cell r="M98" t="str">
            <v>TUÂN</v>
          </cell>
          <cell r="N98">
            <v>45926</v>
          </cell>
          <cell r="O98" t="str">
            <v>F-030</v>
          </cell>
          <cell r="P98" t="str">
            <v>20/10/2025</v>
          </cell>
          <cell r="Q98" t="str">
            <v>GTC-07;GTC-12;BGT-0015;BGT-0016</v>
          </cell>
          <cell r="R98" t="str">
            <v>XUÂN</v>
          </cell>
          <cell r="S98">
            <v>45958</v>
          </cell>
          <cell r="T98" t="str">
            <v>V-044</v>
          </cell>
          <cell r="U98">
            <v>45941</v>
          </cell>
          <cell r="V98" t="str">
            <v>BG-037</v>
          </cell>
          <cell r="Y98" t="str">
            <v>FINISH</v>
          </cell>
          <cell r="Z98" t="str">
            <v>ACC</v>
          </cell>
          <cell r="AA98" t="str">
            <v>ACC</v>
          </cell>
          <cell r="AB98" t="str">
            <v>MT-2211-ST-22-0008</v>
          </cell>
          <cell r="AC98" t="str">
            <v>ACC</v>
          </cell>
          <cell r="AD98" t="str">
            <v>UT-2211-ST-22-0016</v>
          </cell>
          <cell r="AL98" t="str">
            <v>27/11/2025</v>
          </cell>
          <cell r="AM98" t="str">
            <v>IRN-2211-ST-22-0001</v>
          </cell>
          <cell r="AP98" t="str">
            <v>29/10/2025</v>
          </cell>
        </row>
        <row r="99">
          <cell r="A99" t="str">
            <v>9001-2211-DS-0032-02-WM26</v>
          </cell>
          <cell r="B99" t="str">
            <v>9001-2211-DS-0032-02-WM</v>
          </cell>
          <cell r="C99">
            <v>26</v>
          </cell>
          <cell r="D99" t="str">
            <v>X2</v>
          </cell>
          <cell r="E99" t="str">
            <v>DV</v>
          </cell>
          <cell r="F99" t="str">
            <v>100%MT &amp; UT</v>
          </cell>
          <cell r="G99" t="str">
            <v>L</v>
          </cell>
          <cell r="H99">
            <v>750</v>
          </cell>
          <cell r="I99">
            <v>25</v>
          </cell>
          <cell r="K99" t="str">
            <v>WPS-TNHA-S06</v>
          </cell>
          <cell r="L99" t="str">
            <v>ST-22</v>
          </cell>
          <cell r="M99" t="str">
            <v>TUÂN</v>
          </cell>
          <cell r="N99">
            <v>45943</v>
          </cell>
          <cell r="O99" t="str">
            <v>F-044</v>
          </cell>
          <cell r="P99" t="str">
            <v>20/10/2025</v>
          </cell>
          <cell r="Q99" t="str">
            <v>BGT-0015;BGT-0016</v>
          </cell>
          <cell r="R99" t="str">
            <v>XUÂN</v>
          </cell>
          <cell r="S99">
            <v>45958</v>
          </cell>
          <cell r="T99" t="str">
            <v>V-044</v>
          </cell>
          <cell r="U99">
            <v>45947</v>
          </cell>
          <cell r="V99" t="str">
            <v>BG-045</v>
          </cell>
          <cell r="Y99" t="str">
            <v>FINISH</v>
          </cell>
          <cell r="Z99" t="str">
            <v>ACC</v>
          </cell>
          <cell r="AA99" t="str">
            <v>ACC</v>
          </cell>
          <cell r="AB99" t="str">
            <v>MT-2211-ST-22-0008</v>
          </cell>
          <cell r="AC99" t="str">
            <v>ACC</v>
          </cell>
          <cell r="AD99" t="str">
            <v>UT-2211-ST-22-0017</v>
          </cell>
          <cell r="AL99" t="str">
            <v>27/11/2025</v>
          </cell>
          <cell r="AM99" t="str">
            <v>IRN-2211-ST-22-0001</v>
          </cell>
          <cell r="AP99" t="str">
            <v>29/10/2025</v>
          </cell>
        </row>
        <row r="100">
          <cell r="A100" t="str">
            <v>9001-2211-DS-0032-02-WM27</v>
          </cell>
          <cell r="B100" t="str">
            <v>9001-2211-DS-0032-02-WM</v>
          </cell>
          <cell r="C100">
            <v>27</v>
          </cell>
          <cell r="D100" t="str">
            <v>X1</v>
          </cell>
          <cell r="E100" t="str">
            <v>DB</v>
          </cell>
          <cell r="F100" t="str">
            <v>100%MT &amp; UT</v>
          </cell>
          <cell r="G100" t="str">
            <v>D</v>
          </cell>
          <cell r="H100">
            <v>5981.7</v>
          </cell>
          <cell r="I100">
            <v>25</v>
          </cell>
          <cell r="K100" t="str">
            <v>WPS-TNHA-S06</v>
          </cell>
          <cell r="L100" t="str">
            <v>ST-22</v>
          </cell>
          <cell r="M100" t="str">
            <v xml:space="preserve">HIẾU </v>
          </cell>
          <cell r="N100">
            <v>45946</v>
          </cell>
          <cell r="O100" t="str">
            <v>F-049</v>
          </cell>
          <cell r="P100" t="str">
            <v>25/10/2025</v>
          </cell>
          <cell r="Q100" t="str">
            <v>BGT-0032;ND-01</v>
          </cell>
          <cell r="R100" t="str">
            <v>THÁI</v>
          </cell>
          <cell r="S100">
            <v>46004</v>
          </cell>
          <cell r="T100" t="str">
            <v>V-135</v>
          </cell>
          <cell r="U100">
            <v>45952</v>
          </cell>
          <cell r="V100" t="str">
            <v>BG-050</v>
          </cell>
          <cell r="Y100" t="str">
            <v>FINISH</v>
          </cell>
          <cell r="Z100" t="str">
            <v>ACC</v>
          </cell>
          <cell r="AA100" t="str">
            <v>ACC</v>
          </cell>
          <cell r="AB100" t="str">
            <v>MT-2211-ST-22-0039</v>
          </cell>
          <cell r="AC100" t="str">
            <v>ACC</v>
          </cell>
          <cell r="AD100" t="str">
            <v>UT-2211-ST-22-0070</v>
          </cell>
          <cell r="AJ100" t="str">
            <v>XX/12/2025</v>
          </cell>
          <cell r="AK100" t="str">
            <v>FINAL-V-156</v>
          </cell>
          <cell r="AL100" t="str">
            <v>XX/12/2025</v>
          </cell>
          <cell r="AM100" t="str">
            <v>IRN-2211-ST-22-0004</v>
          </cell>
          <cell r="AN100" t="str">
            <v>B</v>
          </cell>
          <cell r="AP100" t="str">
            <v>16/12/2025</v>
          </cell>
        </row>
        <row r="101">
          <cell r="A101" t="str">
            <v>9001-2211-DS-0032-02-WM28</v>
          </cell>
          <cell r="B101" t="str">
            <v>9001-2211-DS-0032-02-WM</v>
          </cell>
          <cell r="C101">
            <v>28</v>
          </cell>
          <cell r="D101" t="str">
            <v>X2</v>
          </cell>
          <cell r="E101" t="str">
            <v>DV</v>
          </cell>
          <cell r="F101" t="str">
            <v>100%MT &amp; UT</v>
          </cell>
          <cell r="G101" t="str">
            <v>L</v>
          </cell>
          <cell r="H101">
            <v>750</v>
          </cell>
          <cell r="I101">
            <v>25</v>
          </cell>
          <cell r="K101" t="str">
            <v>WPS-TNHA-S06</v>
          </cell>
          <cell r="L101" t="str">
            <v>ST-22</v>
          </cell>
          <cell r="M101" t="str">
            <v xml:space="preserve">HIẾU </v>
          </cell>
          <cell r="N101">
            <v>45960</v>
          </cell>
          <cell r="O101" t="str">
            <v>F-067</v>
          </cell>
          <cell r="P101" t="str">
            <v>30/10/2025</v>
          </cell>
          <cell r="Q101" t="str">
            <v>BGT-0032;ND-01</v>
          </cell>
          <cell r="R101" t="str">
            <v>THÁI</v>
          </cell>
          <cell r="S101">
            <v>46004</v>
          </cell>
          <cell r="T101" t="str">
            <v>V-135</v>
          </cell>
          <cell r="U101">
            <v>45961</v>
          </cell>
          <cell r="V101" t="str">
            <v>BG-063</v>
          </cell>
          <cell r="Y101" t="str">
            <v>FINISH</v>
          </cell>
          <cell r="Z101" t="str">
            <v>ACC</v>
          </cell>
          <cell r="AA101" t="str">
            <v>ACC</v>
          </cell>
          <cell r="AB101" t="str">
            <v>MT-2211-ST-22-0039</v>
          </cell>
          <cell r="AC101" t="str">
            <v>ACC</v>
          </cell>
          <cell r="AD101" t="str">
            <v>UT-2211-ST-22-0071</v>
          </cell>
          <cell r="AJ101" t="str">
            <v>XX/12/2025</v>
          </cell>
          <cell r="AK101" t="str">
            <v>FINAL-V-156</v>
          </cell>
          <cell r="AL101" t="str">
            <v>XX/12/2025</v>
          </cell>
          <cell r="AM101" t="str">
            <v>IRN-2211-ST-22-0004</v>
          </cell>
          <cell r="AN101" t="str">
            <v>B</v>
          </cell>
          <cell r="AP101" t="str">
            <v>16/12/2025</v>
          </cell>
        </row>
        <row r="102">
          <cell r="A102" t="str">
            <v>9001-2211-DS-0032-02-WM29</v>
          </cell>
          <cell r="B102" t="str">
            <v>9001-2211-DS-0032-02-WM</v>
          </cell>
          <cell r="C102">
            <v>29</v>
          </cell>
          <cell r="D102" t="str">
            <v>X1</v>
          </cell>
          <cell r="E102" t="str">
            <v>DB</v>
          </cell>
          <cell r="F102" t="str">
            <v>100%MT &amp; UT</v>
          </cell>
          <cell r="G102" t="str">
            <v>D</v>
          </cell>
          <cell r="H102">
            <v>5981.7</v>
          </cell>
          <cell r="I102">
            <v>30</v>
          </cell>
          <cell r="J102">
            <v>65</v>
          </cell>
          <cell r="K102" t="str">
            <v>WPS-TNHA-S06</v>
          </cell>
          <cell r="L102" t="str">
            <v>ST-22</v>
          </cell>
          <cell r="M102" t="str">
            <v xml:space="preserve">HIẾU </v>
          </cell>
          <cell r="N102">
            <v>45944</v>
          </cell>
          <cell r="O102" t="str">
            <v>F-045</v>
          </cell>
          <cell r="P102" t="str">
            <v>6/11/2025</v>
          </cell>
          <cell r="Q102" t="str">
            <v>BGT-0008;BGT-0005</v>
          </cell>
          <cell r="R102" t="str">
            <v>THÁI</v>
          </cell>
          <cell r="S102">
            <v>45982</v>
          </cell>
          <cell r="T102" t="str">
            <v>V-086</v>
          </cell>
          <cell r="U102">
            <v>45955</v>
          </cell>
          <cell r="V102" t="str">
            <v>BG-056</v>
          </cell>
          <cell r="W102">
            <v>45916</v>
          </cell>
          <cell r="X102" t="str">
            <v>UL-003</v>
          </cell>
          <cell r="Y102" t="str">
            <v>FINISH</v>
          </cell>
          <cell r="Z102" t="str">
            <v>ACC</v>
          </cell>
          <cell r="AA102" t="str">
            <v>ACC</v>
          </cell>
          <cell r="AB102" t="str">
            <v>MT-2211-ST-22-0024</v>
          </cell>
          <cell r="AC102" t="str">
            <v>ACC</v>
          </cell>
          <cell r="AD102" t="str">
            <v>UT-2211-ST-22-0041</v>
          </cell>
          <cell r="AG102" t="str">
            <v>UL-2211-ST-22-0003</v>
          </cell>
          <cell r="AJ102" t="str">
            <v>XX/12/2025</v>
          </cell>
          <cell r="AK102" t="str">
            <v>FINAL-V-155</v>
          </cell>
          <cell r="AL102" t="str">
            <v>XX/12/2025</v>
          </cell>
          <cell r="AM102" t="str">
            <v>IRN-2211-ST-22-0003</v>
          </cell>
          <cell r="AN102" t="str">
            <v>a</v>
          </cell>
          <cell r="AP102" t="str">
            <v>26/11/2025</v>
          </cell>
        </row>
        <row r="103">
          <cell r="A103" t="str">
            <v>9001-2211-DS-0032-02-WM30</v>
          </cell>
          <cell r="B103" t="str">
            <v>9001-2211-DS-0032-02-WM</v>
          </cell>
          <cell r="C103">
            <v>30</v>
          </cell>
          <cell r="D103" t="str">
            <v>X2</v>
          </cell>
          <cell r="E103" t="str">
            <v>DV</v>
          </cell>
          <cell r="F103" t="str">
            <v>100%MT &amp; UT</v>
          </cell>
          <cell r="G103" t="str">
            <v>L</v>
          </cell>
          <cell r="H103">
            <v>750</v>
          </cell>
          <cell r="I103">
            <v>30</v>
          </cell>
          <cell r="K103" t="str">
            <v>WPS-TNHA-S06</v>
          </cell>
          <cell r="L103" t="str">
            <v>ST-22</v>
          </cell>
          <cell r="M103" t="str">
            <v>XUÂN</v>
          </cell>
          <cell r="N103">
            <v>45957</v>
          </cell>
          <cell r="O103" t="str">
            <v>F-063</v>
          </cell>
          <cell r="P103" t="str">
            <v>6/11/2025</v>
          </cell>
          <cell r="Q103" t="str">
            <v>BGT-0008;BGT-0005</v>
          </cell>
          <cell r="R103" t="str">
            <v>THÁI</v>
          </cell>
          <cell r="S103">
            <v>45982</v>
          </cell>
          <cell r="T103" t="str">
            <v>V-086</v>
          </cell>
          <cell r="U103">
            <v>45966</v>
          </cell>
          <cell r="V103" t="str">
            <v>BG-072</v>
          </cell>
          <cell r="Y103" t="str">
            <v>FINISH</v>
          </cell>
          <cell r="Z103" t="str">
            <v>ACC</v>
          </cell>
          <cell r="AA103" t="str">
            <v>ACC</v>
          </cell>
          <cell r="AB103" t="str">
            <v>MT-2211-ST-22-0024</v>
          </cell>
          <cell r="AC103" t="str">
            <v>ACC</v>
          </cell>
          <cell r="AD103" t="str">
            <v>UT-2211-ST-22-0042</v>
          </cell>
          <cell r="AJ103" t="str">
            <v>XX/12/2025</v>
          </cell>
          <cell r="AK103" t="str">
            <v>FINAL-V-155</v>
          </cell>
          <cell r="AL103" t="str">
            <v>XX/12/2025</v>
          </cell>
          <cell r="AM103" t="str">
            <v>IRN-2211-ST-22-0003</v>
          </cell>
          <cell r="AN103" t="str">
            <v>a</v>
          </cell>
          <cell r="AP103" t="str">
            <v>26/11/2025</v>
          </cell>
        </row>
        <row r="104">
          <cell r="A104" t="str">
            <v>9001-2211-DS-0032-02-WM31</v>
          </cell>
          <cell r="B104" t="str">
            <v>9001-2211-DS-0032-02-WM</v>
          </cell>
          <cell r="C104">
            <v>31</v>
          </cell>
          <cell r="D104" t="str">
            <v>X1</v>
          </cell>
          <cell r="E104" t="str">
            <v>DB</v>
          </cell>
          <cell r="F104" t="str">
            <v>100%MT &amp; UT</v>
          </cell>
          <cell r="G104" t="str">
            <v>D</v>
          </cell>
          <cell r="H104">
            <v>5981.7</v>
          </cell>
          <cell r="I104">
            <v>30</v>
          </cell>
          <cell r="J104">
            <v>65</v>
          </cell>
          <cell r="K104" t="str">
            <v>WPS-TNHA-S06</v>
          </cell>
          <cell r="L104" t="str">
            <v>ST-22</v>
          </cell>
          <cell r="M104" t="str">
            <v>TUÂN</v>
          </cell>
          <cell r="N104">
            <v>45930</v>
          </cell>
          <cell r="O104" t="str">
            <v>F-031</v>
          </cell>
          <cell r="P104" t="str">
            <v>16h00 08/10/2025</v>
          </cell>
          <cell r="Q104" t="str">
            <v>BGT-0018;BGT-0022;BGT-0032</v>
          </cell>
          <cell r="R104" t="str">
            <v>HIẾU</v>
          </cell>
          <cell r="S104">
            <v>45946</v>
          </cell>
          <cell r="T104" t="str">
            <v>V-032</v>
          </cell>
          <cell r="U104">
            <v>45938</v>
          </cell>
          <cell r="V104" t="str">
            <v>BG-034</v>
          </cell>
          <cell r="W104">
            <v>45913</v>
          </cell>
          <cell r="X104" t="str">
            <v>UL-002</v>
          </cell>
          <cell r="Y104" t="str">
            <v>FINISH</v>
          </cell>
          <cell r="Z104" t="str">
            <v>ACC</v>
          </cell>
          <cell r="AA104" t="str">
            <v>ACC</v>
          </cell>
          <cell r="AB104" t="str">
            <v>MT-2211-ST-22-0003</v>
          </cell>
          <cell r="AC104" t="str">
            <v>ACC</v>
          </cell>
          <cell r="AD104" t="str">
            <v>UT-2211-ST-22-0008</v>
          </cell>
          <cell r="AG104" t="str">
            <v>UL-2211-ST-22-0002</v>
          </cell>
          <cell r="AL104" t="str">
            <v>27/11/2025</v>
          </cell>
          <cell r="AM104" t="str">
            <v>IRN-2211-ST-22-0001</v>
          </cell>
          <cell r="AP104" t="str">
            <v>22/10/2025</v>
          </cell>
        </row>
        <row r="105">
          <cell r="A105" t="str">
            <v>9001-2211-DS-0032-02-WM32</v>
          </cell>
          <cell r="B105" t="str">
            <v>9001-2211-DS-0032-02-WM</v>
          </cell>
          <cell r="C105">
            <v>32</v>
          </cell>
          <cell r="D105" t="str">
            <v>X2</v>
          </cell>
          <cell r="E105" t="str">
            <v>DV</v>
          </cell>
          <cell r="F105" t="str">
            <v>100%MT &amp; UT</v>
          </cell>
          <cell r="G105" t="str">
            <v>L</v>
          </cell>
          <cell r="H105">
            <v>750</v>
          </cell>
          <cell r="I105">
            <v>30</v>
          </cell>
          <cell r="K105" t="str">
            <v>WPS-TNHA-S06</v>
          </cell>
          <cell r="L105" t="str">
            <v>ST-22</v>
          </cell>
          <cell r="M105" t="str">
            <v>TUÂN</v>
          </cell>
          <cell r="N105">
            <v>45939</v>
          </cell>
          <cell r="O105" t="str">
            <v>F-037</v>
          </cell>
          <cell r="P105" t="str">
            <v>16h00 08/10/2025</v>
          </cell>
          <cell r="Q105" t="str">
            <v>BGT-0018;BGT-0022;BGT-0032</v>
          </cell>
          <cell r="R105" t="str">
            <v>HIẾU</v>
          </cell>
          <cell r="S105">
            <v>45946</v>
          </cell>
          <cell r="T105" t="str">
            <v>V-032</v>
          </cell>
          <cell r="U105">
            <v>45942</v>
          </cell>
          <cell r="V105" t="str">
            <v>BG-039</v>
          </cell>
          <cell r="Y105" t="str">
            <v>FINISH</v>
          </cell>
          <cell r="Z105" t="str">
            <v>ACC</v>
          </cell>
          <cell r="AA105" t="str">
            <v>ACC</v>
          </cell>
          <cell r="AB105" t="str">
            <v>MT-2211-ST-22-0005</v>
          </cell>
          <cell r="AC105" t="str">
            <v>ACC</v>
          </cell>
          <cell r="AD105" t="str">
            <v>UT-2211-ST-22-0004</v>
          </cell>
          <cell r="AL105" t="str">
            <v>27/11/2025</v>
          </cell>
          <cell r="AM105" t="str">
            <v>IRN-2211-ST-22-0001</v>
          </cell>
          <cell r="AP105" t="str">
            <v>22/10/2025</v>
          </cell>
        </row>
        <row r="106">
          <cell r="A106" t="str">
            <v>9001-2211-DS-0032-02-WM33</v>
          </cell>
          <cell r="B106" t="str">
            <v>9001-2211-DS-0032-02-WM</v>
          </cell>
          <cell r="C106">
            <v>33</v>
          </cell>
          <cell r="D106" t="str">
            <v>X1</v>
          </cell>
          <cell r="E106" t="str">
            <v>DB</v>
          </cell>
          <cell r="F106" t="str">
            <v>100%MT &amp; UT</v>
          </cell>
          <cell r="G106" t="str">
            <v>D</v>
          </cell>
          <cell r="H106">
            <v>5981.7</v>
          </cell>
          <cell r="I106">
            <v>30</v>
          </cell>
          <cell r="J106">
            <v>65</v>
          </cell>
          <cell r="K106" t="str">
            <v>WPS-TNHA-S06</v>
          </cell>
          <cell r="L106" t="str">
            <v>ST-22</v>
          </cell>
          <cell r="M106" t="str">
            <v>TUÂN</v>
          </cell>
          <cell r="N106">
            <v>45930</v>
          </cell>
          <cell r="O106" t="str">
            <v>F-031</v>
          </cell>
          <cell r="P106" t="str">
            <v>16h00 08/10/2025</v>
          </cell>
          <cell r="Q106" t="str">
            <v>BGT-0018;BGT-0022;BGT-0032</v>
          </cell>
          <cell r="R106" t="str">
            <v>HIẾU</v>
          </cell>
          <cell r="S106">
            <v>45946</v>
          </cell>
          <cell r="T106" t="str">
            <v>V-032</v>
          </cell>
          <cell r="U106">
            <v>45938</v>
          </cell>
          <cell r="V106" t="str">
            <v>BG-034</v>
          </cell>
          <cell r="W106">
            <v>45913</v>
          </cell>
          <cell r="X106" t="str">
            <v>UL-002</v>
          </cell>
          <cell r="Y106" t="str">
            <v>FINISH</v>
          </cell>
          <cell r="Z106" t="str">
            <v>ACC</v>
          </cell>
          <cell r="AA106" t="str">
            <v>ACC</v>
          </cell>
          <cell r="AB106" t="str">
            <v>MT-2211-ST-22-0003</v>
          </cell>
          <cell r="AC106" t="str">
            <v>ACC</v>
          </cell>
          <cell r="AD106" t="str">
            <v>UT-2211-ST-22-0008</v>
          </cell>
          <cell r="AG106" t="str">
            <v>UL-2211-ST-22-0002</v>
          </cell>
          <cell r="AL106" t="str">
            <v>27/11/2025</v>
          </cell>
          <cell r="AM106" t="str">
            <v>IRN-2211-ST-22-0001</v>
          </cell>
          <cell r="AP106" t="str">
            <v>22/10/2025</v>
          </cell>
        </row>
        <row r="107">
          <cell r="A107" t="str">
            <v>9001-2211-DS-0032-02-WM34</v>
          </cell>
          <cell r="B107" t="str">
            <v>9001-2211-DS-0032-02-WM</v>
          </cell>
          <cell r="C107">
            <v>34</v>
          </cell>
          <cell r="D107" t="str">
            <v>X2</v>
          </cell>
          <cell r="E107" t="str">
            <v>DV</v>
          </cell>
          <cell r="F107" t="str">
            <v>100%MT &amp; UT</v>
          </cell>
          <cell r="G107" t="str">
            <v>L</v>
          </cell>
          <cell r="H107">
            <v>750</v>
          </cell>
          <cell r="I107">
            <v>30</v>
          </cell>
          <cell r="K107" t="str">
            <v>WPS-TNHA-S06</v>
          </cell>
          <cell r="L107" t="str">
            <v>ST-22</v>
          </cell>
          <cell r="M107" t="str">
            <v>TUÂN</v>
          </cell>
          <cell r="N107">
            <v>45939</v>
          </cell>
          <cell r="O107" t="str">
            <v>F-037</v>
          </cell>
          <cell r="P107" t="str">
            <v>16h00 08/10/2025</v>
          </cell>
          <cell r="Q107" t="str">
            <v>BGT-0018;BGT-0022;BGT-0032</v>
          </cell>
          <cell r="R107" t="str">
            <v>HIẾU</v>
          </cell>
          <cell r="S107">
            <v>45946</v>
          </cell>
          <cell r="T107" t="str">
            <v>V-032</v>
          </cell>
          <cell r="U107">
            <v>45942</v>
          </cell>
          <cell r="V107" t="str">
            <v>BG-039</v>
          </cell>
          <cell r="Y107" t="str">
            <v>FINISH</v>
          </cell>
          <cell r="Z107" t="str">
            <v>ACC</v>
          </cell>
          <cell r="AA107" t="str">
            <v>ACC</v>
          </cell>
          <cell r="AB107" t="str">
            <v>MT-2211-ST-22-0003</v>
          </cell>
          <cell r="AC107" t="str">
            <v>ACC</v>
          </cell>
          <cell r="AD107" t="str">
            <v>UT-2211-ST-22-0004</v>
          </cell>
          <cell r="AL107" t="str">
            <v>27/11/2025</v>
          </cell>
          <cell r="AM107" t="str">
            <v>IRN-2211-ST-22-0001</v>
          </cell>
          <cell r="AP107" t="str">
            <v>22/10/2025</v>
          </cell>
        </row>
        <row r="108">
          <cell r="A108" t="str">
            <v>9001-2211-DS-0032-02-WM35</v>
          </cell>
          <cell r="B108" t="str">
            <v>9001-2211-DS-0032-02-WM</v>
          </cell>
          <cell r="C108">
            <v>35</v>
          </cell>
          <cell r="D108" t="str">
            <v>X1</v>
          </cell>
          <cell r="E108" t="str">
            <v>DB</v>
          </cell>
          <cell r="F108" t="str">
            <v>100%MT &amp; UT</v>
          </cell>
          <cell r="G108" t="str">
            <v>D</v>
          </cell>
          <cell r="H108">
            <v>5981.7</v>
          </cell>
          <cell r="I108">
            <v>30</v>
          </cell>
          <cell r="J108">
            <v>65</v>
          </cell>
          <cell r="K108" t="str">
            <v>WPS-TNHA-S06</v>
          </cell>
          <cell r="L108" t="str">
            <v>ST-22</v>
          </cell>
          <cell r="M108" t="str">
            <v xml:space="preserve">HIẾU </v>
          </cell>
          <cell r="N108">
            <v>45944</v>
          </cell>
          <cell r="O108" t="str">
            <v>F-045</v>
          </cell>
          <cell r="P108" t="str">
            <v>6/11/2025</v>
          </cell>
          <cell r="Q108" t="str">
            <v>BGT-0008;BGT-0005</v>
          </cell>
          <cell r="R108" t="str">
            <v>THÁI</v>
          </cell>
          <cell r="S108">
            <v>45982</v>
          </cell>
          <cell r="T108" t="str">
            <v>V-086</v>
          </cell>
          <cell r="U108" t="str">
            <v>16/10/2025</v>
          </cell>
          <cell r="V108" t="str">
            <v>BG-044</v>
          </cell>
          <cell r="W108">
            <v>45916</v>
          </cell>
          <cell r="X108" t="str">
            <v>UL-003</v>
          </cell>
          <cell r="Y108" t="str">
            <v>FINISH</v>
          </cell>
          <cell r="Z108" t="str">
            <v>ACC</v>
          </cell>
          <cell r="AA108" t="str">
            <v>ACC</v>
          </cell>
          <cell r="AB108" t="str">
            <v>MT-2211-ST-22-0024</v>
          </cell>
          <cell r="AC108" t="str">
            <v>ACC</v>
          </cell>
          <cell r="AD108" t="str">
            <v>UT-2211-ST-22-0041</v>
          </cell>
          <cell r="AG108" t="str">
            <v>UL-2211-ST-22-0003</v>
          </cell>
          <cell r="AJ108" t="str">
            <v>XX/12/2025</v>
          </cell>
          <cell r="AK108" t="str">
            <v>FINAL-V-155</v>
          </cell>
          <cell r="AL108" t="str">
            <v>XX/12/2025</v>
          </cell>
          <cell r="AM108" t="str">
            <v>IRN-2211-ST-22-0003</v>
          </cell>
          <cell r="AN108" t="str">
            <v>a</v>
          </cell>
          <cell r="AP108" t="str">
            <v>26/11/2025</v>
          </cell>
        </row>
        <row r="109">
          <cell r="A109" t="str">
            <v>9001-2211-DS-0032-02-WM36</v>
          </cell>
          <cell r="B109" t="str">
            <v>9001-2211-DS-0032-02-WM</v>
          </cell>
          <cell r="C109">
            <v>36</v>
          </cell>
          <cell r="D109" t="str">
            <v>X2</v>
          </cell>
          <cell r="E109" t="str">
            <v>DV</v>
          </cell>
          <cell r="F109" t="str">
            <v>100%MT &amp; UT</v>
          </cell>
          <cell r="G109" t="str">
            <v>L</v>
          </cell>
          <cell r="H109">
            <v>750</v>
          </cell>
          <cell r="I109">
            <v>30</v>
          </cell>
          <cell r="K109" t="str">
            <v>WPS-TNHA-S06</v>
          </cell>
          <cell r="L109" t="str">
            <v>ST-22</v>
          </cell>
          <cell r="M109" t="str">
            <v>BÁCH</v>
          </cell>
          <cell r="N109">
            <v>45948</v>
          </cell>
          <cell r="O109" t="str">
            <v>F-051</v>
          </cell>
          <cell r="P109" t="str">
            <v>6/11/2025</v>
          </cell>
          <cell r="Q109" t="str">
            <v>BGT-0008;BGT-0005</v>
          </cell>
          <cell r="R109" t="str">
            <v>THÁI</v>
          </cell>
          <cell r="S109">
            <v>45982</v>
          </cell>
          <cell r="T109" t="str">
            <v>V-086</v>
          </cell>
          <cell r="U109">
            <v>45950</v>
          </cell>
          <cell r="V109" t="str">
            <v>BG-049</v>
          </cell>
          <cell r="Y109" t="str">
            <v>FINISH</v>
          </cell>
          <cell r="Z109" t="str">
            <v>ACC</v>
          </cell>
          <cell r="AA109" t="str">
            <v>ACC</v>
          </cell>
          <cell r="AB109" t="str">
            <v>MT-2211-ST-22-0024</v>
          </cell>
          <cell r="AC109" t="str">
            <v>ACC</v>
          </cell>
          <cell r="AD109" t="str">
            <v>UT-2211-ST-22-0042</v>
          </cell>
          <cell r="AJ109" t="str">
            <v>XX/12/2025</v>
          </cell>
          <cell r="AK109" t="str">
            <v>FINAL-V-155</v>
          </cell>
          <cell r="AL109" t="str">
            <v>XX/12/2025</v>
          </cell>
          <cell r="AM109" t="str">
            <v>IRN-2211-ST-22-0003</v>
          </cell>
          <cell r="AN109" t="str">
            <v>a</v>
          </cell>
          <cell r="AP109" t="str">
            <v>26/11/2025</v>
          </cell>
        </row>
        <row r="110">
          <cell r="A110" t="str">
            <v>9001-2211-DS-0032-02-WM37</v>
          </cell>
          <cell r="B110" t="str">
            <v>9001-2211-DS-0032-02-WM</v>
          </cell>
          <cell r="C110">
            <v>37</v>
          </cell>
          <cell r="D110" t="str">
            <v>X1</v>
          </cell>
          <cell r="E110" t="str">
            <v>DB</v>
          </cell>
          <cell r="F110" t="str">
            <v>100%MT &amp; UT</v>
          </cell>
          <cell r="G110" t="str">
            <v>D</v>
          </cell>
          <cell r="H110">
            <v>5981.7</v>
          </cell>
          <cell r="I110">
            <v>30</v>
          </cell>
          <cell r="J110">
            <v>65</v>
          </cell>
          <cell r="K110" t="str">
            <v>WPS-TNHA-S06</v>
          </cell>
          <cell r="L110" t="str">
            <v>ST-22</v>
          </cell>
          <cell r="M110" t="str">
            <v>THÁI</v>
          </cell>
          <cell r="N110">
            <v>45978</v>
          </cell>
          <cell r="O110" t="str">
            <v>F-087</v>
          </cell>
          <cell r="P110" t="str">
            <v>24/11/2025</v>
          </cell>
          <cell r="Q110" t="str">
            <v>BGT-0005;BGT-0006</v>
          </cell>
          <cell r="R110" t="str">
            <v>THÁI</v>
          </cell>
          <cell r="S110">
            <v>45988</v>
          </cell>
          <cell r="T110" t="str">
            <v>V-096</v>
          </cell>
          <cell r="U110">
            <v>45980</v>
          </cell>
          <cell r="V110" t="str">
            <v>BG-088</v>
          </cell>
          <cell r="W110">
            <v>45913</v>
          </cell>
          <cell r="X110" t="str">
            <v>UL-002</v>
          </cell>
          <cell r="Y110" t="str">
            <v>FINISH</v>
          </cell>
          <cell r="Z110" t="str">
            <v>ACC</v>
          </cell>
          <cell r="AA110" t="str">
            <v>ACC</v>
          </cell>
          <cell r="AB110" t="str">
            <v>MT-2211-ST-22-0027</v>
          </cell>
          <cell r="AC110" t="str">
            <v>ACC</v>
          </cell>
          <cell r="AD110" t="str">
            <v>UT-2211-ST-22-0047</v>
          </cell>
          <cell r="AG110" t="str">
            <v>UL-2211-ST-22-0002</v>
          </cell>
          <cell r="AL110" t="str">
            <v>27/11/2025</v>
          </cell>
          <cell r="AM110" t="str">
            <v>IRN-2211-ST-22-0001</v>
          </cell>
          <cell r="AP110" t="str">
            <v>2/12/2025</v>
          </cell>
        </row>
        <row r="111">
          <cell r="A111" t="str">
            <v>9001-2211-DS-0032-02-WM38</v>
          </cell>
          <cell r="B111" t="str">
            <v>9001-2211-DS-0032-02-WM</v>
          </cell>
          <cell r="C111">
            <v>38</v>
          </cell>
          <cell r="D111" t="str">
            <v>X2</v>
          </cell>
          <cell r="E111" t="str">
            <v>DV</v>
          </cell>
          <cell r="F111" t="str">
            <v>100%MT &amp; UT</v>
          </cell>
          <cell r="G111" t="str">
            <v>L</v>
          </cell>
          <cell r="H111">
            <v>750</v>
          </cell>
          <cell r="I111">
            <v>30</v>
          </cell>
          <cell r="K111" t="str">
            <v>WPS-TNHA-S06</v>
          </cell>
          <cell r="L111" t="str">
            <v>ST-22</v>
          </cell>
          <cell r="M111" t="str">
            <v>THÁI</v>
          </cell>
          <cell r="N111">
            <v>45978</v>
          </cell>
          <cell r="O111" t="str">
            <v>F-087</v>
          </cell>
          <cell r="P111" t="str">
            <v>24/11/2025</v>
          </cell>
          <cell r="Q111" t="str">
            <v>BGT-0005;BGT-0006</v>
          </cell>
          <cell r="R111" t="str">
            <v>THÁI</v>
          </cell>
          <cell r="S111">
            <v>45988</v>
          </cell>
          <cell r="T111" t="str">
            <v>V-096</v>
          </cell>
          <cell r="U111">
            <v>45983</v>
          </cell>
          <cell r="V111" t="str">
            <v>BG-091</v>
          </cell>
          <cell r="Y111" t="str">
            <v>FINISH</v>
          </cell>
          <cell r="Z111" t="str">
            <v>ACC</v>
          </cell>
          <cell r="AA111" t="str">
            <v>ACC</v>
          </cell>
          <cell r="AB111" t="str">
            <v>MT-2211-ST-22-0027</v>
          </cell>
          <cell r="AC111" t="str">
            <v>ACC</v>
          </cell>
          <cell r="AD111" t="str">
            <v>UT-2211-ST-22-0048</v>
          </cell>
          <cell r="AL111" t="str">
            <v>27/11/2025</v>
          </cell>
          <cell r="AM111" t="str">
            <v>IRN-2211-ST-22-0001</v>
          </cell>
          <cell r="AP111" t="str">
            <v>2/12/2025</v>
          </cell>
        </row>
        <row r="112">
          <cell r="A112" t="str">
            <v>9001-2211-DS-0032-02-WM39</v>
          </cell>
          <cell r="B112" t="str">
            <v>9001-2211-DS-0032-02-WM</v>
          </cell>
          <cell r="C112">
            <v>39</v>
          </cell>
          <cell r="D112" t="str">
            <v>X1</v>
          </cell>
          <cell r="E112" t="str">
            <v>DB</v>
          </cell>
          <cell r="F112" t="str">
            <v>100%MT &amp; UT</v>
          </cell>
          <cell r="G112" t="str">
            <v>D</v>
          </cell>
          <cell r="H112">
            <v>5981.7</v>
          </cell>
          <cell r="I112">
            <v>30</v>
          </cell>
          <cell r="J112">
            <v>65</v>
          </cell>
          <cell r="K112" t="str">
            <v>WPS-TNHA-S06</v>
          </cell>
          <cell r="L112" t="str">
            <v>ST-22</v>
          </cell>
          <cell r="M112" t="str">
            <v>BÁCH</v>
          </cell>
          <cell r="N112">
            <v>45986</v>
          </cell>
          <cell r="O112" t="str">
            <v>F-102</v>
          </cell>
          <cell r="P112" t="str">
            <v>01/12/2025</v>
          </cell>
          <cell r="Q112" t="str">
            <v>BGT-0005;BGT-0006;BGT-0012</v>
          </cell>
          <cell r="R112" t="str">
            <v>THÁI</v>
          </cell>
          <cell r="S112">
            <v>45997</v>
          </cell>
          <cell r="T112" t="str">
            <v>V-118</v>
          </cell>
          <cell r="U112">
            <v>45989</v>
          </cell>
          <cell r="V112" t="str">
            <v>BG-097</v>
          </cell>
          <cell r="W112">
            <v>45916</v>
          </cell>
          <cell r="X112" t="str">
            <v>UL-003</v>
          </cell>
          <cell r="Y112" t="str">
            <v>FINISH</v>
          </cell>
          <cell r="Z112" t="str">
            <v>ACC</v>
          </cell>
          <cell r="AA112" t="str">
            <v>ACC</v>
          </cell>
          <cell r="AB112" t="str">
            <v>MT-2211-ST-22-0034</v>
          </cell>
          <cell r="AC112" t="str">
            <v>ACC</v>
          </cell>
          <cell r="AD112" t="str">
            <v>UT-2211-ST-22-0061</v>
          </cell>
          <cell r="AG112" t="str">
            <v>UL-2211-ST-22-0003</v>
          </cell>
          <cell r="AJ112" t="str">
            <v>XX/12/2025</v>
          </cell>
          <cell r="AK112" t="str">
            <v>FINAL-V-155</v>
          </cell>
          <cell r="AL112" t="str">
            <v>XX/12/2025</v>
          </cell>
          <cell r="AM112" t="str">
            <v>IRN-2211-ST-22-0003</v>
          </cell>
          <cell r="AN112" t="str">
            <v>a</v>
          </cell>
          <cell r="AP112" t="str">
            <v>10/12/2025</v>
          </cell>
        </row>
        <row r="113">
          <cell r="A113" t="str">
            <v>9001-2211-DS-0032-02-WM40</v>
          </cell>
          <cell r="B113" t="str">
            <v>9001-2211-DS-0032-02-WM</v>
          </cell>
          <cell r="C113">
            <v>40</v>
          </cell>
          <cell r="D113" t="str">
            <v>X2</v>
          </cell>
          <cell r="E113" t="str">
            <v>DV</v>
          </cell>
          <cell r="F113" t="str">
            <v>100%MT &amp; UT</v>
          </cell>
          <cell r="G113" t="str">
            <v>L</v>
          </cell>
          <cell r="H113">
            <v>750</v>
          </cell>
          <cell r="I113">
            <v>30</v>
          </cell>
          <cell r="K113" t="str">
            <v>WPS-TNHA-S06</v>
          </cell>
          <cell r="L113" t="str">
            <v>ST-22</v>
          </cell>
          <cell r="M113" t="str">
            <v>BÁCH</v>
          </cell>
          <cell r="N113">
            <v>45986</v>
          </cell>
          <cell r="O113" t="str">
            <v>F-102</v>
          </cell>
          <cell r="P113" t="str">
            <v>01/12/2025</v>
          </cell>
          <cell r="Q113" t="str">
            <v>BGT-0005;BGT-0006;BGT-0012</v>
          </cell>
          <cell r="R113" t="str">
            <v>THÁI</v>
          </cell>
          <cell r="S113">
            <v>45997</v>
          </cell>
          <cell r="T113" t="str">
            <v>V-118</v>
          </cell>
          <cell r="U113">
            <v>45992</v>
          </cell>
          <cell r="V113" t="str">
            <v>BG-100</v>
          </cell>
          <cell r="Y113" t="str">
            <v>FINISH</v>
          </cell>
          <cell r="Z113" t="str">
            <v>ACC</v>
          </cell>
          <cell r="AA113" t="str">
            <v>ACC</v>
          </cell>
          <cell r="AB113" t="str">
            <v>MT-2211-ST-22-0034</v>
          </cell>
          <cell r="AC113" t="str">
            <v>ACC</v>
          </cell>
          <cell r="AD113" t="str">
            <v>UT-2211-ST-22-0062</v>
          </cell>
          <cell r="AJ113" t="str">
            <v>XX/12/2025</v>
          </cell>
          <cell r="AK113" t="str">
            <v>FINAL-V-155</v>
          </cell>
          <cell r="AL113" t="str">
            <v>XX/12/2025</v>
          </cell>
          <cell r="AM113" t="str">
            <v>IRN-2211-ST-22-0003</v>
          </cell>
          <cell r="AN113" t="str">
            <v>a</v>
          </cell>
          <cell r="AP113" t="str">
            <v>10/12/2025</v>
          </cell>
        </row>
        <row r="114">
          <cell r="A114" t="str">
            <v>9001-2211-DS-0032-02-WM41</v>
          </cell>
          <cell r="B114" t="str">
            <v>9001-2211-DS-0032-02-WM</v>
          </cell>
          <cell r="C114">
            <v>41</v>
          </cell>
          <cell r="D114" t="str">
            <v>X1</v>
          </cell>
          <cell r="E114" t="str">
            <v>DB</v>
          </cell>
          <cell r="F114" t="str">
            <v>100%MT &amp; UT</v>
          </cell>
          <cell r="G114" t="str">
            <v>D</v>
          </cell>
          <cell r="H114">
            <v>5981.7</v>
          </cell>
          <cell r="I114">
            <v>30</v>
          </cell>
          <cell r="J114">
            <v>65</v>
          </cell>
          <cell r="K114" t="str">
            <v>WPS-TNHA-S06</v>
          </cell>
          <cell r="L114" t="str">
            <v>ST-22</v>
          </cell>
          <cell r="M114" t="str">
            <v>THÁI</v>
          </cell>
          <cell r="N114">
            <v>45978</v>
          </cell>
          <cell r="O114" t="str">
            <v>F-087</v>
          </cell>
          <cell r="P114" t="str">
            <v>24/11/2025</v>
          </cell>
          <cell r="Q114" t="str">
            <v>BGT-0005;BGT-0006</v>
          </cell>
          <cell r="R114" t="str">
            <v>THÁI</v>
          </cell>
          <cell r="S114">
            <v>45988</v>
          </cell>
          <cell r="T114" t="str">
            <v>V-096</v>
          </cell>
          <cell r="U114">
            <v>45980</v>
          </cell>
          <cell r="V114" t="str">
            <v>BG-088</v>
          </cell>
          <cell r="W114">
            <v>45913</v>
          </cell>
          <cell r="X114" t="str">
            <v>UL-002</v>
          </cell>
          <cell r="Y114" t="str">
            <v>FINISH</v>
          </cell>
          <cell r="Z114" t="str">
            <v>ACC</v>
          </cell>
          <cell r="AA114" t="str">
            <v>ACC</v>
          </cell>
          <cell r="AB114" t="str">
            <v>MT-2211-ST-22-0027</v>
          </cell>
          <cell r="AC114" t="str">
            <v>ACC</v>
          </cell>
          <cell r="AD114" t="str">
            <v>UT-2211-ST-22-0049</v>
          </cell>
          <cell r="AG114" t="str">
            <v>UL-2211-ST-22-0002</v>
          </cell>
          <cell r="AL114" t="str">
            <v>27/11/2025</v>
          </cell>
          <cell r="AM114" t="str">
            <v>IRN-2211-ST-22-0001</v>
          </cell>
          <cell r="AP114" t="str">
            <v>2/12/2025</v>
          </cell>
        </row>
        <row r="115">
          <cell r="A115" t="str">
            <v>9001-2211-DS-0032-02-WM42</v>
          </cell>
          <cell r="B115" t="str">
            <v>9001-2211-DS-0032-02-WM</v>
          </cell>
          <cell r="C115">
            <v>42</v>
          </cell>
          <cell r="D115" t="str">
            <v>X2</v>
          </cell>
          <cell r="E115" t="str">
            <v>DV</v>
          </cell>
          <cell r="F115" t="str">
            <v>100%MT &amp; UT</v>
          </cell>
          <cell r="G115" t="str">
            <v>L</v>
          </cell>
          <cell r="H115">
            <v>750</v>
          </cell>
          <cell r="I115">
            <v>30</v>
          </cell>
          <cell r="K115" t="str">
            <v>WPS-TNHA-S06</v>
          </cell>
          <cell r="L115" t="str">
            <v>ST-22</v>
          </cell>
          <cell r="M115" t="str">
            <v>THÁI</v>
          </cell>
          <cell r="N115">
            <v>45978</v>
          </cell>
          <cell r="O115" t="str">
            <v>F-087</v>
          </cell>
          <cell r="P115" t="str">
            <v>24/11/2025</v>
          </cell>
          <cell r="Q115" t="str">
            <v>BGT-0005;BGT-0006</v>
          </cell>
          <cell r="R115" t="str">
            <v>THÁI</v>
          </cell>
          <cell r="S115">
            <v>45988</v>
          </cell>
          <cell r="T115" t="str">
            <v>V-096</v>
          </cell>
          <cell r="U115">
            <v>45983</v>
          </cell>
          <cell r="V115" t="str">
            <v>BG-091</v>
          </cell>
          <cell r="Y115" t="str">
            <v>FINISH</v>
          </cell>
          <cell r="Z115" t="str">
            <v>ACC</v>
          </cell>
          <cell r="AA115" t="str">
            <v>ACC</v>
          </cell>
          <cell r="AB115" t="str">
            <v>MT-2211-ST-22-0027</v>
          </cell>
          <cell r="AC115" t="str">
            <v>ACC</v>
          </cell>
          <cell r="AD115" t="str">
            <v>UT-2211-ST-22-0048</v>
          </cell>
          <cell r="AL115" t="str">
            <v>27/11/2025</v>
          </cell>
          <cell r="AM115" t="str">
            <v>IRN-2211-ST-22-0001</v>
          </cell>
          <cell r="AP115" t="str">
            <v>2/12/2025</v>
          </cell>
        </row>
        <row r="116">
          <cell r="A116" t="str">
            <v>9001-2211-DS-0032-02-WM43</v>
          </cell>
          <cell r="B116" t="str">
            <v>9001-2211-DS-0032-02-WM</v>
          </cell>
          <cell r="C116">
            <v>43</v>
          </cell>
          <cell r="D116" t="str">
            <v>X1</v>
          </cell>
          <cell r="E116" t="str">
            <v>DB</v>
          </cell>
          <cell r="F116" t="str">
            <v>100%MT &amp; UT</v>
          </cell>
          <cell r="G116" t="str">
            <v>D</v>
          </cell>
          <cell r="H116">
            <v>5981.7</v>
          </cell>
          <cell r="I116">
            <v>30</v>
          </cell>
          <cell r="J116">
            <v>65</v>
          </cell>
          <cell r="K116" t="str">
            <v>WPS-TNHA-S06</v>
          </cell>
          <cell r="L116" t="str">
            <v>ST-22</v>
          </cell>
          <cell r="M116" t="str">
            <v>BÁCH</v>
          </cell>
          <cell r="N116">
            <v>45986</v>
          </cell>
          <cell r="O116" t="str">
            <v>F-102</v>
          </cell>
          <cell r="P116" t="str">
            <v>01/12/2025</v>
          </cell>
          <cell r="Q116" t="str">
            <v>BGT-0005;BGT-0006;BGT-0012</v>
          </cell>
          <cell r="R116" t="str">
            <v>THÁI</v>
          </cell>
          <cell r="S116">
            <v>45997</v>
          </cell>
          <cell r="T116" t="str">
            <v>V-118</v>
          </cell>
          <cell r="U116">
            <v>45989</v>
          </cell>
          <cell r="V116" t="str">
            <v>BG-097</v>
          </cell>
          <cell r="W116">
            <v>45916</v>
          </cell>
          <cell r="X116" t="str">
            <v>UL-003</v>
          </cell>
          <cell r="Y116" t="str">
            <v>FINISH</v>
          </cell>
          <cell r="Z116" t="str">
            <v>ACC</v>
          </cell>
          <cell r="AA116" t="str">
            <v>ACC</v>
          </cell>
          <cell r="AB116" t="str">
            <v>MT-2211-ST-22-0034</v>
          </cell>
          <cell r="AC116" t="str">
            <v>ACC</v>
          </cell>
          <cell r="AD116" t="str">
            <v>UT-2211-ST-22-0061</v>
          </cell>
          <cell r="AG116" t="str">
            <v>UL-2211-ST-22-0003</v>
          </cell>
          <cell r="AJ116" t="str">
            <v>XX/12/2025</v>
          </cell>
          <cell r="AK116" t="str">
            <v>FINAL-V-155</v>
          </cell>
          <cell r="AL116" t="str">
            <v>XX/12/2025</v>
          </cell>
          <cell r="AM116" t="str">
            <v>IRN-2211-ST-22-0003</v>
          </cell>
          <cell r="AN116" t="str">
            <v>a</v>
          </cell>
          <cell r="AP116" t="str">
            <v>10/12/2025</v>
          </cell>
        </row>
        <row r="117">
          <cell r="A117" t="str">
            <v>9001-2211-DS-0032-02-WM44</v>
          </cell>
          <cell r="B117" t="str">
            <v>9001-2211-DS-0032-02-WM</v>
          </cell>
          <cell r="C117">
            <v>44</v>
          </cell>
          <cell r="D117" t="str">
            <v>X2</v>
          </cell>
          <cell r="E117" t="str">
            <v>DV</v>
          </cell>
          <cell r="F117" t="str">
            <v>100%MT &amp; UT</v>
          </cell>
          <cell r="G117" t="str">
            <v>L</v>
          </cell>
          <cell r="H117">
            <v>750</v>
          </cell>
          <cell r="I117">
            <v>30</v>
          </cell>
          <cell r="K117" t="str">
            <v>WPS-TNHA-S06</v>
          </cell>
          <cell r="L117" t="str">
            <v>ST-22</v>
          </cell>
          <cell r="M117" t="str">
            <v>BÁCH</v>
          </cell>
          <cell r="N117">
            <v>45986</v>
          </cell>
          <cell r="O117" t="str">
            <v>F-102</v>
          </cell>
          <cell r="P117" t="str">
            <v>01/12/2025</v>
          </cell>
          <cell r="Q117" t="str">
            <v>BGT-0005;BGT-0006;BGT-0012</v>
          </cell>
          <cell r="R117" t="str">
            <v>THÁI</v>
          </cell>
          <cell r="S117">
            <v>45997</v>
          </cell>
          <cell r="T117" t="str">
            <v>V-118</v>
          </cell>
          <cell r="U117">
            <v>45992</v>
          </cell>
          <cell r="V117" t="str">
            <v>BG-100</v>
          </cell>
          <cell r="Y117" t="str">
            <v>FINISH</v>
          </cell>
          <cell r="Z117" t="str">
            <v>ACC</v>
          </cell>
          <cell r="AA117" t="str">
            <v>ACC</v>
          </cell>
          <cell r="AB117" t="str">
            <v>MT-2211-ST-22-0034</v>
          </cell>
          <cell r="AC117" t="str">
            <v>ACC</v>
          </cell>
          <cell r="AD117" t="str">
            <v>UT-2211-ST-22-0062</v>
          </cell>
          <cell r="AJ117" t="str">
            <v>XX/12/2025</v>
          </cell>
          <cell r="AK117" t="str">
            <v>FINAL-V-155</v>
          </cell>
          <cell r="AL117" t="str">
            <v>XX/12/2025</v>
          </cell>
          <cell r="AM117" t="str">
            <v>IRN-2211-ST-22-0003</v>
          </cell>
          <cell r="AN117" t="str">
            <v>a</v>
          </cell>
          <cell r="AP117" t="str">
            <v>10/12/2025</v>
          </cell>
        </row>
        <row r="118">
          <cell r="A118" t="str">
            <v>9001-2211-DS-0032-02-WM45</v>
          </cell>
          <cell r="B118" t="str">
            <v>9001-2211-DS-0032-02-WM</v>
          </cell>
          <cell r="C118">
            <v>45</v>
          </cell>
          <cell r="D118" t="str">
            <v>X1</v>
          </cell>
          <cell r="E118" t="str">
            <v>DB</v>
          </cell>
          <cell r="F118" t="str">
            <v>100%MT &amp; UT</v>
          </cell>
          <cell r="G118" t="str">
            <v>D</v>
          </cell>
          <cell r="H118">
            <v>5981.7</v>
          </cell>
          <cell r="I118">
            <v>30</v>
          </cell>
          <cell r="J118">
            <v>65</v>
          </cell>
          <cell r="K118" t="str">
            <v>WPS-TNHA-S06</v>
          </cell>
          <cell r="L118" t="str">
            <v>ST-22</v>
          </cell>
          <cell r="M118" t="str">
            <v>TUÂN</v>
          </cell>
          <cell r="N118">
            <v>45917</v>
          </cell>
          <cell r="O118" t="str">
            <v>F-022</v>
          </cell>
          <cell r="P118" t="str">
            <v>15/10/2025</v>
          </cell>
          <cell r="Q118" t="str">
            <v>GTC-12;BGT-0015;BGT-0016</v>
          </cell>
          <cell r="R118" t="str">
            <v>HIẾU</v>
          </cell>
          <cell r="S118">
            <v>45963</v>
          </cell>
          <cell r="T118" t="str">
            <v>V-052</v>
          </cell>
          <cell r="U118" t="str">
            <v>27/09/2025</v>
          </cell>
          <cell r="V118" t="str">
            <v>BG-024</v>
          </cell>
          <cell r="W118">
            <v>45898</v>
          </cell>
          <cell r="X118" t="str">
            <v>UL-001</v>
          </cell>
          <cell r="Y118" t="str">
            <v>FINISH</v>
          </cell>
          <cell r="Z118" t="str">
            <v>ACC</v>
          </cell>
          <cell r="AA118" t="str">
            <v>ACC</v>
          </cell>
          <cell r="AB118" t="str">
            <v>MT-2211-ST-22-0010</v>
          </cell>
          <cell r="AC118" t="str">
            <v>ACC</v>
          </cell>
          <cell r="AD118" t="str">
            <v>UT-2211-ST-22-0023</v>
          </cell>
          <cell r="AG118" t="str">
            <v>UL-2211-ST-22-0001</v>
          </cell>
          <cell r="AL118" t="str">
            <v>27/11/2025</v>
          </cell>
          <cell r="AM118" t="str">
            <v>IRN-2211-ST-22-0001</v>
          </cell>
          <cell r="AP118" t="str">
            <v>5/11/2025</v>
          </cell>
        </row>
        <row r="119">
          <cell r="A119" t="str">
            <v>9001-2211-DS-0032-02-WM46</v>
          </cell>
          <cell r="B119" t="str">
            <v>9001-2211-DS-0032-02-WM</v>
          </cell>
          <cell r="C119">
            <v>46</v>
          </cell>
          <cell r="D119" t="str">
            <v>X2</v>
          </cell>
          <cell r="E119" t="str">
            <v>DV</v>
          </cell>
          <cell r="F119" t="str">
            <v>100%MT &amp; UT</v>
          </cell>
          <cell r="G119" t="str">
            <v>L</v>
          </cell>
          <cell r="H119">
            <v>750</v>
          </cell>
          <cell r="I119">
            <v>30</v>
          </cell>
          <cell r="K119" t="str">
            <v>WPS-TNHA-S06</v>
          </cell>
          <cell r="L119" t="str">
            <v>ST-22</v>
          </cell>
          <cell r="M119" t="str">
            <v>TUÂN</v>
          </cell>
          <cell r="N119">
            <v>45930</v>
          </cell>
          <cell r="O119" t="str">
            <v>F-031</v>
          </cell>
          <cell r="P119" t="str">
            <v>15/10/2025</v>
          </cell>
          <cell r="Q119" t="str">
            <v>BGT-0032</v>
          </cell>
          <cell r="R119" t="str">
            <v>HIẾU</v>
          </cell>
          <cell r="S119">
            <v>45963</v>
          </cell>
          <cell r="T119" t="str">
            <v>V-052</v>
          </cell>
          <cell r="U119">
            <v>45933</v>
          </cell>
          <cell r="V119" t="str">
            <v>BG-030</v>
          </cell>
          <cell r="Y119" t="str">
            <v>FINISH</v>
          </cell>
          <cell r="Z119" t="str">
            <v>ACC</v>
          </cell>
          <cell r="AA119" t="str">
            <v>ACC</v>
          </cell>
          <cell r="AB119" t="str">
            <v>MT-2211-ST-22-0010</v>
          </cell>
          <cell r="AC119" t="str">
            <v>ACC</v>
          </cell>
          <cell r="AD119" t="str">
            <v>UT-2211-ST-22-0022</v>
          </cell>
          <cell r="AL119" t="str">
            <v>27/11/2025</v>
          </cell>
          <cell r="AM119" t="str">
            <v>IRN-2211-ST-22-0001</v>
          </cell>
          <cell r="AP119" t="str">
            <v>5/11/2025</v>
          </cell>
        </row>
        <row r="120">
          <cell r="A120" t="str">
            <v>9001-2211-DS-0032-02-WM47</v>
          </cell>
          <cell r="B120" t="str">
            <v>9001-2211-DS-0032-02-WM</v>
          </cell>
          <cell r="C120">
            <v>47</v>
          </cell>
          <cell r="D120" t="str">
            <v>X1</v>
          </cell>
          <cell r="E120" t="str">
            <v>DB</v>
          </cell>
          <cell r="F120" t="str">
            <v>100%MT &amp; UT</v>
          </cell>
          <cell r="G120" t="str">
            <v>D</v>
          </cell>
          <cell r="H120">
            <v>5981.7</v>
          </cell>
          <cell r="I120">
            <v>30</v>
          </cell>
          <cell r="J120">
            <v>65</v>
          </cell>
          <cell r="K120" t="str">
            <v>WPS-TNHA-S06</v>
          </cell>
          <cell r="L120" t="str">
            <v>ST-22</v>
          </cell>
          <cell r="M120" t="str">
            <v>HIẾU</v>
          </cell>
          <cell r="N120">
            <v>45946</v>
          </cell>
          <cell r="O120" t="str">
            <v>F-048</v>
          </cell>
          <cell r="P120" t="str">
            <v>27/10/2025</v>
          </cell>
          <cell r="Q120" t="str">
            <v>BGT-0008;BGT0017;GTC-07</v>
          </cell>
          <cell r="R120" t="str">
            <v>THÁI</v>
          </cell>
          <cell r="S120">
            <v>45986</v>
          </cell>
          <cell r="T120" t="str">
            <v>V-091</v>
          </cell>
          <cell r="U120">
            <v>45949</v>
          </cell>
          <cell r="V120" t="str">
            <v>BG-048</v>
          </cell>
          <cell r="W120">
            <v>45930</v>
          </cell>
          <cell r="X120" t="str">
            <v>UL-004</v>
          </cell>
          <cell r="Y120" t="str">
            <v>REJ</v>
          </cell>
          <cell r="Z120" t="str">
            <v>REJ</v>
          </cell>
          <cell r="AA120" t="str">
            <v>ACC</v>
          </cell>
          <cell r="AB120" t="str">
            <v>MT-2211-ST-22-0026</v>
          </cell>
          <cell r="AC120" t="str">
            <v>REJ</v>
          </cell>
          <cell r="AD120" t="str">
            <v>UT-2211-ST-22-0044</v>
          </cell>
          <cell r="AG120" t="str">
            <v>UL-2211-ST-22-0004</v>
          </cell>
          <cell r="AH120">
            <v>230</v>
          </cell>
          <cell r="AJ120" t="str">
            <v>XX/12/2025</v>
          </cell>
          <cell r="AK120" t="str">
            <v>FINAL-V-156</v>
          </cell>
          <cell r="AL120" t="str">
            <v>XX/12/2025</v>
          </cell>
          <cell r="AM120" t="str">
            <v>IRN-2211-ST-22-0004</v>
          </cell>
          <cell r="AN120" t="str">
            <v>B</v>
          </cell>
          <cell r="AP120" t="str">
            <v>26/11/2025</v>
          </cell>
        </row>
        <row r="121">
          <cell r="A121" t="str">
            <v>9001-2211-DS-0032-02-WM47R1</v>
          </cell>
          <cell r="B121" t="str">
            <v>9001-2211-DS-0032-02-WM</v>
          </cell>
          <cell r="C121" t="str">
            <v>47R1</v>
          </cell>
          <cell r="D121" t="str">
            <v>X1</v>
          </cell>
          <cell r="E121" t="str">
            <v>DB</v>
          </cell>
          <cell r="F121" t="str">
            <v>100%MT &amp; UT</v>
          </cell>
          <cell r="G121" t="str">
            <v>L</v>
          </cell>
          <cell r="H121">
            <v>975</v>
          </cell>
          <cell r="I121">
            <v>30</v>
          </cell>
          <cell r="K121" t="str">
            <v>WPS-TNHA-S06</v>
          </cell>
          <cell r="L121" t="str">
            <v>ST-22</v>
          </cell>
          <cell r="M121" t="str">
            <v>NA</v>
          </cell>
          <cell r="N121" t="str">
            <v>NA</v>
          </cell>
          <cell r="O121" t="str">
            <v>NA</v>
          </cell>
          <cell r="P121" t="str">
            <v>25/11/2025</v>
          </cell>
          <cell r="Q121" t="str">
            <v>BGT-0006</v>
          </cell>
          <cell r="R121" t="str">
            <v>THÁI</v>
          </cell>
          <cell r="S121">
            <v>45989</v>
          </cell>
          <cell r="T121" t="str">
            <v>V-099</v>
          </cell>
          <cell r="U121">
            <v>45987</v>
          </cell>
          <cell r="V121" t="str">
            <v>BG-095</v>
          </cell>
          <cell r="Y121" t="str">
            <v>FINISH</v>
          </cell>
          <cell r="Z121" t="str">
            <v>ACC</v>
          </cell>
          <cell r="AA121" t="str">
            <v>ACC</v>
          </cell>
          <cell r="AB121" t="str">
            <v>MT-2211-ST-22-0026R1</v>
          </cell>
          <cell r="AC121" t="str">
            <v>ACC</v>
          </cell>
          <cell r="AD121" t="str">
            <v>UT-2211-ST-22-0044R1</v>
          </cell>
          <cell r="AI121">
            <v>375</v>
          </cell>
          <cell r="AJ121" t="str">
            <v>XX/12/2025</v>
          </cell>
          <cell r="AK121" t="str">
            <v>FINAL-V-156</v>
          </cell>
          <cell r="AL121" t="str">
            <v>XX/12/2025</v>
          </cell>
          <cell r="AM121" t="str">
            <v>IRN-2211-ST-22-0004</v>
          </cell>
          <cell r="AN121" t="str">
            <v>B</v>
          </cell>
          <cell r="AP121" t="str">
            <v>2/12/2025</v>
          </cell>
        </row>
        <row r="122">
          <cell r="A122" t="str">
            <v>9001-2211-DS-0032-02-WM48</v>
          </cell>
          <cell r="B122" t="str">
            <v>9001-2211-DS-0032-02-WM</v>
          </cell>
          <cell r="C122">
            <v>48</v>
          </cell>
          <cell r="D122" t="str">
            <v>X2</v>
          </cell>
          <cell r="E122" t="str">
            <v>DV</v>
          </cell>
          <cell r="F122" t="str">
            <v>100%MT &amp; UT</v>
          </cell>
          <cell r="G122" t="str">
            <v>L</v>
          </cell>
          <cell r="H122">
            <v>750</v>
          </cell>
          <cell r="I122">
            <v>30</v>
          </cell>
          <cell r="K122" t="str">
            <v>WPS-TNHA-S06</v>
          </cell>
          <cell r="L122" t="str">
            <v>ST-22</v>
          </cell>
          <cell r="M122" t="str">
            <v>HIẾU</v>
          </cell>
          <cell r="N122">
            <v>45952</v>
          </cell>
          <cell r="O122" t="str">
            <v>F-056</v>
          </cell>
          <cell r="P122" t="str">
            <v>27/10/2025</v>
          </cell>
          <cell r="Q122" t="str">
            <v>BGT-0008;BGT0017;GTC-07</v>
          </cell>
          <cell r="R122" t="str">
            <v>THÁI</v>
          </cell>
          <cell r="S122">
            <v>45986</v>
          </cell>
          <cell r="T122" t="str">
            <v>V-091</v>
          </cell>
          <cell r="U122">
            <v>45953</v>
          </cell>
          <cell r="V122" t="str">
            <v>BG-052</v>
          </cell>
          <cell r="Y122" t="str">
            <v>FINISH</v>
          </cell>
          <cell r="Z122" t="str">
            <v>ACC</v>
          </cell>
          <cell r="AA122" t="str">
            <v>ACC</v>
          </cell>
          <cell r="AB122" t="str">
            <v>MT-2211-ST-22-0026</v>
          </cell>
          <cell r="AC122" t="str">
            <v>ACC</v>
          </cell>
          <cell r="AD122" t="str">
            <v>UT-2211-ST-22-0046</v>
          </cell>
          <cell r="AJ122" t="str">
            <v>XX/12/2025</v>
          </cell>
          <cell r="AK122" t="str">
            <v>FINAL-V-156</v>
          </cell>
          <cell r="AL122" t="str">
            <v>XX/12/2025</v>
          </cell>
          <cell r="AM122" t="str">
            <v>IRN-2211-ST-22-0004</v>
          </cell>
          <cell r="AN122" t="str">
            <v>B</v>
          </cell>
          <cell r="AP122" t="str">
            <v>26/11/2025</v>
          </cell>
        </row>
        <row r="123">
          <cell r="A123" t="str">
            <v>9001-2211-DS-0032-02-WM49</v>
          </cell>
          <cell r="B123" t="str">
            <v>9001-2211-DS-0032-02-WM</v>
          </cell>
          <cell r="C123">
            <v>49</v>
          </cell>
          <cell r="D123" t="str">
            <v>X1</v>
          </cell>
          <cell r="E123" t="str">
            <v>DB</v>
          </cell>
          <cell r="F123" t="str">
            <v>100%MT &amp; UT</v>
          </cell>
          <cell r="G123" t="str">
            <v>D</v>
          </cell>
          <cell r="H123">
            <v>5981.7</v>
          </cell>
          <cell r="I123">
            <v>30</v>
          </cell>
          <cell r="J123">
            <v>65</v>
          </cell>
          <cell r="K123" t="str">
            <v>WPS-TNHA-S06</v>
          </cell>
          <cell r="L123" t="str">
            <v>ST-22</v>
          </cell>
          <cell r="M123" t="str">
            <v>TUÂN</v>
          </cell>
          <cell r="N123">
            <v>45917</v>
          </cell>
          <cell r="O123" t="str">
            <v>F-022</v>
          </cell>
          <cell r="P123" t="str">
            <v>15/10/2025</v>
          </cell>
          <cell r="Q123" t="str">
            <v>GTC-12;BGT-0016;BGT-0002</v>
          </cell>
          <cell r="R123" t="str">
            <v>HIẾU</v>
          </cell>
          <cell r="S123">
            <v>45963</v>
          </cell>
          <cell r="T123" t="str">
            <v>V-052</v>
          </cell>
          <cell r="U123" t="str">
            <v>27/09/2025</v>
          </cell>
          <cell r="V123" t="str">
            <v>BG-024</v>
          </cell>
          <cell r="W123">
            <v>45898</v>
          </cell>
          <cell r="X123" t="str">
            <v>UL-001</v>
          </cell>
          <cell r="Y123" t="str">
            <v>FINISH</v>
          </cell>
          <cell r="Z123" t="str">
            <v>ACC</v>
          </cell>
          <cell r="AA123" t="str">
            <v>ACC</v>
          </cell>
          <cell r="AB123" t="str">
            <v>MT-2211-ST-22-0010</v>
          </cell>
          <cell r="AC123" t="str">
            <v>ACC</v>
          </cell>
          <cell r="AD123" t="str">
            <v>UT-2211-ST-22-0023</v>
          </cell>
          <cell r="AG123" t="str">
            <v>UL-2211-ST-22-0001</v>
          </cell>
          <cell r="AL123" t="str">
            <v>27/11/2025</v>
          </cell>
          <cell r="AM123" t="str">
            <v>IRN-2211-ST-22-0001</v>
          </cell>
          <cell r="AP123" t="str">
            <v>5/11/2025</v>
          </cell>
        </row>
        <row r="124">
          <cell r="A124" t="str">
            <v>9001-2211-DS-0032-02-WM50</v>
          </cell>
          <cell r="B124" t="str">
            <v>9001-2211-DS-0032-02-WM</v>
          </cell>
          <cell r="C124">
            <v>50</v>
          </cell>
          <cell r="D124" t="str">
            <v>X2</v>
          </cell>
          <cell r="E124" t="str">
            <v>DV</v>
          </cell>
          <cell r="F124" t="str">
            <v>100%MT &amp; UT</v>
          </cell>
          <cell r="G124" t="str">
            <v>L</v>
          </cell>
          <cell r="H124">
            <v>750</v>
          </cell>
          <cell r="I124">
            <v>30</v>
          </cell>
          <cell r="K124" t="str">
            <v>WPS-TNHA-S06</v>
          </cell>
          <cell r="L124" t="str">
            <v>ST-22</v>
          </cell>
          <cell r="M124" t="str">
            <v>TUÂN</v>
          </cell>
          <cell r="N124">
            <v>45930</v>
          </cell>
          <cell r="O124" t="str">
            <v>F-031</v>
          </cell>
          <cell r="P124" t="str">
            <v>15/10/2025</v>
          </cell>
          <cell r="Q124" t="str">
            <v>BGT-0032</v>
          </cell>
          <cell r="R124" t="str">
            <v>HIẾU</v>
          </cell>
          <cell r="S124">
            <v>45963</v>
          </cell>
          <cell r="T124" t="str">
            <v>V-052</v>
          </cell>
          <cell r="U124">
            <v>45933</v>
          </cell>
          <cell r="V124" t="str">
            <v>BG-030</v>
          </cell>
          <cell r="Y124" t="str">
            <v>FINISH</v>
          </cell>
          <cell r="Z124" t="str">
            <v>ACC</v>
          </cell>
          <cell r="AA124" t="str">
            <v>ACC</v>
          </cell>
          <cell r="AB124" t="str">
            <v>MT-2211-ST-22-0010</v>
          </cell>
          <cell r="AC124" t="str">
            <v>ACC</v>
          </cell>
          <cell r="AD124" t="str">
            <v>UT-2211-ST-22-0022</v>
          </cell>
          <cell r="AL124" t="str">
            <v>27/11/2025</v>
          </cell>
          <cell r="AM124" t="str">
            <v>IRN-2211-ST-22-0001</v>
          </cell>
          <cell r="AP124" t="str">
            <v>5/11/2025</v>
          </cell>
        </row>
        <row r="125">
          <cell r="A125" t="str">
            <v>9001-2211-DS-0032-02-WM51</v>
          </cell>
          <cell r="B125" t="str">
            <v>9001-2211-DS-0032-02-WM</v>
          </cell>
          <cell r="C125">
            <v>51</v>
          </cell>
          <cell r="D125" t="str">
            <v>X1</v>
          </cell>
          <cell r="E125" t="str">
            <v>DB</v>
          </cell>
          <cell r="F125" t="str">
            <v>100%MT &amp; UT</v>
          </cell>
          <cell r="G125" t="str">
            <v>D</v>
          </cell>
          <cell r="H125">
            <v>5981.7</v>
          </cell>
          <cell r="I125">
            <v>30</v>
          </cell>
          <cell r="J125">
            <v>65</v>
          </cell>
          <cell r="K125" t="str">
            <v>WPS-TNHA-S06</v>
          </cell>
          <cell r="L125" t="str">
            <v>ST-22</v>
          </cell>
          <cell r="M125" t="str">
            <v>HIẾU</v>
          </cell>
          <cell r="N125">
            <v>45946</v>
          </cell>
          <cell r="O125" t="str">
            <v>F-048</v>
          </cell>
          <cell r="P125" t="str">
            <v>27/10/2025</v>
          </cell>
          <cell r="Q125" t="str">
            <v>BGT-0008;BGT0017;GTC-07</v>
          </cell>
          <cell r="R125" t="str">
            <v>THÁI</v>
          </cell>
          <cell r="S125">
            <v>45986</v>
          </cell>
          <cell r="T125" t="str">
            <v>V-091</v>
          </cell>
          <cell r="U125">
            <v>45949</v>
          </cell>
          <cell r="V125" t="str">
            <v>BG-048</v>
          </cell>
          <cell r="W125">
            <v>45930</v>
          </cell>
          <cell r="X125" t="str">
            <v>UL-004</v>
          </cell>
          <cell r="Y125" t="str">
            <v>REJ</v>
          </cell>
          <cell r="Z125" t="str">
            <v>REJ</v>
          </cell>
          <cell r="AA125" t="str">
            <v>ACC</v>
          </cell>
          <cell r="AB125" t="str">
            <v>MT-2211-ST-22-0026</v>
          </cell>
          <cell r="AC125" t="str">
            <v>REJ</v>
          </cell>
          <cell r="AD125" t="str">
            <v>UT-2211-ST-22-0045</v>
          </cell>
          <cell r="AG125" t="str">
            <v>UL-2211-ST-22-0004</v>
          </cell>
          <cell r="AH125">
            <v>225</v>
          </cell>
          <cell r="AJ125" t="str">
            <v>XX/12/2025</v>
          </cell>
          <cell r="AK125" t="str">
            <v>FINAL-V-156</v>
          </cell>
          <cell r="AL125" t="str">
            <v>XX/12/2025</v>
          </cell>
          <cell r="AM125" t="str">
            <v>IRN-2211-ST-22-0004</v>
          </cell>
          <cell r="AN125" t="str">
            <v>B</v>
          </cell>
          <cell r="AP125" t="str">
            <v>26/11/2025</v>
          </cell>
        </row>
        <row r="126">
          <cell r="A126" t="str">
            <v>9001-2211-DS-0032-02-WM51R1</v>
          </cell>
          <cell r="B126" t="str">
            <v>9001-2211-DS-0032-02-WM</v>
          </cell>
          <cell r="C126" t="str">
            <v>51R1</v>
          </cell>
          <cell r="D126" t="str">
            <v>X1</v>
          </cell>
          <cell r="E126" t="str">
            <v>DB</v>
          </cell>
          <cell r="F126" t="str">
            <v>100%MT &amp; UT</v>
          </cell>
          <cell r="G126" t="str">
            <v>L</v>
          </cell>
          <cell r="H126">
            <v>1115</v>
          </cell>
          <cell r="I126">
            <v>30</v>
          </cell>
          <cell r="K126" t="str">
            <v>WPS-TNHA-S06</v>
          </cell>
          <cell r="L126" t="str">
            <v>ST-22</v>
          </cell>
          <cell r="M126" t="str">
            <v>NA</v>
          </cell>
          <cell r="N126" t="str">
            <v>NA</v>
          </cell>
          <cell r="O126" t="str">
            <v>NA</v>
          </cell>
          <cell r="P126" t="str">
            <v>25/11/2025</v>
          </cell>
          <cell r="Q126" t="str">
            <v>BGT-0006</v>
          </cell>
          <cell r="R126" t="str">
            <v>THÁI</v>
          </cell>
          <cell r="S126">
            <v>45989</v>
          </cell>
          <cell r="T126" t="str">
            <v>V-099</v>
          </cell>
          <cell r="U126">
            <v>45987</v>
          </cell>
          <cell r="V126" t="str">
            <v>BG-095</v>
          </cell>
          <cell r="Y126" t="str">
            <v>FINISH</v>
          </cell>
          <cell r="Z126" t="str">
            <v>ACC</v>
          </cell>
          <cell r="AA126" t="str">
            <v>ACC</v>
          </cell>
          <cell r="AB126" t="str">
            <v>MT-2211-ST-22-0026R1</v>
          </cell>
          <cell r="AC126" t="str">
            <v>ACC</v>
          </cell>
          <cell r="AD126" t="str">
            <v>UT-2211-ST-22-0045R1</v>
          </cell>
          <cell r="AI126">
            <v>515</v>
          </cell>
          <cell r="AJ126" t="str">
            <v>XX/12/2025</v>
          </cell>
          <cell r="AK126" t="str">
            <v>FINAL-V-156</v>
          </cell>
          <cell r="AL126" t="str">
            <v>XX/12/2025</v>
          </cell>
          <cell r="AM126" t="str">
            <v>IRN-2211-ST-22-0004</v>
          </cell>
          <cell r="AN126" t="str">
            <v>B</v>
          </cell>
          <cell r="AP126" t="str">
            <v>2/12/2025</v>
          </cell>
        </row>
        <row r="127">
          <cell r="A127" t="str">
            <v>9001-2211-DS-0032-02-WM52</v>
          </cell>
          <cell r="B127" t="str">
            <v>9001-2211-DS-0032-02-WM</v>
          </cell>
          <cell r="C127">
            <v>52</v>
          </cell>
          <cell r="D127" t="str">
            <v>X2</v>
          </cell>
          <cell r="E127" t="str">
            <v>DV</v>
          </cell>
          <cell r="F127" t="str">
            <v>100%MT &amp; UT</v>
          </cell>
          <cell r="G127" t="str">
            <v>L</v>
          </cell>
          <cell r="H127">
            <v>750</v>
          </cell>
          <cell r="I127">
            <v>30</v>
          </cell>
          <cell r="K127" t="str">
            <v>WPS-TNHA-S06</v>
          </cell>
          <cell r="L127" t="str">
            <v>ST-22</v>
          </cell>
          <cell r="M127" t="str">
            <v>HIẾU</v>
          </cell>
          <cell r="N127">
            <v>45952</v>
          </cell>
          <cell r="O127" t="str">
            <v>F-056</v>
          </cell>
          <cell r="P127" t="str">
            <v>27/10/2025</v>
          </cell>
          <cell r="Q127" t="str">
            <v>BGT-0008;BGT0017;GTC-07</v>
          </cell>
          <cell r="R127" t="str">
            <v>THÁI</v>
          </cell>
          <cell r="S127">
            <v>45986</v>
          </cell>
          <cell r="T127" t="str">
            <v>V-091</v>
          </cell>
          <cell r="U127">
            <v>45953</v>
          </cell>
          <cell r="V127" t="str">
            <v>BG-052</v>
          </cell>
          <cell r="Y127" t="str">
            <v>FINISH</v>
          </cell>
          <cell r="Z127" t="str">
            <v>ACC</v>
          </cell>
          <cell r="AA127" t="str">
            <v>ACC</v>
          </cell>
          <cell r="AB127" t="str">
            <v>MT-2211-ST-22-0026</v>
          </cell>
          <cell r="AC127" t="str">
            <v>ACC</v>
          </cell>
          <cell r="AD127" t="str">
            <v>UT-2211-ST-22-0046</v>
          </cell>
          <cell r="AJ127" t="str">
            <v>XX/12/2025</v>
          </cell>
          <cell r="AK127" t="str">
            <v>FINAL-V-156</v>
          </cell>
          <cell r="AL127" t="str">
            <v>XX/12/2025</v>
          </cell>
          <cell r="AM127" t="str">
            <v>IRN-2211-ST-22-0004</v>
          </cell>
          <cell r="AN127" t="str">
            <v>B</v>
          </cell>
          <cell r="AP127" t="str">
            <v>26/11/2025</v>
          </cell>
        </row>
        <row r="128">
          <cell r="A128" t="str">
            <v>9001-2211-DS-0032-02-WM53</v>
          </cell>
          <cell r="B128" t="str">
            <v>9001-2211-DS-0032-02-WM</v>
          </cell>
          <cell r="C128">
            <v>53</v>
          </cell>
          <cell r="D128" t="str">
            <v>X1</v>
          </cell>
          <cell r="E128" t="str">
            <v>DB</v>
          </cell>
          <cell r="F128" t="str">
            <v>100%MT &amp; UT</v>
          </cell>
          <cell r="G128" t="str">
            <v>D</v>
          </cell>
          <cell r="H128">
            <v>5981.7</v>
          </cell>
          <cell r="I128">
            <v>30</v>
          </cell>
          <cell r="J128">
            <v>65</v>
          </cell>
          <cell r="K128" t="str">
            <v>WPS-TNHA-S06</v>
          </cell>
          <cell r="L128" t="str">
            <v>ST-22</v>
          </cell>
          <cell r="M128" t="str">
            <v>TUÂN</v>
          </cell>
          <cell r="N128">
            <v>45917</v>
          </cell>
          <cell r="O128" t="str">
            <v>F-022</v>
          </cell>
          <cell r="P128" t="str">
            <v>15/10/2025</v>
          </cell>
          <cell r="Q128" t="str">
            <v>BGT-0015;BGT-0016;BGT-0002</v>
          </cell>
          <cell r="R128" t="str">
            <v>HIẾU</v>
          </cell>
          <cell r="S128">
            <v>45963</v>
          </cell>
          <cell r="T128" t="str">
            <v>V-052</v>
          </cell>
          <cell r="U128" t="str">
            <v>27/09/2025</v>
          </cell>
          <cell r="V128" t="str">
            <v>BG-024</v>
          </cell>
          <cell r="W128">
            <v>45898</v>
          </cell>
          <cell r="X128" t="str">
            <v>UL-001</v>
          </cell>
          <cell r="Y128" t="str">
            <v>FINISH</v>
          </cell>
          <cell r="Z128" t="str">
            <v>ACC</v>
          </cell>
          <cell r="AA128" t="str">
            <v>ACC</v>
          </cell>
          <cell r="AB128" t="str">
            <v>MT-2211-ST-22-0010</v>
          </cell>
          <cell r="AC128" t="str">
            <v>ACC</v>
          </cell>
          <cell r="AD128" t="str">
            <v>UT-2211-ST-22-0023</v>
          </cell>
          <cell r="AG128" t="str">
            <v>UL-2211-ST-22-0001</v>
          </cell>
          <cell r="AL128" t="str">
            <v>27/11/2025</v>
          </cell>
          <cell r="AM128" t="str">
            <v>IRN-2211-ST-22-0001</v>
          </cell>
          <cell r="AP128" t="str">
            <v>5/11/2025</v>
          </cell>
        </row>
        <row r="129">
          <cell r="A129" t="str">
            <v>9001-2211-DS-0032-02-WM54</v>
          </cell>
          <cell r="B129" t="str">
            <v>9001-2211-DS-0032-02-WM</v>
          </cell>
          <cell r="C129">
            <v>54</v>
          </cell>
          <cell r="D129" t="str">
            <v>X2</v>
          </cell>
          <cell r="E129" t="str">
            <v>DV</v>
          </cell>
          <cell r="F129" t="str">
            <v>100%MT &amp; UT</v>
          </cell>
          <cell r="G129" t="str">
            <v>L</v>
          </cell>
          <cell r="H129">
            <v>750</v>
          </cell>
          <cell r="I129">
            <v>30</v>
          </cell>
          <cell r="K129" t="str">
            <v>WPS-TNHA-S06</v>
          </cell>
          <cell r="L129" t="str">
            <v>ST-22</v>
          </cell>
          <cell r="M129" t="str">
            <v>TUÂN</v>
          </cell>
          <cell r="N129">
            <v>45930</v>
          </cell>
          <cell r="O129" t="str">
            <v>F-031</v>
          </cell>
          <cell r="P129" t="str">
            <v>15/10/2025</v>
          </cell>
          <cell r="Q129" t="str">
            <v>BGT-0032</v>
          </cell>
          <cell r="R129" t="str">
            <v>HIẾU</v>
          </cell>
          <cell r="S129">
            <v>45963</v>
          </cell>
          <cell r="T129" t="str">
            <v>V-052</v>
          </cell>
          <cell r="U129">
            <v>45933</v>
          </cell>
          <cell r="V129" t="str">
            <v>BG-030</v>
          </cell>
          <cell r="Y129" t="str">
            <v>FINISH</v>
          </cell>
          <cell r="Z129" t="str">
            <v>ACC</v>
          </cell>
          <cell r="AA129" t="str">
            <v>ACC</v>
          </cell>
          <cell r="AB129" t="str">
            <v>MT-2211-ST-22-0010</v>
          </cell>
          <cell r="AC129" t="str">
            <v>ACC</v>
          </cell>
          <cell r="AD129" t="str">
            <v>UT-2211-ST-22-0022</v>
          </cell>
          <cell r="AL129" t="str">
            <v>27/11/2025</v>
          </cell>
          <cell r="AM129" t="str">
            <v>IRN-2211-ST-22-0001</v>
          </cell>
          <cell r="AP129" t="str">
            <v>5/11/2025</v>
          </cell>
        </row>
        <row r="130">
          <cell r="A130" t="str">
            <v>9001-2211-DS-0032-02-WM55</v>
          </cell>
          <cell r="B130" t="str">
            <v>9001-2211-DS-0032-02-WM</v>
          </cell>
          <cell r="C130">
            <v>55</v>
          </cell>
          <cell r="D130" t="str">
            <v>X1</v>
          </cell>
          <cell r="E130" t="str">
            <v>DB</v>
          </cell>
          <cell r="F130" t="str">
            <v>100%MT &amp; UT</v>
          </cell>
          <cell r="G130" t="str">
            <v>D</v>
          </cell>
          <cell r="H130">
            <v>5981.7</v>
          </cell>
          <cell r="I130">
            <v>30</v>
          </cell>
          <cell r="J130">
            <v>65</v>
          </cell>
          <cell r="K130" t="str">
            <v>WPS-TNHA-S06</v>
          </cell>
          <cell r="L130" t="str">
            <v>ST-22</v>
          </cell>
          <cell r="M130" t="str">
            <v>HIẾU</v>
          </cell>
          <cell r="N130">
            <v>46002</v>
          </cell>
          <cell r="O130" t="str">
            <v>F-128</v>
          </cell>
          <cell r="P130" t="str">
            <v>18/12/2025</v>
          </cell>
          <cell r="Q130" t="str">
            <v>BGT-0005;BGT-0006;
BGT-0016;GTC-12</v>
          </cell>
          <cell r="R130" t="str">
            <v>THAI</v>
          </cell>
          <cell r="S130">
            <v>46013</v>
          </cell>
          <cell r="T130" t="str">
            <v>V-154</v>
          </cell>
          <cell r="U130">
            <v>46004</v>
          </cell>
          <cell r="V130" t="str">
            <v>BG-112</v>
          </cell>
          <cell r="W130">
            <v>45930</v>
          </cell>
          <cell r="X130" t="str">
            <v>UL-004</v>
          </cell>
          <cell r="Y130" t="str">
            <v>REJ</v>
          </cell>
          <cell r="Z130" t="str">
            <v>REJ</v>
          </cell>
          <cell r="AA130" t="str">
            <v>ACC</v>
          </cell>
          <cell r="AB130" t="str">
            <v>MT-2211-ST-22-0042</v>
          </cell>
          <cell r="AC130" t="str">
            <v>REJ</v>
          </cell>
          <cell r="AD130" t="str">
            <v>UT-2211-ST-22-0076</v>
          </cell>
          <cell r="AG130" t="str">
            <v>UL-2211-ST-22-0004</v>
          </cell>
          <cell r="AH130">
            <v>80</v>
          </cell>
          <cell r="AJ130" t="str">
            <v>XX/12/2025</v>
          </cell>
          <cell r="AK130" t="str">
            <v>FINAL-V-156</v>
          </cell>
          <cell r="AL130" t="str">
            <v>XX/12/2025</v>
          </cell>
          <cell r="AM130" t="str">
            <v>IRN-2211-ST-22-0004</v>
          </cell>
          <cell r="AN130" t="str">
            <v>B</v>
          </cell>
          <cell r="AP130" t="str">
            <v>23/12/2025</v>
          </cell>
        </row>
        <row r="131">
          <cell r="A131" t="str">
            <v>9001-2211-DS-0032-02-WM55R1</v>
          </cell>
          <cell r="B131" t="str">
            <v>9001-2211-DS-0032-02-WM</v>
          </cell>
          <cell r="C131" t="str">
            <v>55R1</v>
          </cell>
          <cell r="D131" t="str">
            <v>X1</v>
          </cell>
          <cell r="E131" t="str">
            <v>DB</v>
          </cell>
          <cell r="F131" t="str">
            <v>100%MT &amp; UT</v>
          </cell>
          <cell r="I131">
            <v>30</v>
          </cell>
          <cell r="K131" t="str">
            <v>WPS-TNHA-S06</v>
          </cell>
          <cell r="L131" t="str">
            <v>ST-22</v>
          </cell>
          <cell r="M131" t="str">
            <v>NA</v>
          </cell>
          <cell r="N131" t="str">
            <v>NA</v>
          </cell>
          <cell r="O131" t="str">
            <v>NA</v>
          </cell>
          <cell r="Y131" t="str">
            <v>NOT YET VISUAL</v>
          </cell>
        </row>
        <row r="132">
          <cell r="A132" t="str">
            <v>9001-2211-DS-0032-02-WM56</v>
          </cell>
          <cell r="B132" t="str">
            <v>9001-2211-DS-0032-02-WM</v>
          </cell>
          <cell r="C132">
            <v>56</v>
          </cell>
          <cell r="D132" t="str">
            <v>X2</v>
          </cell>
          <cell r="E132" t="str">
            <v>DV</v>
          </cell>
          <cell r="F132" t="str">
            <v>100%MT &amp; UT</v>
          </cell>
          <cell r="G132" t="str">
            <v>L</v>
          </cell>
          <cell r="H132">
            <v>750</v>
          </cell>
          <cell r="I132">
            <v>30</v>
          </cell>
          <cell r="K132" t="str">
            <v>WPS-TNHA-S06</v>
          </cell>
          <cell r="L132" t="str">
            <v>ST-22</v>
          </cell>
          <cell r="M132" t="str">
            <v>THÁI</v>
          </cell>
          <cell r="N132">
            <v>46005</v>
          </cell>
          <cell r="O132" t="str">
            <v>F-133</v>
          </cell>
          <cell r="P132" t="str">
            <v>18/12/2025</v>
          </cell>
          <cell r="Q132" t="str">
            <v>BGT-0005;BGT-0006;</v>
          </cell>
          <cell r="R132" t="str">
            <v>THAI</v>
          </cell>
          <cell r="S132">
            <v>46013</v>
          </cell>
          <cell r="T132" t="str">
            <v>V-154</v>
          </cell>
          <cell r="U132">
            <v>46009</v>
          </cell>
          <cell r="V132" t="str">
            <v>BG-114</v>
          </cell>
          <cell r="Y132" t="str">
            <v>FINISH</v>
          </cell>
          <cell r="Z132" t="str">
            <v>ACC</v>
          </cell>
          <cell r="AA132" t="str">
            <v>ACC</v>
          </cell>
          <cell r="AB132" t="str">
            <v>MT-2211-ST-22-0042</v>
          </cell>
          <cell r="AC132" t="str">
            <v>ACC</v>
          </cell>
          <cell r="AD132" t="str">
            <v>UT-2211-ST-22-0075</v>
          </cell>
          <cell r="AJ132" t="str">
            <v>XX/12/2025</v>
          </cell>
          <cell r="AK132" t="str">
            <v>FINAL-V-156</v>
          </cell>
          <cell r="AL132" t="str">
            <v>XX/12/2025</v>
          </cell>
          <cell r="AM132" t="str">
            <v>IRN-2211-ST-22-0004</v>
          </cell>
          <cell r="AN132" t="str">
            <v>B</v>
          </cell>
          <cell r="AP132" t="str">
            <v>23/12/2025</v>
          </cell>
        </row>
        <row r="133">
          <cell r="A133" t="str">
            <v>9001-2211-DS-0032-02-WM57</v>
          </cell>
          <cell r="B133" t="str">
            <v>9001-2211-DS-0032-02-WM</v>
          </cell>
          <cell r="C133">
            <v>57</v>
          </cell>
          <cell r="D133" t="str">
            <v>X1</v>
          </cell>
          <cell r="E133" t="str">
            <v>DB</v>
          </cell>
          <cell r="F133" t="str">
            <v>100%MT &amp; UT</v>
          </cell>
          <cell r="G133" t="str">
            <v>D</v>
          </cell>
          <cell r="H133">
            <v>5981.7</v>
          </cell>
          <cell r="I133">
            <v>30</v>
          </cell>
          <cell r="J133">
            <v>65</v>
          </cell>
          <cell r="K133" t="str">
            <v>WPS-TNHA-S06</v>
          </cell>
          <cell r="L133" t="str">
            <v>ST-22</v>
          </cell>
          <cell r="M133" t="str">
            <v>TUÂN</v>
          </cell>
          <cell r="N133">
            <v>45917</v>
          </cell>
          <cell r="O133" t="str">
            <v>F-022</v>
          </cell>
          <cell r="P133" t="str">
            <v>15/10/2025</v>
          </cell>
          <cell r="Q133" t="str">
            <v>GTC-12;BGT-0015;BGT-0002</v>
          </cell>
          <cell r="R133" t="str">
            <v>HIẾU</v>
          </cell>
          <cell r="S133">
            <v>45963</v>
          </cell>
          <cell r="T133" t="str">
            <v>V-052</v>
          </cell>
          <cell r="U133" t="str">
            <v>27/09/2025</v>
          </cell>
          <cell r="V133" t="str">
            <v>BG-024</v>
          </cell>
          <cell r="W133">
            <v>45898</v>
          </cell>
          <cell r="X133" t="str">
            <v>UL-001</v>
          </cell>
          <cell r="Y133" t="str">
            <v>FINISH</v>
          </cell>
          <cell r="Z133" t="str">
            <v>ACC</v>
          </cell>
          <cell r="AA133" t="str">
            <v>ACC</v>
          </cell>
          <cell r="AB133" t="str">
            <v>MT-2211-ST-22-0010</v>
          </cell>
          <cell r="AC133" t="str">
            <v>ACC</v>
          </cell>
          <cell r="AD133" t="str">
            <v>UT-2211-ST-22-0023</v>
          </cell>
          <cell r="AG133" t="str">
            <v>UL-2211-ST-22-0001</v>
          </cell>
          <cell r="AL133" t="str">
            <v>27/11/2025</v>
          </cell>
          <cell r="AM133" t="str">
            <v>IRN-2211-ST-22-0001</v>
          </cell>
          <cell r="AP133" t="str">
            <v>5/11/2025</v>
          </cell>
        </row>
        <row r="134">
          <cell r="A134" t="str">
            <v>9001-2211-DS-0032-02-WM58</v>
          </cell>
          <cell r="B134" t="str">
            <v>9001-2211-DS-0032-02-WM</v>
          </cell>
          <cell r="C134">
            <v>58</v>
          </cell>
          <cell r="D134" t="str">
            <v>X2</v>
          </cell>
          <cell r="E134" t="str">
            <v>DV</v>
          </cell>
          <cell r="F134" t="str">
            <v>100%MT &amp; UT</v>
          </cell>
          <cell r="G134" t="str">
            <v>L</v>
          </cell>
          <cell r="H134">
            <v>750</v>
          </cell>
          <cell r="I134">
            <v>30</v>
          </cell>
          <cell r="K134" t="str">
            <v>WPS-TNHA-S06</v>
          </cell>
          <cell r="L134" t="str">
            <v>ST-22</v>
          </cell>
          <cell r="M134" t="str">
            <v>TUÂN</v>
          </cell>
          <cell r="N134">
            <v>45930</v>
          </cell>
          <cell r="O134" t="str">
            <v>F-031</v>
          </cell>
          <cell r="P134" t="str">
            <v>15/10/2025</v>
          </cell>
          <cell r="Q134" t="str">
            <v>BGT-0032</v>
          </cell>
          <cell r="R134" t="str">
            <v>HIẾU</v>
          </cell>
          <cell r="S134">
            <v>45963</v>
          </cell>
          <cell r="T134" t="str">
            <v>V-052</v>
          </cell>
          <cell r="U134">
            <v>45933</v>
          </cell>
          <cell r="V134" t="str">
            <v>BG-030</v>
          </cell>
          <cell r="Y134" t="str">
            <v>FINISH</v>
          </cell>
          <cell r="Z134" t="str">
            <v>ACC</v>
          </cell>
          <cell r="AA134" t="str">
            <v>ACC</v>
          </cell>
          <cell r="AB134" t="str">
            <v>MT-2211-ST-22-0010</v>
          </cell>
          <cell r="AC134" t="str">
            <v>ACC</v>
          </cell>
          <cell r="AD134" t="str">
            <v>UT-2211-ST-22-0022</v>
          </cell>
          <cell r="AL134" t="str">
            <v>27/11/2025</v>
          </cell>
          <cell r="AM134" t="str">
            <v>IRN-2211-ST-22-0001</v>
          </cell>
          <cell r="AP134" t="str">
            <v>5/11/2025</v>
          </cell>
        </row>
        <row r="135">
          <cell r="A135" t="str">
            <v>9001-2211-DS-0032-02-WM59</v>
          </cell>
          <cell r="B135" t="str">
            <v>9001-2211-DS-0032-02-WM</v>
          </cell>
          <cell r="C135">
            <v>59</v>
          </cell>
          <cell r="D135" t="str">
            <v>X1</v>
          </cell>
          <cell r="E135" t="str">
            <v>DB</v>
          </cell>
          <cell r="F135" t="str">
            <v>100%MT &amp; UT</v>
          </cell>
          <cell r="G135" t="str">
            <v>D</v>
          </cell>
          <cell r="H135">
            <v>5981.7</v>
          </cell>
          <cell r="I135">
            <v>30</v>
          </cell>
          <cell r="J135">
            <v>65</v>
          </cell>
          <cell r="K135" t="str">
            <v>WPS-TNHA-S06</v>
          </cell>
          <cell r="L135" t="str">
            <v>ST-22</v>
          </cell>
          <cell r="M135" t="str">
            <v>HIẾU</v>
          </cell>
          <cell r="N135">
            <v>46002</v>
          </cell>
          <cell r="O135" t="str">
            <v>F-128</v>
          </cell>
          <cell r="P135" t="str">
            <v>18/12/2025</v>
          </cell>
          <cell r="Q135" t="str">
            <v>BGT-0005;BGT-0006;
BGT-0016;GTC-12</v>
          </cell>
          <cell r="R135" t="str">
            <v>THAI</v>
          </cell>
          <cell r="S135">
            <v>46013</v>
          </cell>
          <cell r="T135" t="str">
            <v>V-154</v>
          </cell>
          <cell r="U135">
            <v>46004</v>
          </cell>
          <cell r="V135" t="str">
            <v>BG-112</v>
          </cell>
          <cell r="W135">
            <v>45930</v>
          </cell>
          <cell r="X135" t="str">
            <v>UL-004</v>
          </cell>
          <cell r="Y135" t="str">
            <v>REJ</v>
          </cell>
          <cell r="Z135" t="str">
            <v>REJ</v>
          </cell>
          <cell r="AA135" t="str">
            <v>ACC</v>
          </cell>
          <cell r="AB135" t="str">
            <v>MT-2211-ST-22-0042</v>
          </cell>
          <cell r="AC135" t="str">
            <v>REJ</v>
          </cell>
          <cell r="AD135" t="str">
            <v>UT-2211-ST-22-0077</v>
          </cell>
          <cell r="AG135" t="str">
            <v>UL-2211-ST-22-0004</v>
          </cell>
          <cell r="AH135">
            <v>151</v>
          </cell>
          <cell r="AJ135" t="str">
            <v>XX/12/2025</v>
          </cell>
          <cell r="AK135" t="str">
            <v>FINAL-V-156</v>
          </cell>
          <cell r="AL135" t="str">
            <v>XX/12/2025</v>
          </cell>
          <cell r="AM135" t="str">
            <v>IRN-2211-ST-22-0004</v>
          </cell>
          <cell r="AN135" t="str">
            <v>B</v>
          </cell>
          <cell r="AP135" t="str">
            <v>23/12/2025</v>
          </cell>
        </row>
        <row r="136">
          <cell r="A136" t="str">
            <v>9001-2211-DS-0032-02-WM59R1</v>
          </cell>
          <cell r="B136" t="str">
            <v>9001-2211-DS-0032-02-WM</v>
          </cell>
          <cell r="C136" t="str">
            <v>59R1</v>
          </cell>
          <cell r="D136" t="str">
            <v>X1</v>
          </cell>
          <cell r="E136" t="str">
            <v>DB</v>
          </cell>
          <cell r="F136" t="str">
            <v>100%MT &amp; UT</v>
          </cell>
          <cell r="I136">
            <v>30</v>
          </cell>
          <cell r="K136" t="str">
            <v>WPS-TNHA-S06</v>
          </cell>
          <cell r="L136" t="str">
            <v>ST-22</v>
          </cell>
          <cell r="M136" t="str">
            <v>NA</v>
          </cell>
          <cell r="N136" t="str">
            <v>NA</v>
          </cell>
          <cell r="O136" t="str">
            <v>NA</v>
          </cell>
          <cell r="Y136" t="str">
            <v>NOT YET VISUAL</v>
          </cell>
        </row>
        <row r="137">
          <cell r="A137" t="str">
            <v>9001-2211-DS-0032-02-WM60</v>
          </cell>
          <cell r="B137" t="str">
            <v>9001-2211-DS-0032-02-WM</v>
          </cell>
          <cell r="C137">
            <v>60</v>
          </cell>
          <cell r="D137" t="str">
            <v>X2</v>
          </cell>
          <cell r="E137" t="str">
            <v>DV</v>
          </cell>
          <cell r="F137" t="str">
            <v>100%MT &amp; UT</v>
          </cell>
          <cell r="G137" t="str">
            <v>L</v>
          </cell>
          <cell r="H137">
            <v>750</v>
          </cell>
          <cell r="I137">
            <v>30</v>
          </cell>
          <cell r="K137" t="str">
            <v>WPS-TNHA-S06</v>
          </cell>
          <cell r="L137" t="str">
            <v>ST-22</v>
          </cell>
          <cell r="M137" t="str">
            <v>THÁI</v>
          </cell>
          <cell r="N137">
            <v>46005</v>
          </cell>
          <cell r="O137" t="str">
            <v>F-133</v>
          </cell>
          <cell r="P137" t="str">
            <v>18/12/2025</v>
          </cell>
          <cell r="Q137" t="str">
            <v>BGT-0005;BGT-0006;</v>
          </cell>
          <cell r="R137" t="str">
            <v>THAI</v>
          </cell>
          <cell r="S137">
            <v>46013</v>
          </cell>
          <cell r="T137" t="str">
            <v>V-154</v>
          </cell>
          <cell r="U137">
            <v>46009</v>
          </cell>
          <cell r="V137" t="str">
            <v>BG-114</v>
          </cell>
          <cell r="Y137" t="str">
            <v>FINISH</v>
          </cell>
          <cell r="Z137" t="str">
            <v>ACC</v>
          </cell>
          <cell r="AA137" t="str">
            <v>ACC</v>
          </cell>
          <cell r="AB137" t="str">
            <v>MT-2211-ST-22-0042</v>
          </cell>
          <cell r="AC137" t="str">
            <v>ACC</v>
          </cell>
          <cell r="AD137" t="str">
            <v>UT-2211-ST-22-0075</v>
          </cell>
          <cell r="AJ137" t="str">
            <v>XX/12/2025</v>
          </cell>
          <cell r="AK137" t="str">
            <v>FINAL-V-156</v>
          </cell>
          <cell r="AL137" t="str">
            <v>XX/12/2025</v>
          </cell>
          <cell r="AM137" t="str">
            <v>IRN-2211-ST-22-0004</v>
          </cell>
          <cell r="AN137" t="str">
            <v>B</v>
          </cell>
          <cell r="AP137" t="str">
            <v>23/12/2025</v>
          </cell>
        </row>
        <row r="138">
          <cell r="A138" t="str">
            <v>9001-2211-DS-0032-02-WM61</v>
          </cell>
          <cell r="B138" t="str">
            <v>9001-2211-DS-0032-02-WM</v>
          </cell>
          <cell r="C138">
            <v>61</v>
          </cell>
          <cell r="D138" t="str">
            <v>X1</v>
          </cell>
          <cell r="E138" t="str">
            <v>DB</v>
          </cell>
          <cell r="F138" t="str">
            <v>100%MT &amp; UT</v>
          </cell>
          <cell r="G138" t="str">
            <v>D</v>
          </cell>
          <cell r="H138">
            <v>5981.7</v>
          </cell>
          <cell r="I138">
            <v>25</v>
          </cell>
          <cell r="K138" t="str">
            <v>WPS-TNHA-S06</v>
          </cell>
          <cell r="L138" t="str">
            <v>ST-22</v>
          </cell>
          <cell r="M138" t="str">
            <v xml:space="preserve">HIẾU </v>
          </cell>
          <cell r="N138">
            <v>45950</v>
          </cell>
          <cell r="O138" t="str">
            <v>F-054</v>
          </cell>
          <cell r="P138" t="str">
            <v>29/10/2025</v>
          </cell>
          <cell r="Q138" t="str">
            <v>GTC-12</v>
          </cell>
          <cell r="R138" t="str">
            <v>HIẾU</v>
          </cell>
          <cell r="S138">
            <v>45961</v>
          </cell>
          <cell r="T138" t="str">
            <v>V-049</v>
          </cell>
          <cell r="U138">
            <v>45954</v>
          </cell>
          <cell r="V138" t="str">
            <v>BG-053</v>
          </cell>
          <cell r="Y138" t="str">
            <v>REJ</v>
          </cell>
          <cell r="Z138" t="str">
            <v>REJ</v>
          </cell>
          <cell r="AA138" t="str">
            <v>ACC</v>
          </cell>
          <cell r="AB138" t="str">
            <v>MT-2211-ST-22-0009</v>
          </cell>
          <cell r="AC138" t="str">
            <v>REJ</v>
          </cell>
          <cell r="AD138" t="str">
            <v>UT-2211-ST-22-0018</v>
          </cell>
          <cell r="AH138">
            <v>30</v>
          </cell>
          <cell r="AL138" t="str">
            <v>27/11/2025</v>
          </cell>
          <cell r="AM138" t="str">
            <v>IRN-2211-ST-22-0001</v>
          </cell>
          <cell r="AP138" t="str">
            <v>5/11/2025</v>
          </cell>
        </row>
        <row r="139">
          <cell r="A139" t="str">
            <v>9001-2211-DS-0032-02-WM61R1</v>
          </cell>
          <cell r="B139" t="str">
            <v>9001-2211-DS-0032-02-WM</v>
          </cell>
          <cell r="C139" t="str">
            <v>61R1</v>
          </cell>
          <cell r="D139" t="str">
            <v>X1</v>
          </cell>
          <cell r="E139" t="str">
            <v>DB</v>
          </cell>
          <cell r="F139" t="str">
            <v>100%MT &amp; UT</v>
          </cell>
          <cell r="G139" t="str">
            <v>L</v>
          </cell>
          <cell r="H139">
            <v>300</v>
          </cell>
          <cell r="I139">
            <v>25</v>
          </cell>
          <cell r="K139" t="str">
            <v>WPS-TNHA-S06</v>
          </cell>
          <cell r="L139" t="str">
            <v>ST-22</v>
          </cell>
          <cell r="M139" t="str">
            <v>NA</v>
          </cell>
          <cell r="N139" t="str">
            <v>NA</v>
          </cell>
          <cell r="O139" t="str">
            <v>NA</v>
          </cell>
          <cell r="P139" t="str">
            <v>14h 9/11/2025</v>
          </cell>
          <cell r="Q139" t="str">
            <v>GTC-12</v>
          </cell>
          <cell r="R139" t="str">
            <v>TUÂN</v>
          </cell>
          <cell r="S139">
            <v>45972</v>
          </cell>
          <cell r="T139" t="str">
            <v>V-069</v>
          </cell>
          <cell r="U139">
            <v>45971</v>
          </cell>
          <cell r="V139" t="str">
            <v>BG-077</v>
          </cell>
          <cell r="Y139" t="str">
            <v>FINISH</v>
          </cell>
          <cell r="Z139" t="str">
            <v>ACC</v>
          </cell>
          <cell r="AA139" t="str">
            <v>ACC</v>
          </cell>
          <cell r="AB139" t="str">
            <v>MT-2211-ST-22-0009R1</v>
          </cell>
          <cell r="AC139" t="str">
            <v>ACC</v>
          </cell>
          <cell r="AD139" t="str">
            <v>UT-2211-ST-22-0018R1</v>
          </cell>
          <cell r="AI139">
            <v>100</v>
          </cell>
          <cell r="AL139" t="str">
            <v>27/11/2025</v>
          </cell>
          <cell r="AM139" t="str">
            <v>IRN-2211-ST-22-0001</v>
          </cell>
          <cell r="AP139" t="str">
            <v>12/11/2025</v>
          </cell>
        </row>
        <row r="140">
          <cell r="A140" t="str">
            <v>9001-2211-DS-0032-02-WM62</v>
          </cell>
          <cell r="B140" t="str">
            <v>9001-2211-DS-0032-02-WM</v>
          </cell>
          <cell r="C140">
            <v>62</v>
          </cell>
          <cell r="D140" t="str">
            <v>X2</v>
          </cell>
          <cell r="E140" t="str">
            <v>DV</v>
          </cell>
          <cell r="F140" t="str">
            <v>100%MT &amp; UT</v>
          </cell>
          <cell r="G140" t="str">
            <v>L</v>
          </cell>
          <cell r="H140">
            <v>1200</v>
          </cell>
          <cell r="I140">
            <v>25</v>
          </cell>
          <cell r="K140" t="str">
            <v>WPS-TNHA-S06</v>
          </cell>
          <cell r="L140" t="str">
            <v>ST-22</v>
          </cell>
          <cell r="M140" t="str">
            <v xml:space="preserve">HIẾU </v>
          </cell>
          <cell r="N140">
            <v>45950</v>
          </cell>
          <cell r="O140" t="str">
            <v>F-054</v>
          </cell>
          <cell r="P140" t="str">
            <v>29/10/2025</v>
          </cell>
          <cell r="Q140" t="str">
            <v>GTC-12</v>
          </cell>
          <cell r="R140" t="str">
            <v>HIẾU</v>
          </cell>
          <cell r="S140">
            <v>45961</v>
          </cell>
          <cell r="T140" t="str">
            <v>V-049</v>
          </cell>
          <cell r="U140">
            <v>45958</v>
          </cell>
          <cell r="V140" t="str">
            <v>BG-060</v>
          </cell>
          <cell r="Y140" t="str">
            <v>FINISH</v>
          </cell>
          <cell r="Z140" t="str">
            <v>ACC</v>
          </cell>
          <cell r="AA140" t="str">
            <v>ACC</v>
          </cell>
          <cell r="AB140" t="str">
            <v>MT-2211-ST-22-0009</v>
          </cell>
          <cell r="AC140" t="str">
            <v>ACC</v>
          </cell>
          <cell r="AD140" t="str">
            <v>UT-2211-ST-22-0019</v>
          </cell>
          <cell r="AL140" t="str">
            <v>27/11/2025</v>
          </cell>
          <cell r="AM140" t="str">
            <v>IRN-2211-ST-22-0001</v>
          </cell>
          <cell r="AP140" t="str">
            <v>5/11/2025</v>
          </cell>
        </row>
        <row r="141">
          <cell r="A141" t="str">
            <v>9001-2211-DS-0032-02-WM63</v>
          </cell>
          <cell r="B141" t="str">
            <v>9001-2211-DS-0032-02-WM</v>
          </cell>
          <cell r="C141">
            <v>63</v>
          </cell>
          <cell r="D141" t="str">
            <v>X1</v>
          </cell>
          <cell r="E141" t="str">
            <v>DB</v>
          </cell>
          <cell r="F141" t="str">
            <v>100%MT &amp; UT</v>
          </cell>
          <cell r="G141" t="str">
            <v>D</v>
          </cell>
          <cell r="H141">
            <v>5981.7</v>
          </cell>
          <cell r="I141">
            <v>25</v>
          </cell>
          <cell r="K141" t="str">
            <v>WPS-TNHA-S06</v>
          </cell>
          <cell r="L141" t="str">
            <v>ST-22</v>
          </cell>
          <cell r="M141" t="str">
            <v xml:space="preserve">HIẾU </v>
          </cell>
          <cell r="N141">
            <v>45953</v>
          </cell>
          <cell r="O141" t="str">
            <v>F-057</v>
          </cell>
          <cell r="P141" t="str">
            <v>15/11/2025</v>
          </cell>
          <cell r="Q141" t="str">
            <v>BGT-0015;BGT-0016</v>
          </cell>
          <cell r="R141" t="str">
            <v>THÁI</v>
          </cell>
          <cell r="S141">
            <v>46003</v>
          </cell>
          <cell r="T141" t="str">
            <v>V-130</v>
          </cell>
          <cell r="U141">
            <v>45954</v>
          </cell>
          <cell r="V141" t="str">
            <v>BG-054</v>
          </cell>
          <cell r="Y141" t="str">
            <v>FINISH</v>
          </cell>
          <cell r="Z141" t="str">
            <v>ACC</v>
          </cell>
          <cell r="AA141" t="str">
            <v>ACC</v>
          </cell>
          <cell r="AB141" t="str">
            <v>MT-2211-ST-22-0036</v>
          </cell>
          <cell r="AC141" t="str">
            <v>ACC</v>
          </cell>
          <cell r="AD141" t="str">
            <v>UT-2211-ST-22-0065</v>
          </cell>
          <cell r="AJ141" t="str">
            <v>XX/12/2025</v>
          </cell>
          <cell r="AK141" t="str">
            <v>FINAL-V-155</v>
          </cell>
          <cell r="AL141" t="str">
            <v>XX/12/2025</v>
          </cell>
          <cell r="AM141" t="str">
            <v>IRN-2211-ST-22-0003</v>
          </cell>
          <cell r="AN141" t="str">
            <v>a</v>
          </cell>
          <cell r="AP141" t="str">
            <v>16/12/2025</v>
          </cell>
        </row>
        <row r="142">
          <cell r="A142" t="str">
            <v>9001-2211-DS-0032-02-WM64</v>
          </cell>
          <cell r="B142" t="str">
            <v>9001-2211-DS-0032-02-WM</v>
          </cell>
          <cell r="C142">
            <v>64</v>
          </cell>
          <cell r="D142" t="str">
            <v>X2</v>
          </cell>
          <cell r="E142" t="str">
            <v>DV</v>
          </cell>
          <cell r="F142" t="str">
            <v>100%MT &amp; UT</v>
          </cell>
          <cell r="G142" t="str">
            <v>L</v>
          </cell>
          <cell r="H142">
            <v>1200</v>
          </cell>
          <cell r="I142">
            <v>25</v>
          </cell>
          <cell r="K142" t="str">
            <v>WPS-TNHA-S06</v>
          </cell>
          <cell r="L142" t="str">
            <v>ST-22</v>
          </cell>
          <cell r="M142" t="str">
            <v xml:space="preserve">HIẾU </v>
          </cell>
          <cell r="N142">
            <v>45953</v>
          </cell>
          <cell r="O142" t="str">
            <v>F-057</v>
          </cell>
          <cell r="P142" t="str">
            <v>15/11/2025</v>
          </cell>
          <cell r="Q142" t="str">
            <v>BGT-0015;BGT-0016</v>
          </cell>
          <cell r="R142" t="str">
            <v>THÁI</v>
          </cell>
          <cell r="S142">
            <v>46003</v>
          </cell>
          <cell r="T142" t="str">
            <v>V-130</v>
          </cell>
          <cell r="U142">
            <v>45966</v>
          </cell>
          <cell r="V142" t="str">
            <v>BG-072</v>
          </cell>
          <cell r="Y142" t="str">
            <v>REJ</v>
          </cell>
          <cell r="Z142" t="str">
            <v>REJ</v>
          </cell>
          <cell r="AA142" t="str">
            <v>ACC</v>
          </cell>
          <cell r="AB142" t="str">
            <v>MT-2211-ST-22-0036</v>
          </cell>
          <cell r="AC142" t="str">
            <v>REJ</v>
          </cell>
          <cell r="AD142" t="str">
            <v>UT-2211-ST-22-0066</v>
          </cell>
          <cell r="AH142">
            <v>50</v>
          </cell>
          <cell r="AJ142" t="str">
            <v>XX/12/2025</v>
          </cell>
          <cell r="AK142" t="str">
            <v>FINAL-V-155</v>
          </cell>
          <cell r="AL142" t="str">
            <v>XX/12/2025</v>
          </cell>
          <cell r="AM142" t="str">
            <v>IRN-2211-ST-22-0003</v>
          </cell>
          <cell r="AN142" t="str">
            <v>a</v>
          </cell>
          <cell r="AP142" t="str">
            <v>16/12/2025</v>
          </cell>
        </row>
        <row r="143">
          <cell r="A143" t="str">
            <v>9001-2211-DS-0032-02-WM64R1</v>
          </cell>
          <cell r="B143" t="str">
            <v>9001-2211-DS-0032-02-WM</v>
          </cell>
          <cell r="C143" t="str">
            <v>64R1</v>
          </cell>
          <cell r="D143" t="str">
            <v>X2</v>
          </cell>
          <cell r="E143" t="str">
            <v>DV</v>
          </cell>
          <cell r="F143" t="str">
            <v>100%MT &amp; UT</v>
          </cell>
          <cell r="G143" t="str">
            <v>L</v>
          </cell>
          <cell r="H143">
            <v>350</v>
          </cell>
          <cell r="I143">
            <v>25</v>
          </cell>
          <cell r="K143" t="str">
            <v>WPS-TNHA-S06</v>
          </cell>
          <cell r="L143" t="str">
            <v>ST-22</v>
          </cell>
          <cell r="M143" t="str">
            <v>NA</v>
          </cell>
          <cell r="N143" t="str">
            <v>NA</v>
          </cell>
          <cell r="O143" t="str">
            <v>NA</v>
          </cell>
          <cell r="P143" t="str">
            <v>13/12/2025</v>
          </cell>
          <cell r="Q143" t="str">
            <v>GTC-10</v>
          </cell>
          <cell r="R143" t="str">
            <v>THÁI</v>
          </cell>
          <cell r="S143">
            <v>46007</v>
          </cell>
          <cell r="T143" t="str">
            <v>V-142</v>
          </cell>
          <cell r="U143">
            <v>46004</v>
          </cell>
          <cell r="V143" t="str">
            <v>BG-113</v>
          </cell>
          <cell r="Y143" t="str">
            <v>FINISH</v>
          </cell>
          <cell r="Z143" t="str">
            <v>ACC</v>
          </cell>
          <cell r="AA143" t="str">
            <v>ACC</v>
          </cell>
          <cell r="AB143" t="str">
            <v>MT-2211-ST-22-0036R1</v>
          </cell>
          <cell r="AC143" t="str">
            <v>ACC</v>
          </cell>
          <cell r="AD143" t="str">
            <v>UT-2211-ST-22-0066R1</v>
          </cell>
          <cell r="AI143">
            <v>150</v>
          </cell>
          <cell r="AJ143" t="str">
            <v>XX/12/2025</v>
          </cell>
          <cell r="AK143" t="str">
            <v>FINAL-V-155</v>
          </cell>
          <cell r="AL143" t="str">
            <v>XX/12/2025</v>
          </cell>
          <cell r="AM143" t="str">
            <v>IRN-2211-ST-22-0003</v>
          </cell>
          <cell r="AN143" t="str">
            <v>a</v>
          </cell>
          <cell r="AP143" t="str">
            <v>23/12/2025</v>
          </cell>
        </row>
        <row r="144">
          <cell r="A144" t="str">
            <v>9001-2211-DS-0032-02-WM65</v>
          </cell>
          <cell r="B144" t="str">
            <v>9001-2211-DS-0032-02-WM</v>
          </cell>
          <cell r="C144">
            <v>65</v>
          </cell>
          <cell r="D144" t="str">
            <v>X1</v>
          </cell>
          <cell r="E144" t="str">
            <v>DB</v>
          </cell>
          <cell r="F144" t="str">
            <v>100%MT &amp; UT</v>
          </cell>
          <cell r="G144" t="str">
            <v>D</v>
          </cell>
          <cell r="H144">
            <v>5981.7</v>
          </cell>
          <cell r="I144">
            <v>25</v>
          </cell>
          <cell r="K144" t="str">
            <v>WPS-TNHA-S06</v>
          </cell>
          <cell r="L144" t="str">
            <v>ST-22</v>
          </cell>
          <cell r="M144" t="str">
            <v xml:space="preserve">HIẾU </v>
          </cell>
          <cell r="N144">
            <v>45950</v>
          </cell>
          <cell r="O144" t="str">
            <v>F-054</v>
          </cell>
          <cell r="P144" t="str">
            <v>29/10/2025</v>
          </cell>
          <cell r="Q144" t="str">
            <v>GTC-12</v>
          </cell>
          <cell r="R144" t="str">
            <v>HIẾU</v>
          </cell>
          <cell r="S144">
            <v>45961</v>
          </cell>
          <cell r="T144" t="str">
            <v>V-049</v>
          </cell>
          <cell r="U144">
            <v>45954</v>
          </cell>
          <cell r="V144" t="str">
            <v>BG-053</v>
          </cell>
          <cell r="Y144" t="str">
            <v>FINISH</v>
          </cell>
          <cell r="Z144" t="str">
            <v>ACC</v>
          </cell>
          <cell r="AA144" t="str">
            <v>ACC</v>
          </cell>
          <cell r="AB144" t="str">
            <v>MT-2211-ST-22-0009</v>
          </cell>
          <cell r="AC144" t="str">
            <v>ACC</v>
          </cell>
          <cell r="AD144" t="str">
            <v>UT-2211-ST-22-0020</v>
          </cell>
          <cell r="AL144" t="str">
            <v>27/11/2025</v>
          </cell>
          <cell r="AM144" t="str">
            <v>IRN-2211-ST-22-0001</v>
          </cell>
          <cell r="AP144" t="str">
            <v>5/11/2025</v>
          </cell>
        </row>
        <row r="145">
          <cell r="A145" t="str">
            <v>9001-2211-DS-0032-02-WM66</v>
          </cell>
          <cell r="B145" t="str">
            <v>9001-2211-DS-0032-02-WM</v>
          </cell>
          <cell r="C145">
            <v>66</v>
          </cell>
          <cell r="D145" t="str">
            <v>X2</v>
          </cell>
          <cell r="E145" t="str">
            <v>DV</v>
          </cell>
          <cell r="F145" t="str">
            <v>100%MT &amp; UT</v>
          </cell>
          <cell r="G145" t="str">
            <v>L</v>
          </cell>
          <cell r="H145">
            <v>1200</v>
          </cell>
          <cell r="I145">
            <v>25</v>
          </cell>
          <cell r="K145" t="str">
            <v>WPS-TNHA-S06</v>
          </cell>
          <cell r="L145" t="str">
            <v>ST-22</v>
          </cell>
          <cell r="M145" t="str">
            <v xml:space="preserve">HIẾU </v>
          </cell>
          <cell r="N145">
            <v>45950</v>
          </cell>
          <cell r="O145" t="str">
            <v>F-054</v>
          </cell>
          <cell r="P145" t="str">
            <v>29/10/2025</v>
          </cell>
          <cell r="Q145" t="str">
            <v>GTC-12</v>
          </cell>
          <cell r="R145" t="str">
            <v>HIẾU</v>
          </cell>
          <cell r="S145">
            <v>45961</v>
          </cell>
          <cell r="T145" t="str">
            <v>V-049</v>
          </cell>
          <cell r="U145">
            <v>45958</v>
          </cell>
          <cell r="V145" t="str">
            <v>BG-060</v>
          </cell>
          <cell r="Y145" t="str">
            <v>FINISH</v>
          </cell>
          <cell r="Z145" t="str">
            <v>ACC</v>
          </cell>
          <cell r="AA145" t="str">
            <v>ACC</v>
          </cell>
          <cell r="AB145" t="str">
            <v>MT-2211-ST-22-0009</v>
          </cell>
          <cell r="AC145" t="str">
            <v>ACC</v>
          </cell>
          <cell r="AD145" t="str">
            <v>UT-2211-ST-22-0021</v>
          </cell>
          <cell r="AL145" t="str">
            <v>27/11/2025</v>
          </cell>
          <cell r="AM145" t="str">
            <v>IRN-2211-ST-22-0001</v>
          </cell>
          <cell r="AP145" t="str">
            <v>5/11/2025</v>
          </cell>
        </row>
        <row r="146">
          <cell r="A146" t="str">
            <v>9001-2211-DS-0032-02-WM67</v>
          </cell>
          <cell r="B146" t="str">
            <v>9001-2211-DS-0032-02-WM</v>
          </cell>
          <cell r="C146">
            <v>67</v>
          </cell>
          <cell r="D146" t="str">
            <v>X1</v>
          </cell>
          <cell r="E146" t="str">
            <v>DB</v>
          </cell>
          <cell r="F146" t="str">
            <v>100%MT &amp; UT</v>
          </cell>
          <cell r="G146" t="str">
            <v>D</v>
          </cell>
          <cell r="H146">
            <v>5981.7</v>
          </cell>
          <cell r="I146">
            <v>25</v>
          </cell>
          <cell r="K146" t="str">
            <v>WPS-TNHA-S06</v>
          </cell>
          <cell r="L146" t="str">
            <v>ST-22</v>
          </cell>
          <cell r="M146" t="str">
            <v xml:space="preserve">HIẾU </v>
          </cell>
          <cell r="N146">
            <v>45953</v>
          </cell>
          <cell r="O146" t="str">
            <v>F-057</v>
          </cell>
          <cell r="P146" t="str">
            <v>15/11/2025</v>
          </cell>
          <cell r="Q146" t="str">
            <v>BGT-0015;BGT-0016</v>
          </cell>
          <cell r="R146" t="str">
            <v>THÁI</v>
          </cell>
          <cell r="S146">
            <v>46003</v>
          </cell>
          <cell r="T146" t="str">
            <v>V-130</v>
          </cell>
          <cell r="U146">
            <v>45954</v>
          </cell>
          <cell r="V146" t="str">
            <v>BG-054</v>
          </cell>
          <cell r="Y146" t="str">
            <v>FINISH</v>
          </cell>
          <cell r="Z146" t="str">
            <v>ACC</v>
          </cell>
          <cell r="AA146" t="str">
            <v>ACC</v>
          </cell>
          <cell r="AB146" t="str">
            <v>MT-2211-ST-22-0036</v>
          </cell>
          <cell r="AC146" t="str">
            <v>ACC</v>
          </cell>
          <cell r="AD146" t="str">
            <v>UT-2211-ST-22-0065</v>
          </cell>
          <cell r="AJ146" t="str">
            <v>XX/12/2025</v>
          </cell>
          <cell r="AK146" t="str">
            <v>FINAL-V-155</v>
          </cell>
          <cell r="AL146" t="str">
            <v>XX/12/2025</v>
          </cell>
          <cell r="AM146" t="str">
            <v>IRN-2211-ST-22-0003</v>
          </cell>
          <cell r="AN146" t="str">
            <v>a</v>
          </cell>
          <cell r="AP146" t="str">
            <v>16/12/2025</v>
          </cell>
        </row>
        <row r="147">
          <cell r="A147" t="str">
            <v>9001-2211-DS-0032-02-WM68</v>
          </cell>
          <cell r="B147" t="str">
            <v>9001-2211-DS-0032-02-WM</v>
          </cell>
          <cell r="C147">
            <v>68</v>
          </cell>
          <cell r="D147" t="str">
            <v>X2</v>
          </cell>
          <cell r="E147" t="str">
            <v>DV</v>
          </cell>
          <cell r="F147" t="str">
            <v>100%MT &amp; UT</v>
          </cell>
          <cell r="G147" t="str">
            <v>L</v>
          </cell>
          <cell r="H147">
            <v>1200</v>
          </cell>
          <cell r="I147">
            <v>25</v>
          </cell>
          <cell r="K147" t="str">
            <v>WPS-TNHA-S06</v>
          </cell>
          <cell r="L147" t="str">
            <v>ST-22</v>
          </cell>
          <cell r="M147" t="str">
            <v xml:space="preserve">HIẾU </v>
          </cell>
          <cell r="N147">
            <v>45953</v>
          </cell>
          <cell r="O147" t="str">
            <v>F-057</v>
          </cell>
          <cell r="P147" t="str">
            <v>15/11/2025</v>
          </cell>
          <cell r="Q147" t="str">
            <v>BGT-0015;BGT-0016</v>
          </cell>
          <cell r="R147" t="str">
            <v>THÁI</v>
          </cell>
          <cell r="S147">
            <v>46003</v>
          </cell>
          <cell r="T147" t="str">
            <v>V-130</v>
          </cell>
          <cell r="U147">
            <v>45966</v>
          </cell>
          <cell r="V147" t="str">
            <v>BG-072</v>
          </cell>
          <cell r="Y147" t="str">
            <v>FINISH</v>
          </cell>
          <cell r="Z147" t="str">
            <v>ACC</v>
          </cell>
          <cell r="AA147" t="str">
            <v>ACC</v>
          </cell>
          <cell r="AB147" t="str">
            <v>MT-2211-ST-22-0036</v>
          </cell>
          <cell r="AC147" t="str">
            <v>ACC</v>
          </cell>
          <cell r="AD147" t="str">
            <v>UT-2211-ST-22-0067</v>
          </cell>
          <cell r="AJ147" t="str">
            <v>XX/12/2025</v>
          </cell>
          <cell r="AK147" t="str">
            <v>FINAL-V-155</v>
          </cell>
          <cell r="AL147" t="str">
            <v>XX/12/2025</v>
          </cell>
          <cell r="AM147" t="str">
            <v>IRN-2211-ST-22-0003</v>
          </cell>
          <cell r="AN147" t="str">
            <v>a</v>
          </cell>
          <cell r="AP147" t="str">
            <v>16/12/2025</v>
          </cell>
        </row>
        <row r="148">
          <cell r="A148" t="str">
            <v>9001-2211-DS-0009-01-WM1</v>
          </cell>
          <cell r="B148" t="str">
            <v>9001-2211-DS-0009-01-WM</v>
          </cell>
          <cell r="C148">
            <v>1</v>
          </cell>
          <cell r="E148" t="str">
            <v>DV</v>
          </cell>
          <cell r="F148" t="str">
            <v>100%MT &amp; UT</v>
          </cell>
          <cell r="G148" t="str">
            <v>D</v>
          </cell>
          <cell r="H148">
            <v>4785.3600000000006</v>
          </cell>
          <cell r="I148">
            <v>50</v>
          </cell>
          <cell r="K148" t="str">
            <v>WPS-TNHA-S01</v>
          </cell>
          <cell r="L148" t="str">
            <v>ST-01</v>
          </cell>
          <cell r="M148" t="str">
            <v>THÁI</v>
          </cell>
          <cell r="N148">
            <v>45904</v>
          </cell>
          <cell r="O148" t="str">
            <v>F-005</v>
          </cell>
          <cell r="P148" t="str">
            <v>15h00 14/09/2025</v>
          </cell>
          <cell r="Q148" t="str">
            <v>BGT-0014;BGT0017;ND08</v>
          </cell>
          <cell r="R148" t="str">
            <v>HIẾU</v>
          </cell>
          <cell r="S148">
            <v>45916</v>
          </cell>
          <cell r="T148" t="str">
            <v>V-007</v>
          </cell>
          <cell r="U148">
            <v>45913</v>
          </cell>
          <cell r="V148" t="str">
            <v>BG-008</v>
          </cell>
          <cell r="Y148" t="str">
            <v>FINISH</v>
          </cell>
          <cell r="Z148" t="str">
            <v>ACC</v>
          </cell>
          <cell r="AA148" t="str">
            <v>ACC</v>
          </cell>
          <cell r="AB148" t="str">
            <v>MT-2211-ST-01-0008</v>
          </cell>
          <cell r="AC148" t="str">
            <v>ACC</v>
          </cell>
          <cell r="AD148" t="str">
            <v>UT-2211-ST-01-0009</v>
          </cell>
          <cell r="AL148" t="str">
            <v>27/11/2025</v>
          </cell>
          <cell r="AM148" t="str">
            <v>IRN-2211-ST-01-0003</v>
          </cell>
          <cell r="AP148" t="str">
            <v>24/09/2025</v>
          </cell>
        </row>
        <row r="149">
          <cell r="A149" t="str">
            <v>9001-2211-DS-0009-01-WM2</v>
          </cell>
          <cell r="B149" t="str">
            <v>9001-2211-DS-0009-01-WM</v>
          </cell>
          <cell r="C149">
            <v>2</v>
          </cell>
          <cell r="E149" t="str">
            <v>DV</v>
          </cell>
          <cell r="F149" t="str">
            <v>100%MT &amp; UT</v>
          </cell>
          <cell r="G149" t="str">
            <v>D</v>
          </cell>
          <cell r="H149">
            <v>4785.3600000000006</v>
          </cell>
          <cell r="I149" t="str">
            <v>30/50</v>
          </cell>
          <cell r="K149" t="str">
            <v>WPS-TNHA-S01</v>
          </cell>
          <cell r="L149" t="str">
            <v>ST-01</v>
          </cell>
          <cell r="M149" t="str">
            <v>THÁI</v>
          </cell>
          <cell r="N149">
            <v>45904</v>
          </cell>
          <cell r="O149" t="str">
            <v>F-005</v>
          </cell>
          <cell r="P149" t="str">
            <v>15h00 14/09/2025</v>
          </cell>
          <cell r="Q149" t="str">
            <v>BGT-0014;BGT0017;ND08</v>
          </cell>
          <cell r="R149" t="str">
            <v>HIẾU</v>
          </cell>
          <cell r="S149">
            <v>45916</v>
          </cell>
          <cell r="T149" t="str">
            <v>V-007</v>
          </cell>
          <cell r="U149">
            <v>45913</v>
          </cell>
          <cell r="V149" t="str">
            <v>BG-008</v>
          </cell>
          <cell r="Y149" t="str">
            <v>FINISH</v>
          </cell>
          <cell r="Z149" t="str">
            <v>ACC</v>
          </cell>
          <cell r="AA149" t="str">
            <v>ACC</v>
          </cell>
          <cell r="AB149" t="str">
            <v>MT-2211-ST-01-0008</v>
          </cell>
          <cell r="AC149" t="str">
            <v>ACC</v>
          </cell>
          <cell r="AD149" t="str">
            <v>UT-2211-ST-01-0009</v>
          </cell>
          <cell r="AL149" t="str">
            <v>27/11/2025</v>
          </cell>
          <cell r="AM149" t="str">
            <v>IRN-2211-ST-01-0003</v>
          </cell>
          <cell r="AP149" t="str">
            <v>24/09/2025</v>
          </cell>
        </row>
        <row r="150">
          <cell r="A150" t="str">
            <v>9001-2211-DS-0009-01-WM3</v>
          </cell>
          <cell r="B150" t="str">
            <v>9001-2211-DS-0009-01-WM</v>
          </cell>
          <cell r="C150">
            <v>3</v>
          </cell>
          <cell r="E150" t="str">
            <v>DV</v>
          </cell>
          <cell r="F150" t="str">
            <v>100%MT &amp; UT</v>
          </cell>
          <cell r="G150" t="str">
            <v>D</v>
          </cell>
          <cell r="H150">
            <v>4785.3600000000006</v>
          </cell>
          <cell r="I150">
            <v>30</v>
          </cell>
          <cell r="K150" t="str">
            <v>WPS-TNHA-S01</v>
          </cell>
          <cell r="L150" t="str">
            <v>ST-01</v>
          </cell>
          <cell r="M150" t="str">
            <v>THÁI</v>
          </cell>
          <cell r="N150">
            <v>45904</v>
          </cell>
          <cell r="O150" t="str">
            <v>F-005</v>
          </cell>
          <cell r="P150" t="str">
            <v>15h00 14/09/2025</v>
          </cell>
          <cell r="Q150" t="str">
            <v>BGT-0014;BGT0017;ND08</v>
          </cell>
          <cell r="R150" t="str">
            <v>HIẾU</v>
          </cell>
          <cell r="S150">
            <v>45916</v>
          </cell>
          <cell r="T150" t="str">
            <v>V-007</v>
          </cell>
          <cell r="U150">
            <v>45913</v>
          </cell>
          <cell r="V150" t="str">
            <v>BG-008</v>
          </cell>
          <cell r="Y150" t="str">
            <v>FINISH</v>
          </cell>
          <cell r="Z150" t="str">
            <v>ACC</v>
          </cell>
          <cell r="AA150" t="str">
            <v>ACC</v>
          </cell>
          <cell r="AB150" t="str">
            <v>MT-2211-ST-01-0008</v>
          </cell>
          <cell r="AC150" t="str">
            <v>ACC</v>
          </cell>
          <cell r="AD150" t="str">
            <v>UT-2211-ST-01-0010</v>
          </cell>
          <cell r="AL150" t="str">
            <v>27/11/2025</v>
          </cell>
          <cell r="AM150" t="str">
            <v>IRN-2211-ST-01-0003</v>
          </cell>
          <cell r="AP150" t="str">
            <v>24/09/2025</v>
          </cell>
        </row>
        <row r="151">
          <cell r="A151" t="str">
            <v>9001-2211-DS-0009-01-WM4</v>
          </cell>
          <cell r="B151" t="str">
            <v>9001-2211-DS-0009-01-WM</v>
          </cell>
          <cell r="C151">
            <v>4</v>
          </cell>
          <cell r="E151" t="str">
            <v>DV</v>
          </cell>
          <cell r="F151" t="str">
            <v>100%MT &amp; UT</v>
          </cell>
          <cell r="G151" t="str">
            <v>D</v>
          </cell>
          <cell r="H151">
            <v>4785.3600000000006</v>
          </cell>
          <cell r="I151">
            <v>30</v>
          </cell>
          <cell r="K151" t="str">
            <v>WPS-TNHA-S01</v>
          </cell>
          <cell r="L151" t="str">
            <v>ST-01</v>
          </cell>
          <cell r="M151" t="str">
            <v>THÁI</v>
          </cell>
          <cell r="N151">
            <v>45904</v>
          </cell>
          <cell r="O151" t="str">
            <v>F-005</v>
          </cell>
          <cell r="P151" t="str">
            <v>14h00 13/09/2025</v>
          </cell>
          <cell r="Q151" t="str">
            <v>BGT-0014;BGT0017;ND08</v>
          </cell>
          <cell r="R151" t="str">
            <v>HIẾU</v>
          </cell>
          <cell r="S151">
            <v>45917</v>
          </cell>
          <cell r="T151" t="str">
            <v>V-008</v>
          </cell>
          <cell r="U151">
            <v>45912</v>
          </cell>
          <cell r="V151" t="str">
            <v>BG-007</v>
          </cell>
          <cell r="Y151" t="str">
            <v>FINISH</v>
          </cell>
          <cell r="Z151" t="str">
            <v>ACC</v>
          </cell>
          <cell r="AA151" t="str">
            <v>ACC</v>
          </cell>
          <cell r="AB151" t="str">
            <v>MT-2211-ST-01-0009</v>
          </cell>
          <cell r="AC151" t="str">
            <v>ACC</v>
          </cell>
          <cell r="AD151" t="str">
            <v>UT-2211-ST-01-0011</v>
          </cell>
          <cell r="AL151" t="str">
            <v>27/11/2025</v>
          </cell>
          <cell r="AM151" t="str">
            <v>IRN-2211-ST-01-0003</v>
          </cell>
          <cell r="AP151" t="str">
            <v>24/09/2025</v>
          </cell>
        </row>
        <row r="152">
          <cell r="A152" t="str">
            <v>9001-2211-DS-0009-01-WM5</v>
          </cell>
          <cell r="B152" t="str">
            <v>9001-2211-DS-0009-01-WM</v>
          </cell>
          <cell r="C152">
            <v>5</v>
          </cell>
          <cell r="E152" t="str">
            <v>DV</v>
          </cell>
          <cell r="F152" t="str">
            <v>100%MT &amp; UT</v>
          </cell>
          <cell r="G152" t="str">
            <v>D</v>
          </cell>
          <cell r="H152">
            <v>4785.3600000000006</v>
          </cell>
          <cell r="I152">
            <v>30</v>
          </cell>
          <cell r="K152" t="str">
            <v>WPS-TNHA-S01</v>
          </cell>
          <cell r="L152" t="str">
            <v>ST-01</v>
          </cell>
          <cell r="M152" t="str">
            <v>THÁI</v>
          </cell>
          <cell r="N152">
            <v>45904</v>
          </cell>
          <cell r="O152" t="str">
            <v>F-005</v>
          </cell>
          <cell r="P152" t="str">
            <v>14h00 13/09/2025</v>
          </cell>
          <cell r="Q152" t="str">
            <v>BGT-0014;BGT0017;ND08</v>
          </cell>
          <cell r="R152" t="str">
            <v>HIẾU</v>
          </cell>
          <cell r="S152">
            <v>45917</v>
          </cell>
          <cell r="T152" t="str">
            <v>V-008</v>
          </cell>
          <cell r="U152">
            <v>45912</v>
          </cell>
          <cell r="V152" t="str">
            <v>BG-007</v>
          </cell>
          <cell r="Y152" t="str">
            <v>FINISH</v>
          </cell>
          <cell r="Z152" t="str">
            <v>ACC</v>
          </cell>
          <cell r="AA152" t="str">
            <v>ACC</v>
          </cell>
          <cell r="AB152" t="str">
            <v>MT-2211-ST-01-0009</v>
          </cell>
          <cell r="AC152" t="str">
            <v>ACC</v>
          </cell>
          <cell r="AD152" t="str">
            <v>UT-2211-ST-01-0011</v>
          </cell>
          <cell r="AL152" t="str">
            <v>27/11/2025</v>
          </cell>
          <cell r="AM152" t="str">
            <v>IRN-2211-ST-01-0003</v>
          </cell>
          <cell r="AP152" t="str">
            <v>24/09/2025</v>
          </cell>
        </row>
        <row r="153">
          <cell r="A153" t="str">
            <v>9001-2211-DS-0009-01-WM6</v>
          </cell>
          <cell r="B153" t="str">
            <v>9001-2211-DS-0009-01-WM</v>
          </cell>
          <cell r="C153">
            <v>6</v>
          </cell>
          <cell r="E153" t="str">
            <v>DV</v>
          </cell>
          <cell r="F153" t="str">
            <v>100%MT &amp; UT</v>
          </cell>
          <cell r="G153" t="str">
            <v>D</v>
          </cell>
          <cell r="H153">
            <v>4785.3600000000006</v>
          </cell>
          <cell r="I153" t="str">
            <v>30/55</v>
          </cell>
          <cell r="K153" t="str">
            <v>WPS-TNHA-S06</v>
          </cell>
          <cell r="L153" t="str">
            <v>ST-01</v>
          </cell>
          <cell r="M153" t="str">
            <v>TUÂN</v>
          </cell>
          <cell r="N153">
            <v>45973</v>
          </cell>
          <cell r="O153" t="str">
            <v>F-082</v>
          </cell>
          <cell r="P153" t="str">
            <v>16h00 12/11/2025</v>
          </cell>
          <cell r="Q153" t="str">
            <v>BGT-0006;BGT-0015</v>
          </cell>
          <cell r="R153" t="str">
            <v>THÁI</v>
          </cell>
          <cell r="S153">
            <v>45976</v>
          </cell>
          <cell r="T153" t="str">
            <v>V-076</v>
          </cell>
          <cell r="U153">
            <v>45974</v>
          </cell>
          <cell r="V153" t="str">
            <v>BG-081</v>
          </cell>
          <cell r="Y153" t="str">
            <v>FINISH</v>
          </cell>
          <cell r="Z153" t="str">
            <v>ACC</v>
          </cell>
          <cell r="AA153" t="str">
            <v>ACC</v>
          </cell>
          <cell r="AB153" t="str">
            <v>MT-2211-ST-01-0041</v>
          </cell>
          <cell r="AC153" t="str">
            <v>ACC</v>
          </cell>
          <cell r="AD153" t="str">
            <v>UT-2211-ST-01-0050</v>
          </cell>
          <cell r="AL153" t="str">
            <v>27/11/2025</v>
          </cell>
          <cell r="AM153" t="str">
            <v>IRN-2211-ST-01-0003</v>
          </cell>
          <cell r="AP153" t="str">
            <v>19/11/2025</v>
          </cell>
        </row>
        <row r="154">
          <cell r="A154" t="str">
            <v>9001-2211-DS-0009-01-WM7</v>
          </cell>
          <cell r="B154" t="str">
            <v>9001-2211-DS-0009-01-WM</v>
          </cell>
          <cell r="C154">
            <v>7</v>
          </cell>
          <cell r="E154" t="str">
            <v>DV</v>
          </cell>
          <cell r="F154" t="str">
            <v>100%MT &amp; UT</v>
          </cell>
          <cell r="G154" t="str">
            <v>D</v>
          </cell>
          <cell r="H154">
            <v>4785.3600000000006</v>
          </cell>
          <cell r="I154">
            <v>55</v>
          </cell>
          <cell r="K154" t="str">
            <v>WPS-TNHA-S03</v>
          </cell>
          <cell r="L154" t="str">
            <v>ST-01</v>
          </cell>
          <cell r="M154" t="str">
            <v>Tuân</v>
          </cell>
          <cell r="N154">
            <v>45906</v>
          </cell>
          <cell r="O154" t="str">
            <v>F-006</v>
          </cell>
          <cell r="P154" t="str">
            <v>19h00 17/09/2025</v>
          </cell>
          <cell r="Q154" t="str">
            <v>BGT-0018;BGT-0020;ND18</v>
          </cell>
          <cell r="R154" t="str">
            <v>TUÂN</v>
          </cell>
          <cell r="S154">
            <v>45922</v>
          </cell>
          <cell r="T154" t="str">
            <v>V-012</v>
          </cell>
          <cell r="U154">
            <v>45915</v>
          </cell>
          <cell r="V154" t="str">
            <v>BG-009</v>
          </cell>
          <cell r="Y154" t="str">
            <v>FINISH</v>
          </cell>
          <cell r="Z154" t="str">
            <v>ACC</v>
          </cell>
          <cell r="AA154" t="str">
            <v>ACC</v>
          </cell>
          <cell r="AB154" t="str">
            <v>MT-2211-ST-01-0013</v>
          </cell>
          <cell r="AC154" t="str">
            <v>ACC</v>
          </cell>
          <cell r="AD154" t="str">
            <v>UT-2211-ST-01-0015</v>
          </cell>
          <cell r="AL154" t="str">
            <v>27/11/2025</v>
          </cell>
          <cell r="AM154" t="str">
            <v>IRN-2211-ST-01-0003</v>
          </cell>
          <cell r="AP154" t="str">
            <v>24/09/2025</v>
          </cell>
        </row>
        <row r="155">
          <cell r="A155" t="str">
            <v>9001-2211-DS-0009-01-WM8</v>
          </cell>
          <cell r="B155" t="str">
            <v>9001-2211-DS-0009-01-WM</v>
          </cell>
          <cell r="C155">
            <v>8</v>
          </cell>
          <cell r="E155" t="str">
            <v>DV</v>
          </cell>
          <cell r="F155" t="str">
            <v>100%MT &amp; UT</v>
          </cell>
          <cell r="G155" t="str">
            <v>D</v>
          </cell>
          <cell r="H155">
            <v>4785.3600000000006</v>
          </cell>
          <cell r="I155">
            <v>55</v>
          </cell>
          <cell r="K155" t="str">
            <v>WPS-TNHA-S03</v>
          </cell>
          <cell r="L155" t="str">
            <v>ST-01</v>
          </cell>
          <cell r="M155" t="str">
            <v>Tuân</v>
          </cell>
          <cell r="N155">
            <v>45906</v>
          </cell>
          <cell r="O155" t="str">
            <v>F-006</v>
          </cell>
          <cell r="P155" t="str">
            <v>19h00 16/09/2025</v>
          </cell>
          <cell r="Q155" t="str">
            <v>BGT-0012;BGT-0014;ND18</v>
          </cell>
          <cell r="R155" t="str">
            <v>TUÂN</v>
          </cell>
          <cell r="S155">
            <v>45920</v>
          </cell>
          <cell r="T155" t="str">
            <v>V-011</v>
          </cell>
          <cell r="U155">
            <v>45916</v>
          </cell>
          <cell r="V155" t="str">
            <v>BG-010</v>
          </cell>
          <cell r="Y155" t="str">
            <v>FINISH</v>
          </cell>
          <cell r="Z155" t="str">
            <v>ACC</v>
          </cell>
          <cell r="AA155" t="str">
            <v>ACC</v>
          </cell>
          <cell r="AB155" t="str">
            <v>MT-2211-ST-01-0012</v>
          </cell>
          <cell r="AC155" t="str">
            <v>ACC</v>
          </cell>
          <cell r="AD155" t="str">
            <v>UT-2211-ST-01-0014</v>
          </cell>
          <cell r="AL155" t="str">
            <v>27/11/2025</v>
          </cell>
          <cell r="AM155" t="str">
            <v>IRN-2211-ST-01-0003</v>
          </cell>
          <cell r="AP155" t="str">
            <v>24/09/2025</v>
          </cell>
        </row>
        <row r="156">
          <cell r="A156" t="str">
            <v>9001-2211-DS-0009-01-WM9</v>
          </cell>
          <cell r="B156" t="str">
            <v>9001-2211-DS-0009-01-WM</v>
          </cell>
          <cell r="C156">
            <v>9</v>
          </cell>
          <cell r="E156" t="str">
            <v>DV</v>
          </cell>
          <cell r="F156" t="str">
            <v>100%MT &amp; UT</v>
          </cell>
          <cell r="G156" t="str">
            <v>D</v>
          </cell>
          <cell r="H156">
            <v>4785.3600000000006</v>
          </cell>
          <cell r="I156" t="str">
            <v>25/55</v>
          </cell>
          <cell r="K156" t="str">
            <v>WPS-TNHA-S01</v>
          </cell>
          <cell r="L156" t="str">
            <v>ST-01</v>
          </cell>
          <cell r="M156" t="str">
            <v>Tuân</v>
          </cell>
          <cell r="N156">
            <v>45906</v>
          </cell>
          <cell r="O156" t="str">
            <v>F-006</v>
          </cell>
          <cell r="P156" t="str">
            <v>19h00 18/09/2025</v>
          </cell>
          <cell r="Q156" t="str">
            <v>BGT-0018;BGT-0020;ND18</v>
          </cell>
          <cell r="R156" t="str">
            <v>TUÂN</v>
          </cell>
          <cell r="S156">
            <v>45922</v>
          </cell>
          <cell r="T156" t="str">
            <v>V-012</v>
          </cell>
          <cell r="U156">
            <v>45916</v>
          </cell>
          <cell r="V156" t="str">
            <v>BG-011</v>
          </cell>
          <cell r="Y156" t="str">
            <v>FINISH</v>
          </cell>
          <cell r="Z156" t="str">
            <v>ACC</v>
          </cell>
          <cell r="AA156" t="str">
            <v>ACC</v>
          </cell>
          <cell r="AB156" t="str">
            <v>MT-2211-ST-01-0013</v>
          </cell>
          <cell r="AC156" t="str">
            <v>ACC</v>
          </cell>
          <cell r="AD156" t="str">
            <v>UT-2211-ST-01-0016</v>
          </cell>
          <cell r="AL156" t="str">
            <v>27/11/2025</v>
          </cell>
          <cell r="AM156" t="str">
            <v>IRN-2211-ST-01-0003</v>
          </cell>
          <cell r="AP156" t="str">
            <v>24/09/2025</v>
          </cell>
        </row>
        <row r="157">
          <cell r="A157" t="str">
            <v>9001-2211-DS-0009-01-WM10</v>
          </cell>
          <cell r="B157" t="str">
            <v>9001-2211-DS-0009-01-WM</v>
          </cell>
          <cell r="C157">
            <v>10</v>
          </cell>
          <cell r="E157" t="str">
            <v>SV</v>
          </cell>
          <cell r="F157" t="str">
            <v>100%MT &amp; UT</v>
          </cell>
          <cell r="G157" t="str">
            <v>D</v>
          </cell>
          <cell r="H157">
            <v>4785.3600000000006</v>
          </cell>
          <cell r="I157">
            <v>25</v>
          </cell>
          <cell r="K157" t="str">
            <v>WPS-TNHA-S06</v>
          </cell>
          <cell r="L157" t="str">
            <v>ST-01</v>
          </cell>
          <cell r="M157" t="str">
            <v>BÁCH</v>
          </cell>
          <cell r="N157">
            <v>45984</v>
          </cell>
          <cell r="O157" t="str">
            <v>F-099</v>
          </cell>
          <cell r="P157" t="str">
            <v>23/11/2025</v>
          </cell>
          <cell r="Q157" t="str">
            <v>BGT-0036;BGT0019;GTC-11</v>
          </cell>
          <cell r="R157" t="str">
            <v>THÁI</v>
          </cell>
          <cell r="S157">
            <v>45987</v>
          </cell>
          <cell r="T157" t="str">
            <v>V-094</v>
          </cell>
          <cell r="Y157" t="str">
            <v>FINISH</v>
          </cell>
          <cell r="Z157" t="str">
            <v>ACC</v>
          </cell>
          <cell r="AA157" t="str">
            <v>ACC</v>
          </cell>
          <cell r="AB157" t="str">
            <v>MT-2211-ST-01-0051</v>
          </cell>
          <cell r="AC157" t="str">
            <v>ACC</v>
          </cell>
          <cell r="AD157" t="str">
            <v>UT-2211-ST-01-0060</v>
          </cell>
          <cell r="AL157" t="str">
            <v>27/11/2025</v>
          </cell>
          <cell r="AM157" t="str">
            <v>IRN-2211-ST-01-0003</v>
          </cell>
          <cell r="AP157" t="str">
            <v>2/12/2025</v>
          </cell>
        </row>
        <row r="158">
          <cell r="A158" t="str">
            <v>9001-2211-DS-0009-01-WM11</v>
          </cell>
          <cell r="B158" t="str">
            <v>9001-2211-DS-0009-01-WM</v>
          </cell>
          <cell r="C158">
            <v>11</v>
          </cell>
          <cell r="E158" t="str">
            <v>DV</v>
          </cell>
          <cell r="F158" t="str">
            <v>100%MT &amp; UT</v>
          </cell>
          <cell r="G158" t="str">
            <v>D</v>
          </cell>
          <cell r="H158">
            <v>4785.3600000000006</v>
          </cell>
          <cell r="I158">
            <v>25</v>
          </cell>
          <cell r="K158" t="str">
            <v>WPS-TNHA-S01</v>
          </cell>
          <cell r="L158" t="str">
            <v>ST-01</v>
          </cell>
          <cell r="M158" t="str">
            <v>BÁCH</v>
          </cell>
          <cell r="N158">
            <v>45898</v>
          </cell>
          <cell r="O158" t="str">
            <v>F-001</v>
          </cell>
          <cell r="P158" t="str">
            <v>10h05 10/09/2025</v>
          </cell>
          <cell r="Q158" t="str">
            <v>BGT-0008;BGT-0012;GTC-10</v>
          </cell>
          <cell r="R158" t="str">
            <v>HIẾU</v>
          </cell>
          <cell r="S158">
            <v>45912</v>
          </cell>
          <cell r="T158" t="str">
            <v>V-004</v>
          </cell>
          <cell r="U158">
            <v>45909</v>
          </cell>
          <cell r="V158" t="str">
            <v>BG-004</v>
          </cell>
          <cell r="Y158" t="str">
            <v>REJ</v>
          </cell>
          <cell r="Z158" t="str">
            <v>REJ</v>
          </cell>
          <cell r="AA158" t="str">
            <v>ACC</v>
          </cell>
          <cell r="AB158" t="str">
            <v>MT-2211-ST-01-0005</v>
          </cell>
          <cell r="AC158" t="str">
            <v>REJ</v>
          </cell>
          <cell r="AD158" t="str">
            <v>UT-2211-ST-01-0005</v>
          </cell>
          <cell r="AH158">
            <v>320</v>
          </cell>
          <cell r="AL158" t="str">
            <v>27/11/2025</v>
          </cell>
          <cell r="AM158" t="str">
            <v>IRN-2211-ST-01-0003</v>
          </cell>
          <cell r="AP158" t="str">
            <v>17/09/2025</v>
          </cell>
        </row>
        <row r="159">
          <cell r="A159" t="str">
            <v>9001-2211-DS-0009-01-WM11R1</v>
          </cell>
          <cell r="B159" t="str">
            <v>9001-2211-DS-0009-01-WM</v>
          </cell>
          <cell r="C159" t="str">
            <v>11R1</v>
          </cell>
          <cell r="E159" t="str">
            <v>DV</v>
          </cell>
          <cell r="F159" t="str">
            <v>100%MT &amp; UT</v>
          </cell>
          <cell r="G159" t="str">
            <v>L</v>
          </cell>
          <cell r="H159">
            <v>1050</v>
          </cell>
          <cell r="I159">
            <v>25</v>
          </cell>
          <cell r="K159" t="str">
            <v>WPS-TNHA-S02</v>
          </cell>
          <cell r="L159" t="str">
            <v>ST-01</v>
          </cell>
          <cell r="M159" t="str">
            <v>NA</v>
          </cell>
          <cell r="N159" t="str">
            <v>NA</v>
          </cell>
          <cell r="O159" t="str">
            <v>NA</v>
          </cell>
          <cell r="P159" t="str">
            <v>13h00 19/09/2025</v>
          </cell>
          <cell r="Q159" t="str">
            <v>BGT0017</v>
          </cell>
          <cell r="R159" t="str">
            <v>TUÂN</v>
          </cell>
          <cell r="S159">
            <v>45920</v>
          </cell>
          <cell r="T159" t="str">
            <v>V-010</v>
          </cell>
          <cell r="U159">
            <v>45919</v>
          </cell>
          <cell r="V159" t="str">
            <v>BG-014</v>
          </cell>
          <cell r="Y159" t="str">
            <v>FINISH</v>
          </cell>
          <cell r="Z159" t="str">
            <v>ACC</v>
          </cell>
          <cell r="AA159" t="str">
            <v>ACC</v>
          </cell>
          <cell r="AB159" t="str">
            <v>MT-2211-ST-01-0005R1</v>
          </cell>
          <cell r="AC159" t="str">
            <v>ACC</v>
          </cell>
          <cell r="AD159" t="str">
            <v>UT-2211-ST-01-0005R1</v>
          </cell>
          <cell r="AI159">
            <v>450</v>
          </cell>
          <cell r="AL159" t="str">
            <v>27/11/2025</v>
          </cell>
          <cell r="AM159" t="str">
            <v>IRN-2211-ST-01-0003</v>
          </cell>
          <cell r="AP159" t="str">
            <v>24/09/2025</v>
          </cell>
        </row>
        <row r="160">
          <cell r="A160" t="str">
            <v>9001-2211-DS-0009-01-WM12</v>
          </cell>
          <cell r="B160" t="str">
            <v>9001-2211-DS-0009-01-WM</v>
          </cell>
          <cell r="C160">
            <v>12</v>
          </cell>
          <cell r="E160" t="str">
            <v>DV</v>
          </cell>
          <cell r="F160" t="str">
            <v>100%MT &amp; UT</v>
          </cell>
          <cell r="G160" t="str">
            <v>D</v>
          </cell>
          <cell r="H160">
            <v>4785.3600000000006</v>
          </cell>
          <cell r="I160">
            <v>25</v>
          </cell>
          <cell r="K160" t="str">
            <v>WPS-TNHA-S01</v>
          </cell>
          <cell r="L160" t="str">
            <v>ST-01</v>
          </cell>
          <cell r="M160" t="str">
            <v>BÁCH</v>
          </cell>
          <cell r="N160">
            <v>45898</v>
          </cell>
          <cell r="O160" t="str">
            <v>F-001</v>
          </cell>
          <cell r="P160" t="str">
            <v>18h00 06/09/2025</v>
          </cell>
          <cell r="Q160" t="str">
            <v>BGT-0008;BGT-0013;BGT-0012;ND18</v>
          </cell>
          <cell r="R160" t="str">
            <v>HIẾU</v>
          </cell>
          <cell r="S160">
            <v>45908</v>
          </cell>
          <cell r="T160" t="str">
            <v>V-001</v>
          </cell>
          <cell r="U160">
            <v>45905</v>
          </cell>
          <cell r="V160" t="str">
            <v>BG-001</v>
          </cell>
          <cell r="Y160" t="str">
            <v>FINISH</v>
          </cell>
          <cell r="Z160" t="str">
            <v>ACC</v>
          </cell>
          <cell r="AA160" t="str">
            <v>ACC</v>
          </cell>
          <cell r="AB160" t="str">
            <v>MT-2211-ST-01-0002</v>
          </cell>
          <cell r="AC160" t="str">
            <v>ACC</v>
          </cell>
          <cell r="AD160" t="str">
            <v>UT-2211-ST-01-0002</v>
          </cell>
          <cell r="AL160" t="str">
            <v>27/11/2025</v>
          </cell>
          <cell r="AM160" t="str">
            <v>IRN-2211-ST-01-0003</v>
          </cell>
          <cell r="AP160" t="str">
            <v>17/09/2025</v>
          </cell>
        </row>
        <row r="161">
          <cell r="A161" t="str">
            <v>9001-2211-DS-0009-01-WM13</v>
          </cell>
          <cell r="B161" t="str">
            <v>9001-2211-DS-0009-01-WM</v>
          </cell>
          <cell r="C161">
            <v>13</v>
          </cell>
          <cell r="E161" t="str">
            <v>DV</v>
          </cell>
          <cell r="F161" t="str">
            <v>100%MT &amp; UT</v>
          </cell>
          <cell r="G161" t="str">
            <v>D</v>
          </cell>
          <cell r="H161">
            <v>4785.3600000000006</v>
          </cell>
          <cell r="I161">
            <v>25</v>
          </cell>
          <cell r="K161" t="str">
            <v>WPS-TNHA-S01</v>
          </cell>
          <cell r="L161" t="str">
            <v>ST-01</v>
          </cell>
          <cell r="M161" t="str">
            <v>BÁCH</v>
          </cell>
          <cell r="N161">
            <v>45898</v>
          </cell>
          <cell r="O161" t="str">
            <v>F-001</v>
          </cell>
          <cell r="P161" t="str">
            <v>14h30 06/09/2025</v>
          </cell>
          <cell r="Q161" t="str">
            <v>BGT-0008;BGT-0013;BGT-0012;ND08;ND18</v>
          </cell>
          <cell r="R161" t="str">
            <v>HIẾU</v>
          </cell>
          <cell r="S161">
            <v>45908</v>
          </cell>
          <cell r="T161" t="str">
            <v>V-001</v>
          </cell>
          <cell r="U161">
            <v>45905</v>
          </cell>
          <cell r="V161" t="str">
            <v>BG-001</v>
          </cell>
          <cell r="Y161" t="str">
            <v>FINISH</v>
          </cell>
          <cell r="Z161" t="str">
            <v>ACC</v>
          </cell>
          <cell r="AA161" t="str">
            <v>ACC</v>
          </cell>
          <cell r="AB161" t="str">
            <v>MT-2211-ST-01-0001</v>
          </cell>
          <cell r="AC161" t="str">
            <v>ACC</v>
          </cell>
          <cell r="AD161" t="str">
            <v>UT-2211-ST-01-0001</v>
          </cell>
          <cell r="AL161" t="str">
            <v>27/11/2025</v>
          </cell>
          <cell r="AM161" t="str">
            <v>IRN-2211-ST-01-0003</v>
          </cell>
          <cell r="AP161" t="str">
            <v>10/09/2025</v>
          </cell>
        </row>
        <row r="162">
          <cell r="A162" t="str">
            <v>9001-2211-DS-0009-01-WM14</v>
          </cell>
          <cell r="B162" t="str">
            <v>9001-2211-DS-0009-01-WM</v>
          </cell>
          <cell r="C162">
            <v>14</v>
          </cell>
          <cell r="E162" t="str">
            <v>DV</v>
          </cell>
          <cell r="F162" t="str">
            <v>100%MT &amp; UT</v>
          </cell>
          <cell r="G162" t="str">
            <v>D</v>
          </cell>
          <cell r="H162">
            <v>4785.3600000000006</v>
          </cell>
          <cell r="I162">
            <v>25</v>
          </cell>
          <cell r="K162" t="str">
            <v>WPS-TNHA-S01</v>
          </cell>
          <cell r="L162" t="str">
            <v>ST-01</v>
          </cell>
          <cell r="M162" t="str">
            <v>BÁCH</v>
          </cell>
          <cell r="N162">
            <v>45898</v>
          </cell>
          <cell r="O162" t="str">
            <v>F-001</v>
          </cell>
          <cell r="P162" t="str">
            <v>11h30 06/09/2025</v>
          </cell>
          <cell r="Q162" t="str">
            <v>BGT-0008;BGT-0013;BGT-0012;ND08;ND18</v>
          </cell>
          <cell r="R162" t="str">
            <v>HIẾU</v>
          </cell>
          <cell r="S162">
            <v>45908</v>
          </cell>
          <cell r="T162" t="str">
            <v>V-001</v>
          </cell>
          <cell r="U162">
            <v>45905</v>
          </cell>
          <cell r="V162" t="str">
            <v>BG-001</v>
          </cell>
          <cell r="Y162" t="str">
            <v>FINISH</v>
          </cell>
          <cell r="Z162" t="str">
            <v>ACC</v>
          </cell>
          <cell r="AA162" t="str">
            <v>ACC</v>
          </cell>
          <cell r="AB162" t="str">
            <v>MT-2211-ST-01-0001</v>
          </cell>
          <cell r="AC162" t="str">
            <v>ACC</v>
          </cell>
          <cell r="AD162" t="str">
            <v>UT-2211-ST-01-0001</v>
          </cell>
          <cell r="AL162" t="str">
            <v>27/11/2025</v>
          </cell>
          <cell r="AM162" t="str">
            <v>IRN-2211-ST-01-0003</v>
          </cell>
          <cell r="AP162" t="str">
            <v>10/09/2025</v>
          </cell>
        </row>
        <row r="163">
          <cell r="A163" t="str">
            <v>9001-2211-DS-0009-01-WM15</v>
          </cell>
          <cell r="B163" t="str">
            <v>9001-2211-DS-0009-01-WM</v>
          </cell>
          <cell r="C163">
            <v>15</v>
          </cell>
          <cell r="E163" t="str">
            <v>DV</v>
          </cell>
          <cell r="F163" t="str">
            <v>100%MT &amp; UT</v>
          </cell>
          <cell r="G163" t="str">
            <v>D</v>
          </cell>
          <cell r="H163">
            <v>4785.3600000000006</v>
          </cell>
          <cell r="I163" t="str">
            <v>25/50</v>
          </cell>
          <cell r="K163" t="str">
            <v>WPS-TNHA-S06</v>
          </cell>
          <cell r="L163" t="str">
            <v>ST-01</v>
          </cell>
          <cell r="M163" t="str">
            <v>XUÂN</v>
          </cell>
          <cell r="N163">
            <v>45956</v>
          </cell>
          <cell r="O163" t="str">
            <v>F-061</v>
          </cell>
          <cell r="P163" t="str">
            <v>10/11/2025</v>
          </cell>
          <cell r="Q163" t="str">
            <v>BGT0017;BGT-0014;BGT-0008;GTC-12</v>
          </cell>
          <cell r="R163" t="str">
            <v>THÁI</v>
          </cell>
          <cell r="S163">
            <v>45974</v>
          </cell>
          <cell r="T163" t="str">
            <v>V-071</v>
          </cell>
          <cell r="U163">
            <v>45971</v>
          </cell>
          <cell r="V163" t="str">
            <v>BG-077</v>
          </cell>
          <cell r="Y163" t="str">
            <v>FINISH</v>
          </cell>
          <cell r="Z163" t="str">
            <v>ACC</v>
          </cell>
          <cell r="AA163" t="str">
            <v>ACC</v>
          </cell>
          <cell r="AB163" t="str">
            <v>MT-2211-ST-01-0039</v>
          </cell>
          <cell r="AC163" t="str">
            <v>ACC</v>
          </cell>
          <cell r="AD163" t="str">
            <v>UT-2211-ST-01-0045</v>
          </cell>
          <cell r="AL163" t="str">
            <v>27/11/2025</v>
          </cell>
          <cell r="AM163" t="str">
            <v>IRN-2211-ST-01-0003</v>
          </cell>
          <cell r="AP163" t="str">
            <v>19/11/2025</v>
          </cell>
        </row>
        <row r="164">
          <cell r="A164" t="str">
            <v>9001-2211-DS-0009-01-WM16</v>
          </cell>
          <cell r="B164" t="str">
            <v>9001-2211-DS-0009-01-WM</v>
          </cell>
          <cell r="C164">
            <v>16</v>
          </cell>
          <cell r="E164" t="str">
            <v>DV</v>
          </cell>
          <cell r="F164" t="str">
            <v>100%MT &amp; UT</v>
          </cell>
          <cell r="G164" t="str">
            <v>D</v>
          </cell>
          <cell r="H164">
            <v>4785.3600000000006</v>
          </cell>
          <cell r="I164">
            <v>50</v>
          </cell>
          <cell r="K164" t="str">
            <v>WPS-TNHA-S01</v>
          </cell>
          <cell r="L164" t="str">
            <v>ST-01</v>
          </cell>
          <cell r="M164" t="str">
            <v>THÁI</v>
          </cell>
          <cell r="N164">
            <v>45904</v>
          </cell>
          <cell r="O164" t="str">
            <v>F-005</v>
          </cell>
          <cell r="P164" t="str">
            <v>19h 28/09/2025</v>
          </cell>
          <cell r="Q164" t="str">
            <v>BGT-0018;BGT-0020;GTC-10</v>
          </cell>
          <cell r="R164" t="str">
            <v>HIẾU</v>
          </cell>
          <cell r="S164">
            <v>45931</v>
          </cell>
          <cell r="T164" t="str">
            <v>V-021</v>
          </cell>
          <cell r="U164" t="str">
            <v>27/09/2025</v>
          </cell>
          <cell r="V164" t="str">
            <v>BG-023</v>
          </cell>
          <cell r="Y164" t="str">
            <v>FINISH</v>
          </cell>
          <cell r="Z164" t="str">
            <v>ACC</v>
          </cell>
          <cell r="AA164" t="str">
            <v>ACC</v>
          </cell>
          <cell r="AB164" t="str">
            <v>MT-2211-ST-01-0022</v>
          </cell>
          <cell r="AC164" t="str">
            <v>ACC</v>
          </cell>
          <cell r="AD164" t="str">
            <v>UT-2211-ST-01-0028</v>
          </cell>
          <cell r="AL164" t="str">
            <v>27/11/2025</v>
          </cell>
          <cell r="AM164" t="str">
            <v>IRN-2211-ST-01-0003</v>
          </cell>
          <cell r="AP164" t="str">
            <v>08/10/2025</v>
          </cell>
        </row>
        <row r="165">
          <cell r="A165" t="str">
            <v>9001-2211-DS-0009-01-WM17</v>
          </cell>
          <cell r="B165" t="str">
            <v>9001-2211-DS-0009-01-WM</v>
          </cell>
          <cell r="C165">
            <v>17</v>
          </cell>
          <cell r="E165" t="str">
            <v>DV</v>
          </cell>
          <cell r="F165" t="str">
            <v>100%MT &amp; UT</v>
          </cell>
          <cell r="G165" t="str">
            <v>D</v>
          </cell>
          <cell r="H165">
            <v>4785.3600000000006</v>
          </cell>
          <cell r="I165">
            <v>50</v>
          </cell>
          <cell r="K165" t="str">
            <v>WPS-TNHA-S01</v>
          </cell>
          <cell r="L165" t="str">
            <v>ST-01</v>
          </cell>
          <cell r="M165" t="str">
            <v>THÁI</v>
          </cell>
          <cell r="N165">
            <v>45904</v>
          </cell>
          <cell r="O165" t="str">
            <v>F-005</v>
          </cell>
          <cell r="P165" t="str">
            <v>19h 28/09/2025</v>
          </cell>
          <cell r="Q165" t="str">
            <v>BGT-0018;BGT-0020;GTC-10</v>
          </cell>
          <cell r="R165" t="str">
            <v>HIẾU</v>
          </cell>
          <cell r="S165">
            <v>45931</v>
          </cell>
          <cell r="T165" t="str">
            <v>V-021</v>
          </cell>
          <cell r="U165" t="str">
            <v>27/09/2025</v>
          </cell>
          <cell r="V165" t="str">
            <v>BG-023</v>
          </cell>
          <cell r="Y165" t="str">
            <v>FINISH</v>
          </cell>
          <cell r="Z165" t="str">
            <v>ACC</v>
          </cell>
          <cell r="AA165" t="str">
            <v>ACC</v>
          </cell>
          <cell r="AB165" t="str">
            <v>MT-2211-ST-01-0022</v>
          </cell>
          <cell r="AC165" t="str">
            <v>ACC</v>
          </cell>
          <cell r="AD165" t="str">
            <v>UT-2211-ST-01-0028</v>
          </cell>
          <cell r="AL165" t="str">
            <v>27/11/2025</v>
          </cell>
          <cell r="AM165" t="str">
            <v>IRN-2211-ST-01-0003</v>
          </cell>
          <cell r="AP165" t="str">
            <v>08/10/2025</v>
          </cell>
        </row>
        <row r="166">
          <cell r="A166" t="str">
            <v>9001-2211-DS-0009-01-WM18</v>
          </cell>
          <cell r="B166" t="str">
            <v>9001-2211-DS-0009-01-WM</v>
          </cell>
          <cell r="C166">
            <v>18</v>
          </cell>
          <cell r="E166" t="str">
            <v>DV</v>
          </cell>
          <cell r="F166" t="str">
            <v>100%MT &amp; UT</v>
          </cell>
          <cell r="G166" t="str">
            <v>D</v>
          </cell>
          <cell r="H166">
            <v>4785.3600000000006</v>
          </cell>
          <cell r="I166" t="str">
            <v>30/50</v>
          </cell>
          <cell r="K166" t="str">
            <v>WPS-TNHA-S06</v>
          </cell>
          <cell r="L166" t="str">
            <v>ST-01</v>
          </cell>
          <cell r="M166" t="str">
            <v>TUÂN</v>
          </cell>
          <cell r="N166">
            <v>45975</v>
          </cell>
          <cell r="O166" t="str">
            <v>F-083</v>
          </cell>
          <cell r="P166" t="str">
            <v>15/11/2025</v>
          </cell>
          <cell r="Q166" t="str">
            <v>BGT-0005;BGT-0006;BGT-0018;BGT-0030</v>
          </cell>
          <cell r="R166" t="str">
            <v>THÁI</v>
          </cell>
          <cell r="S166">
            <v>45981</v>
          </cell>
          <cell r="T166" t="str">
            <v>V-085</v>
          </cell>
          <cell r="U166">
            <v>45976</v>
          </cell>
          <cell r="V166" t="str">
            <v>BG-083</v>
          </cell>
          <cell r="Y166" t="str">
            <v>FINISH</v>
          </cell>
          <cell r="Z166" t="str">
            <v>ACC</v>
          </cell>
          <cell r="AA166" t="str">
            <v>ACC</v>
          </cell>
          <cell r="AB166" t="str">
            <v>MT-2211-ST-01-0046</v>
          </cell>
          <cell r="AC166" t="str">
            <v>ACC</v>
          </cell>
          <cell r="AD166" t="str">
            <v>UT-2211-ST-01-0056</v>
          </cell>
          <cell r="AL166" t="str">
            <v>27/11/2025</v>
          </cell>
          <cell r="AM166" t="str">
            <v>IRN-2211-ST-01-0003</v>
          </cell>
          <cell r="AP166" t="str">
            <v>26/11/2025</v>
          </cell>
        </row>
        <row r="167">
          <cell r="A167" t="str">
            <v>9001-2211-DS-0009-01-WM19</v>
          </cell>
          <cell r="B167" t="str">
            <v>9001-2211-DS-0009-01-WM</v>
          </cell>
          <cell r="C167">
            <v>19</v>
          </cell>
          <cell r="E167" t="str">
            <v>DV</v>
          </cell>
          <cell r="F167" t="str">
            <v>100%MT &amp; UT</v>
          </cell>
          <cell r="G167" t="str">
            <v>D</v>
          </cell>
          <cell r="H167">
            <v>4785.3600000000006</v>
          </cell>
          <cell r="I167">
            <v>30</v>
          </cell>
          <cell r="K167" t="str">
            <v>WPS-TNHA-S01</v>
          </cell>
          <cell r="L167" t="str">
            <v>ST-01</v>
          </cell>
          <cell r="M167" t="str">
            <v>BÁCH</v>
          </cell>
          <cell r="N167">
            <v>45898</v>
          </cell>
          <cell r="O167" t="str">
            <v>F-001</v>
          </cell>
          <cell r="P167" t="str">
            <v>8h30 07/09/2025</v>
          </cell>
          <cell r="Q167" t="str">
            <v>BGT-0013;BGT0017;ND08</v>
          </cell>
          <cell r="R167" t="str">
            <v>HIẾU</v>
          </cell>
          <cell r="S167">
            <v>45910</v>
          </cell>
          <cell r="T167" t="str">
            <v>V-003</v>
          </cell>
          <cell r="U167">
            <v>45906</v>
          </cell>
          <cell r="V167" t="str">
            <v>BG-003</v>
          </cell>
          <cell r="Y167" t="str">
            <v>FINISH</v>
          </cell>
          <cell r="Z167" t="str">
            <v>ACC</v>
          </cell>
          <cell r="AA167" t="str">
            <v>ACC</v>
          </cell>
          <cell r="AB167" t="str">
            <v>MT-2211-ST-01-0004</v>
          </cell>
          <cell r="AC167" t="str">
            <v>ACC</v>
          </cell>
          <cell r="AD167" t="str">
            <v>UT-2211-ST-01-0004</v>
          </cell>
          <cell r="AL167" t="str">
            <v>27/11/2025</v>
          </cell>
          <cell r="AM167" t="str">
            <v>IRN-2211-ST-01-0003</v>
          </cell>
          <cell r="AP167" t="str">
            <v>17/09/2025</v>
          </cell>
        </row>
        <row r="168">
          <cell r="A168" t="str">
            <v>9001-2211-DS-0009-01-WM20</v>
          </cell>
          <cell r="B168" t="str">
            <v>9001-2211-DS-0009-01-WM</v>
          </cell>
          <cell r="C168">
            <v>20</v>
          </cell>
          <cell r="E168" t="str">
            <v>DV</v>
          </cell>
          <cell r="F168" t="str">
            <v>100%MT &amp; UT</v>
          </cell>
          <cell r="G168" t="str">
            <v>D</v>
          </cell>
          <cell r="H168">
            <v>4785.3600000000006</v>
          </cell>
          <cell r="I168">
            <v>30</v>
          </cell>
          <cell r="K168" t="str">
            <v>WPS-TNHA-S01</v>
          </cell>
          <cell r="L168" t="str">
            <v>ST-01</v>
          </cell>
          <cell r="M168" t="str">
            <v>BÁCH</v>
          </cell>
          <cell r="N168">
            <v>45898</v>
          </cell>
          <cell r="O168" t="str">
            <v>F-001</v>
          </cell>
          <cell r="P168" t="str">
            <v>17h00 07/09/2025</v>
          </cell>
          <cell r="Q168" t="str">
            <v>BGT-0013;BGT0017;ND18</v>
          </cell>
          <cell r="R168" t="str">
            <v>HIẾU</v>
          </cell>
          <cell r="S168">
            <v>45910</v>
          </cell>
          <cell r="T168" t="str">
            <v>V-003</v>
          </cell>
          <cell r="U168">
            <v>45906</v>
          </cell>
          <cell r="V168" t="str">
            <v>BG-003</v>
          </cell>
          <cell r="Y168" t="str">
            <v>FINISH</v>
          </cell>
          <cell r="Z168" t="str">
            <v>ACC</v>
          </cell>
          <cell r="AA168" t="str">
            <v>ACC</v>
          </cell>
          <cell r="AB168" t="str">
            <v>MT-2211-ST-01-0004</v>
          </cell>
          <cell r="AC168" t="str">
            <v>ACC</v>
          </cell>
          <cell r="AD168" t="str">
            <v>UT-2211-ST-01-0004</v>
          </cell>
          <cell r="AL168" t="str">
            <v>27/11/2025</v>
          </cell>
          <cell r="AM168" t="str">
            <v>IRN-2211-ST-01-0003</v>
          </cell>
          <cell r="AP168" t="str">
            <v>17/09/2025</v>
          </cell>
        </row>
        <row r="169">
          <cell r="A169" t="str">
            <v>9001-2211-DS-0009-01-WM21</v>
          </cell>
          <cell r="B169" t="str">
            <v>9001-2211-DS-0009-01-WM</v>
          </cell>
          <cell r="C169">
            <v>21</v>
          </cell>
          <cell r="E169" t="str">
            <v>DV</v>
          </cell>
          <cell r="F169" t="str">
            <v>100%MT &amp; UT</v>
          </cell>
          <cell r="G169" t="str">
            <v>D</v>
          </cell>
          <cell r="H169">
            <v>4785.3600000000006</v>
          </cell>
          <cell r="I169">
            <v>30</v>
          </cell>
          <cell r="K169" t="str">
            <v>WPS-TNHA-S01</v>
          </cell>
          <cell r="L169" t="str">
            <v>ST-01</v>
          </cell>
          <cell r="M169" t="str">
            <v>BÁCH</v>
          </cell>
          <cell r="N169">
            <v>45898</v>
          </cell>
          <cell r="O169" t="str">
            <v>F-001</v>
          </cell>
          <cell r="P169" t="str">
            <v>10h00 08/09/2025</v>
          </cell>
          <cell r="Q169" t="str">
            <v>BGT-0013;BGT0017;ND08</v>
          </cell>
          <cell r="R169" t="str">
            <v>HIẾU</v>
          </cell>
          <cell r="S169">
            <v>45910</v>
          </cell>
          <cell r="T169" t="str">
            <v>V-002</v>
          </cell>
          <cell r="U169">
            <v>45905</v>
          </cell>
          <cell r="V169" t="str">
            <v>BG-002</v>
          </cell>
          <cell r="Y169" t="str">
            <v>FINISH</v>
          </cell>
          <cell r="Z169" t="str">
            <v>ACC</v>
          </cell>
          <cell r="AA169" t="str">
            <v>ACC</v>
          </cell>
          <cell r="AB169" t="str">
            <v>MT-2211-ST-01-0003</v>
          </cell>
          <cell r="AC169" t="str">
            <v>ACC</v>
          </cell>
          <cell r="AD169" t="str">
            <v>UT-2211-ST-01-0003</v>
          </cell>
          <cell r="AL169" t="str">
            <v>27/11/2025</v>
          </cell>
          <cell r="AM169" t="str">
            <v>IRN-2211-ST-01-0003</v>
          </cell>
          <cell r="AP169" t="str">
            <v>17/09/2025</v>
          </cell>
        </row>
        <row r="170">
          <cell r="A170" t="str">
            <v>9001-2211-DS-0009-01-WM22</v>
          </cell>
          <cell r="B170" t="str">
            <v>9001-2211-DS-0009-01-WM</v>
          </cell>
          <cell r="C170">
            <v>22</v>
          </cell>
          <cell r="E170" t="str">
            <v>DV</v>
          </cell>
          <cell r="F170" t="str">
            <v>100%MT &amp; UT</v>
          </cell>
          <cell r="G170" t="str">
            <v>D</v>
          </cell>
          <cell r="H170">
            <v>4785.3600000000006</v>
          </cell>
          <cell r="I170">
            <v>30</v>
          </cell>
          <cell r="K170" t="str">
            <v>WPS-TNHA-S01</v>
          </cell>
          <cell r="L170" t="str">
            <v>ST-01</v>
          </cell>
          <cell r="M170" t="str">
            <v>BÁCH</v>
          </cell>
          <cell r="N170">
            <v>45898</v>
          </cell>
          <cell r="O170" t="str">
            <v>F-001</v>
          </cell>
          <cell r="P170" t="str">
            <v>13h00 07/09/2025</v>
          </cell>
          <cell r="Q170" t="str">
            <v>BGT-0013;BGT0017;ND08;GTC-10</v>
          </cell>
          <cell r="R170" t="str">
            <v>HIẾU</v>
          </cell>
          <cell r="S170">
            <v>45910</v>
          </cell>
          <cell r="T170" t="str">
            <v>V-002</v>
          </cell>
          <cell r="U170">
            <v>45905</v>
          </cell>
          <cell r="V170" t="str">
            <v>BG-002</v>
          </cell>
          <cell r="Y170" t="str">
            <v>FINISH</v>
          </cell>
          <cell r="Z170" t="str">
            <v>ACC</v>
          </cell>
          <cell r="AA170" t="str">
            <v>ACC</v>
          </cell>
          <cell r="AB170" t="str">
            <v>MT-2211-ST-01-0003</v>
          </cell>
          <cell r="AC170" t="str">
            <v>ACC</v>
          </cell>
          <cell r="AD170" t="str">
            <v>UT-2211-ST-01-0003</v>
          </cell>
          <cell r="AL170" t="str">
            <v>27/11/2025</v>
          </cell>
          <cell r="AM170" t="str">
            <v>IRN-2211-ST-01-0003</v>
          </cell>
          <cell r="AP170" t="str">
            <v>17/09/2025</v>
          </cell>
        </row>
        <row r="171">
          <cell r="A171" t="str">
            <v>9001-2211-DS-0009-01-WM23</v>
          </cell>
          <cell r="B171" t="str">
            <v>9001-2211-DS-0009-01-WM</v>
          </cell>
          <cell r="C171">
            <v>23</v>
          </cell>
          <cell r="E171" t="str">
            <v>SV</v>
          </cell>
          <cell r="F171" t="str">
            <v>100%MT &amp; UT</v>
          </cell>
          <cell r="G171" t="str">
            <v>D</v>
          </cell>
          <cell r="H171">
            <v>4785.3600000000006</v>
          </cell>
          <cell r="I171">
            <v>30</v>
          </cell>
          <cell r="K171" t="str">
            <v>WPS-TNHA-S06</v>
          </cell>
          <cell r="L171" t="str">
            <v>ST-01</v>
          </cell>
          <cell r="M171" t="str">
            <v>BÁCH</v>
          </cell>
          <cell r="N171">
            <v>45984</v>
          </cell>
          <cell r="O171" t="str">
            <v>F-099</v>
          </cell>
          <cell r="P171" t="str">
            <v>23/11/2025</v>
          </cell>
          <cell r="Q171" t="str">
            <v>BGT-0006;GTC-10;GTC-12</v>
          </cell>
          <cell r="R171" t="str">
            <v>THÁI</v>
          </cell>
          <cell r="S171">
            <v>45987</v>
          </cell>
          <cell r="T171" t="str">
            <v>V-094</v>
          </cell>
          <cell r="Y171" t="str">
            <v>FINISH</v>
          </cell>
          <cell r="Z171" t="str">
            <v>ACC</v>
          </cell>
          <cell r="AA171" t="str">
            <v>ACC</v>
          </cell>
          <cell r="AB171" t="str">
            <v>MT-2211-ST-01-0051</v>
          </cell>
          <cell r="AC171" t="str">
            <v>ACC</v>
          </cell>
          <cell r="AD171" t="str">
            <v>UT-2211-ST-01-0061</v>
          </cell>
          <cell r="AL171" t="str">
            <v>27/11/2025</v>
          </cell>
          <cell r="AM171" t="str">
            <v>IRN-2211-ST-01-0003</v>
          </cell>
          <cell r="AP171" t="str">
            <v>2/12/2025</v>
          </cell>
        </row>
        <row r="172">
          <cell r="A172" t="str">
            <v>9001-2211-DS-0009-01-WM24</v>
          </cell>
          <cell r="B172" t="str">
            <v>9001-2211-DS-0009-01-WM</v>
          </cell>
          <cell r="C172">
            <v>24</v>
          </cell>
          <cell r="E172" t="str">
            <v>DV</v>
          </cell>
          <cell r="F172" t="str">
            <v>100%MT &amp; UT</v>
          </cell>
          <cell r="G172" t="str">
            <v>D</v>
          </cell>
          <cell r="H172">
            <v>4785.3600000000006</v>
          </cell>
          <cell r="I172">
            <v>30</v>
          </cell>
          <cell r="K172" t="str">
            <v>WPS-TNHA-S06</v>
          </cell>
          <cell r="L172" t="str">
            <v>ST-01</v>
          </cell>
          <cell r="M172" t="str">
            <v>BÁCH</v>
          </cell>
          <cell r="N172">
            <v>45898</v>
          </cell>
          <cell r="O172" t="str">
            <v>F-001</v>
          </cell>
          <cell r="P172" t="str">
            <v>27/10/2025</v>
          </cell>
          <cell r="Q172" t="str">
            <v>BGT-0008;BGT-0012;GTC-12</v>
          </cell>
          <cell r="R172" t="str">
            <v>HIẾU</v>
          </cell>
          <cell r="S172">
            <v>45960</v>
          </cell>
          <cell r="T172" t="str">
            <v>V-046</v>
          </cell>
          <cell r="U172">
            <v>45957</v>
          </cell>
          <cell r="V172" t="str">
            <v>BG-057</v>
          </cell>
          <cell r="Y172" t="str">
            <v>FINISH</v>
          </cell>
          <cell r="Z172" t="str">
            <v>ACC</v>
          </cell>
          <cell r="AA172" t="str">
            <v>ACC</v>
          </cell>
          <cell r="AB172" t="str">
            <v>MT-2211-ST-01-0033</v>
          </cell>
          <cell r="AC172" t="str">
            <v>ACC</v>
          </cell>
          <cell r="AD172" t="str">
            <v>UT-2211-ST-01-0041</v>
          </cell>
          <cell r="AL172" t="str">
            <v>27/11/2025</v>
          </cell>
          <cell r="AM172" t="str">
            <v>IRN-2211-ST-01-0003</v>
          </cell>
          <cell r="AP172" t="str">
            <v>5/11/2025</v>
          </cell>
        </row>
        <row r="173">
          <cell r="A173" t="str">
            <v>9001-2211-DS-0009-01-WM25</v>
          </cell>
          <cell r="B173" t="str">
            <v>9001-2211-DS-0009-01-WM</v>
          </cell>
          <cell r="C173">
            <v>25</v>
          </cell>
          <cell r="E173" t="str">
            <v>DV</v>
          </cell>
          <cell r="F173" t="str">
            <v>100%MT &amp; UT</v>
          </cell>
          <cell r="G173" t="str">
            <v>D</v>
          </cell>
          <cell r="H173">
            <v>4785.3600000000006</v>
          </cell>
          <cell r="I173" t="str">
            <v>30/35</v>
          </cell>
          <cell r="K173" t="str">
            <v>WPS-TNHA-S06</v>
          </cell>
          <cell r="L173" t="str">
            <v>ST-01</v>
          </cell>
          <cell r="M173" t="str">
            <v xml:space="preserve">HIẾU </v>
          </cell>
          <cell r="N173">
            <v>45962</v>
          </cell>
          <cell r="O173" t="str">
            <v>F-070</v>
          </cell>
          <cell r="P173" t="str">
            <v>08/11/2025</v>
          </cell>
          <cell r="Q173" t="str">
            <v>BGT0017;GTC-07;BGT-0006</v>
          </cell>
          <cell r="R173" t="str">
            <v>THÁI</v>
          </cell>
          <cell r="S173">
            <v>45975</v>
          </cell>
          <cell r="T173" t="str">
            <v>V-073</v>
          </cell>
          <cell r="U173">
            <v>45964</v>
          </cell>
          <cell r="V173" t="str">
            <v>BG-070</v>
          </cell>
          <cell r="Y173" t="str">
            <v>FINISH</v>
          </cell>
          <cell r="Z173" t="str">
            <v>ACC</v>
          </cell>
          <cell r="AA173" t="str">
            <v>ACC</v>
          </cell>
          <cell r="AB173" t="str">
            <v>MT-2211-ST-01-0040</v>
          </cell>
          <cell r="AC173" t="str">
            <v>ACC</v>
          </cell>
          <cell r="AD173" t="str">
            <v>UT-2211-ST-01-0048</v>
          </cell>
          <cell r="AL173" t="str">
            <v>27/11/2025</v>
          </cell>
          <cell r="AM173" t="str">
            <v>IRN-2211-ST-01-0003</v>
          </cell>
          <cell r="AP173" t="str">
            <v>19/11/2025</v>
          </cell>
        </row>
        <row r="174">
          <cell r="A174" t="str">
            <v>9001-2211-DS-0009-01-WM26</v>
          </cell>
          <cell r="B174" t="str">
            <v>9001-2211-DS-0009-01-WM</v>
          </cell>
          <cell r="C174">
            <v>26</v>
          </cell>
          <cell r="E174" t="str">
            <v>DV</v>
          </cell>
          <cell r="F174" t="str">
            <v>100%MT &amp; UT</v>
          </cell>
          <cell r="G174" t="str">
            <v>D</v>
          </cell>
          <cell r="H174">
            <v>5981.7</v>
          </cell>
          <cell r="I174" t="str">
            <v>35/65</v>
          </cell>
          <cell r="K174" t="str">
            <v>WPS-TNHA-S06</v>
          </cell>
          <cell r="L174" t="str">
            <v>ST-01</v>
          </cell>
          <cell r="M174" t="str">
            <v xml:space="preserve">HIẾU </v>
          </cell>
          <cell r="N174">
            <v>45962</v>
          </cell>
          <cell r="O174" t="str">
            <v>F-070</v>
          </cell>
          <cell r="P174" t="str">
            <v>08/11/2025</v>
          </cell>
          <cell r="Q174" t="str">
            <v>BGT0017;GTC-07;BGT-0006</v>
          </cell>
          <cell r="R174" t="str">
            <v>THÁI</v>
          </cell>
          <cell r="S174">
            <v>45975</v>
          </cell>
          <cell r="T174" t="str">
            <v>V-073</v>
          </cell>
          <cell r="U174">
            <v>45964</v>
          </cell>
          <cell r="V174" t="str">
            <v>BG-070</v>
          </cell>
          <cell r="Y174" t="str">
            <v>FINISH</v>
          </cell>
          <cell r="Z174" t="str">
            <v>ACC</v>
          </cell>
          <cell r="AA174" t="str">
            <v>ACC</v>
          </cell>
          <cell r="AB174" t="str">
            <v>MT-2211-ST-01-0040</v>
          </cell>
          <cell r="AC174" t="str">
            <v>ACC</v>
          </cell>
          <cell r="AD174" t="str">
            <v>UT-2211-ST-01-0046</v>
          </cell>
          <cell r="AL174" t="str">
            <v>27/11/2025</v>
          </cell>
          <cell r="AM174" t="str">
            <v>IRN-2211-ST-01-0003</v>
          </cell>
          <cell r="AP174" t="str">
            <v>19/11/2025</v>
          </cell>
        </row>
        <row r="175">
          <cell r="A175" t="str">
            <v>9001-2211-DS-0009-01-WM27</v>
          </cell>
          <cell r="B175" t="str">
            <v>9001-2211-DS-0009-01-WM</v>
          </cell>
          <cell r="C175">
            <v>27</v>
          </cell>
          <cell r="E175" t="str">
            <v>DV</v>
          </cell>
          <cell r="F175" t="str">
            <v>100%MT&amp;UT</v>
          </cell>
          <cell r="G175" t="str">
            <v>D</v>
          </cell>
          <cell r="H175">
            <v>5981.7</v>
          </cell>
          <cell r="I175">
            <v>65</v>
          </cell>
          <cell r="K175" t="str">
            <v>WPS-TNHA-S03</v>
          </cell>
          <cell r="L175" t="str">
            <v>ST-01</v>
          </cell>
          <cell r="M175" t="str">
            <v xml:space="preserve">HIẾU </v>
          </cell>
          <cell r="N175">
            <v>45909</v>
          </cell>
          <cell r="O175" t="str">
            <v>F-010</v>
          </cell>
          <cell r="P175" t="str">
            <v>20h 24/09/2025</v>
          </cell>
          <cell r="Q175" t="str">
            <v>BGT-0015;BGT-0016;GTC-10</v>
          </cell>
          <cell r="R175" t="str">
            <v>BÁCH</v>
          </cell>
          <cell r="S175">
            <v>45929</v>
          </cell>
          <cell r="T175" t="str">
            <v>V-020</v>
          </cell>
          <cell r="U175">
            <v>45924</v>
          </cell>
          <cell r="V175" t="str">
            <v>BG-021</v>
          </cell>
          <cell r="Y175" t="str">
            <v>FINISH</v>
          </cell>
          <cell r="Z175" t="str">
            <v>ACC</v>
          </cell>
          <cell r="AA175" t="str">
            <v>ACC</v>
          </cell>
          <cell r="AB175" t="str">
            <v>MT-2211-ST-01-0021</v>
          </cell>
          <cell r="AC175" t="str">
            <v>ACC</v>
          </cell>
          <cell r="AD175" t="str">
            <v>UT-2211-ST-01-0027</v>
          </cell>
          <cell r="AL175" t="str">
            <v>27/11/2025</v>
          </cell>
          <cell r="AM175" t="str">
            <v>IRN-2211-ST-01-0003</v>
          </cell>
          <cell r="AP175" t="str">
            <v>01/10/2025</v>
          </cell>
        </row>
        <row r="176">
          <cell r="A176" t="str">
            <v>9001-2211-DS-0009-01-WM28</v>
          </cell>
          <cell r="B176" t="str">
            <v>9001-2211-DS-0009-01-WM</v>
          </cell>
          <cell r="C176">
            <v>28</v>
          </cell>
          <cell r="E176" t="str">
            <v>DV</v>
          </cell>
          <cell r="F176" t="str">
            <v>100%MT &amp; UT</v>
          </cell>
          <cell r="G176" t="str">
            <v>D</v>
          </cell>
          <cell r="H176">
            <v>5981.7</v>
          </cell>
          <cell r="I176">
            <v>65</v>
          </cell>
          <cell r="K176" t="str">
            <v>WPS-TNHA-S03</v>
          </cell>
          <cell r="L176" t="str">
            <v>ST-01</v>
          </cell>
          <cell r="M176" t="str">
            <v xml:space="preserve">HIẾU </v>
          </cell>
          <cell r="N176">
            <v>45909</v>
          </cell>
          <cell r="O176" t="str">
            <v>F-010</v>
          </cell>
          <cell r="P176" t="str">
            <v>20H 24/09/2025</v>
          </cell>
          <cell r="Q176" t="str">
            <v>BGT-0008;BGT-0012;GTC-10</v>
          </cell>
          <cell r="R176" t="str">
            <v>BÁCH</v>
          </cell>
          <cell r="S176">
            <v>45929</v>
          </cell>
          <cell r="T176" t="str">
            <v>V-019</v>
          </cell>
          <cell r="U176">
            <v>45922</v>
          </cell>
          <cell r="V176" t="str">
            <v>BG-019</v>
          </cell>
          <cell r="Y176" t="str">
            <v>REJ</v>
          </cell>
          <cell r="Z176" t="str">
            <v>REJ</v>
          </cell>
          <cell r="AA176" t="str">
            <v>ACC</v>
          </cell>
          <cell r="AB176" t="str">
            <v>MT-2211-ST-01-0020</v>
          </cell>
          <cell r="AC176" t="str">
            <v>REJ</v>
          </cell>
          <cell r="AD176" t="str">
            <v>UT-2211-ST-01-0025</v>
          </cell>
          <cell r="AH176">
            <v>65</v>
          </cell>
          <cell r="AL176" t="str">
            <v>27/11/2025</v>
          </cell>
          <cell r="AM176" t="str">
            <v>IRN-2211-ST-01-0003</v>
          </cell>
          <cell r="AP176" t="str">
            <v>01/10/2025</v>
          </cell>
        </row>
        <row r="177">
          <cell r="A177" t="str">
            <v>9001-2211-DS-0009-01-WM28R1</v>
          </cell>
          <cell r="B177" t="str">
            <v>9001-2211-DS-0009-01-WM</v>
          </cell>
          <cell r="C177" t="str">
            <v>28R1</v>
          </cell>
          <cell r="E177" t="str">
            <v>DV</v>
          </cell>
          <cell r="F177" t="str">
            <v>100%MT &amp; UT</v>
          </cell>
          <cell r="G177" t="str">
            <v>L</v>
          </cell>
          <cell r="H177">
            <v>365</v>
          </cell>
          <cell r="I177">
            <v>65</v>
          </cell>
          <cell r="K177" t="str">
            <v>WPS-TNHA-S04</v>
          </cell>
          <cell r="L177" t="str">
            <v>ST-01</v>
          </cell>
          <cell r="M177" t="str">
            <v>NA</v>
          </cell>
          <cell r="N177" t="str">
            <v>NA</v>
          </cell>
          <cell r="O177" t="str">
            <v>NA</v>
          </cell>
          <cell r="P177" t="str">
            <v>13h 02/10/2025</v>
          </cell>
          <cell r="Q177" t="str">
            <v>BGT0019</v>
          </cell>
          <cell r="R177" t="str">
            <v>HIẾU</v>
          </cell>
          <cell r="S177">
            <v>45933</v>
          </cell>
          <cell r="T177" t="str">
            <v>V-023</v>
          </cell>
          <cell r="U177">
            <v>45932</v>
          </cell>
          <cell r="V177" t="str">
            <v>BG-028</v>
          </cell>
          <cell r="Y177" t="str">
            <v>FINISH</v>
          </cell>
          <cell r="Z177" t="str">
            <v>ACC</v>
          </cell>
          <cell r="AA177" t="str">
            <v>ACC</v>
          </cell>
          <cell r="AB177" t="str">
            <v>MT-2211-ST-01-0020R1</v>
          </cell>
          <cell r="AC177" t="str">
            <v>ACC</v>
          </cell>
          <cell r="AD177" t="str">
            <v>UT-2211-ST-01-0025R1</v>
          </cell>
          <cell r="AI177">
            <v>165</v>
          </cell>
          <cell r="AL177" t="str">
            <v>27/11/2025</v>
          </cell>
          <cell r="AM177" t="str">
            <v>IRN-2211-ST-01-0003</v>
          </cell>
          <cell r="AP177" t="str">
            <v>08/10/2025</v>
          </cell>
        </row>
        <row r="178">
          <cell r="A178" t="str">
            <v>9001-2211-DS-0009-01-WM29</v>
          </cell>
          <cell r="B178" t="str">
            <v>9001-2211-DS-0009-01-WM</v>
          </cell>
          <cell r="C178">
            <v>29</v>
          </cell>
          <cell r="E178" t="str">
            <v>DV</v>
          </cell>
          <cell r="F178" t="str">
            <v>100%MT &amp; UT</v>
          </cell>
          <cell r="G178" t="str">
            <v>D</v>
          </cell>
          <cell r="H178">
            <v>5981.7</v>
          </cell>
          <cell r="I178">
            <v>65</v>
          </cell>
          <cell r="K178" t="str">
            <v>WPS-TNHA-S03</v>
          </cell>
          <cell r="L178" t="str">
            <v>ST-01</v>
          </cell>
          <cell r="M178" t="str">
            <v xml:space="preserve">HIẾU </v>
          </cell>
          <cell r="N178">
            <v>45909</v>
          </cell>
          <cell r="O178" t="str">
            <v>F-010</v>
          </cell>
          <cell r="P178" t="str">
            <v>20H 24/09/2025</v>
          </cell>
          <cell r="Q178" t="str">
            <v>BGT-0014;BGT0017;GTC-10</v>
          </cell>
          <cell r="R178" t="str">
            <v>BÁCH</v>
          </cell>
          <cell r="S178">
            <v>45929</v>
          </cell>
          <cell r="T178" t="str">
            <v>V-019</v>
          </cell>
          <cell r="U178">
            <v>45924</v>
          </cell>
          <cell r="V178" t="str">
            <v>BG-022</v>
          </cell>
          <cell r="Y178" t="str">
            <v>FINISH</v>
          </cell>
          <cell r="Z178" t="str">
            <v>ACC</v>
          </cell>
          <cell r="AA178" t="str">
            <v>ACC</v>
          </cell>
          <cell r="AB178" t="str">
            <v>MT-2211-ST-01-0020</v>
          </cell>
          <cell r="AC178" t="str">
            <v>ACC</v>
          </cell>
          <cell r="AD178" t="str">
            <v>UT-2211-ST-01-0026</v>
          </cell>
          <cell r="AL178" t="str">
            <v>27/11/2025</v>
          </cell>
          <cell r="AM178" t="str">
            <v>IRN-2211-ST-01-0003</v>
          </cell>
          <cell r="AP178" t="str">
            <v>01/10/2025</v>
          </cell>
        </row>
        <row r="179">
          <cell r="A179" t="str">
            <v>9001-2211-DS-0009-01-WM30</v>
          </cell>
          <cell r="B179" t="str">
            <v>9001-2211-DS-0009-01-WM</v>
          </cell>
          <cell r="C179">
            <v>30</v>
          </cell>
          <cell r="E179" t="str">
            <v>DV</v>
          </cell>
          <cell r="F179" t="str">
            <v>100%MT &amp; UT</v>
          </cell>
          <cell r="G179" t="str">
            <v>D</v>
          </cell>
          <cell r="H179">
            <v>5981.7</v>
          </cell>
          <cell r="I179" t="str">
            <v>35/65</v>
          </cell>
          <cell r="K179" t="str">
            <v>WPS-TNHA-S01</v>
          </cell>
          <cell r="L179" t="str">
            <v>ST-01</v>
          </cell>
          <cell r="M179" t="str">
            <v>BÁCH</v>
          </cell>
          <cell r="N179">
            <v>45934</v>
          </cell>
          <cell r="O179" t="str">
            <v>F-033</v>
          </cell>
          <cell r="P179" t="str">
            <v>08/11/2025</v>
          </cell>
          <cell r="Q179" t="str">
            <v>BGT-0002;BGT-0037;GTC-10</v>
          </cell>
          <cell r="R179" t="str">
            <v>THÁI</v>
          </cell>
          <cell r="S179">
            <v>45975</v>
          </cell>
          <cell r="T179" t="str">
            <v>V-073</v>
          </cell>
          <cell r="U179">
            <v>45968</v>
          </cell>
          <cell r="V179" t="str">
            <v>BG-075</v>
          </cell>
          <cell r="Y179" t="str">
            <v>FINISH</v>
          </cell>
          <cell r="Z179" t="str">
            <v>ACC</v>
          </cell>
          <cell r="AA179" t="str">
            <v>ACC</v>
          </cell>
          <cell r="AB179" t="str">
            <v>MT-2211-ST-01-0040</v>
          </cell>
          <cell r="AC179" t="str">
            <v>ACC</v>
          </cell>
          <cell r="AD179" t="str">
            <v>UT-2211-ST-01-0046</v>
          </cell>
          <cell r="AL179" t="str">
            <v>27/11/2025</v>
          </cell>
          <cell r="AM179" t="str">
            <v>IRN-2211-ST-01-0003</v>
          </cell>
          <cell r="AP179" t="str">
            <v>19/11/2025</v>
          </cell>
        </row>
        <row r="180">
          <cell r="A180" t="str">
            <v>9001-2211-DS-0009-01-WM31</v>
          </cell>
          <cell r="B180" t="str">
            <v>9001-2211-DS-0009-01-WM</v>
          </cell>
          <cell r="C180">
            <v>31</v>
          </cell>
          <cell r="E180" t="str">
            <v>DV</v>
          </cell>
          <cell r="F180" t="str">
            <v>100%MT &amp; UT</v>
          </cell>
          <cell r="G180" t="str">
            <v>D</v>
          </cell>
          <cell r="H180">
            <v>5981.7</v>
          </cell>
          <cell r="I180">
            <v>35</v>
          </cell>
          <cell r="K180" t="str">
            <v>WPS-TNHA-S01</v>
          </cell>
          <cell r="L180" t="str">
            <v>ST-01</v>
          </cell>
          <cell r="M180" t="str">
            <v>BÁCH</v>
          </cell>
          <cell r="N180">
            <v>45899</v>
          </cell>
          <cell r="O180" t="str">
            <v>F-002</v>
          </cell>
          <cell r="P180" t="str">
            <v>13h 28/9/2025</v>
          </cell>
          <cell r="Q180" t="str">
            <v>BGT0017;BGT0019;ND08</v>
          </cell>
          <cell r="R180" t="str">
            <v>HIẾU</v>
          </cell>
          <cell r="S180">
            <v>45932</v>
          </cell>
          <cell r="T180" t="str">
            <v>V-022</v>
          </cell>
          <cell r="U180" t="str">
            <v>27/09/2025</v>
          </cell>
          <cell r="V180" t="str">
            <v>BG-024</v>
          </cell>
          <cell r="Y180" t="str">
            <v>FINISH</v>
          </cell>
          <cell r="Z180" t="str">
            <v>ACC</v>
          </cell>
          <cell r="AA180" t="str">
            <v>ACC</v>
          </cell>
          <cell r="AB180" t="str">
            <v>MT-2211-ST-01-0023</v>
          </cell>
          <cell r="AC180" t="str">
            <v>ACC</v>
          </cell>
          <cell r="AD180" t="str">
            <v>UT-2211-ST-01-0029</v>
          </cell>
          <cell r="AL180" t="str">
            <v>27/11/2025</v>
          </cell>
          <cell r="AM180" t="str">
            <v>IRN-2211-ST-01-0003</v>
          </cell>
          <cell r="AP180" t="str">
            <v>08/10/2025</v>
          </cell>
        </row>
        <row r="181">
          <cell r="A181" t="str">
            <v>9001-2211-DS-0009-01-WM32</v>
          </cell>
          <cell r="B181" t="str">
            <v>9001-2211-DS-0009-01-WM</v>
          </cell>
          <cell r="C181">
            <v>32</v>
          </cell>
          <cell r="E181" t="str">
            <v>DV</v>
          </cell>
          <cell r="F181" t="str">
            <v>100%MT &amp; UT</v>
          </cell>
          <cell r="G181" t="str">
            <v>D</v>
          </cell>
          <cell r="H181">
            <v>5981.7</v>
          </cell>
          <cell r="I181">
            <v>35</v>
          </cell>
          <cell r="K181" t="str">
            <v>WPS-TNHA-S01</v>
          </cell>
          <cell r="L181" t="str">
            <v>ST-01</v>
          </cell>
          <cell r="M181" t="str">
            <v>BÁCH</v>
          </cell>
          <cell r="N181">
            <v>45899</v>
          </cell>
          <cell r="O181" t="str">
            <v>F-002</v>
          </cell>
          <cell r="P181" t="str">
            <v>13h 28/9/2025</v>
          </cell>
          <cell r="Q181" t="str">
            <v>BGT0017;BGT0019;ND08</v>
          </cell>
          <cell r="R181" t="str">
            <v>HIẾU</v>
          </cell>
          <cell r="S181">
            <v>45932</v>
          </cell>
          <cell r="T181" t="str">
            <v>V-022</v>
          </cell>
          <cell r="U181" t="str">
            <v>27/09/2025</v>
          </cell>
          <cell r="V181" t="str">
            <v>BG-024</v>
          </cell>
          <cell r="Y181" t="str">
            <v>FINISH</v>
          </cell>
          <cell r="Z181" t="str">
            <v>ACC</v>
          </cell>
          <cell r="AA181" t="str">
            <v>ACC</v>
          </cell>
          <cell r="AB181" t="str">
            <v>MT-2211-ST-01-0023</v>
          </cell>
          <cell r="AC181" t="str">
            <v>ACC</v>
          </cell>
          <cell r="AD181" t="str">
            <v>UT-2211-ST-01-0029</v>
          </cell>
          <cell r="AL181" t="str">
            <v>27/11/2025</v>
          </cell>
          <cell r="AM181" t="str">
            <v>IRN-2211-ST-01-0003</v>
          </cell>
          <cell r="AP181" t="str">
            <v>08/10/2025</v>
          </cell>
        </row>
        <row r="182">
          <cell r="A182" t="str">
            <v>9001-2211-DS-0009-01-WM33</v>
          </cell>
          <cell r="B182" t="str">
            <v>9001-2211-DS-0009-01-WM</v>
          </cell>
          <cell r="C182">
            <v>33</v>
          </cell>
          <cell r="E182" t="str">
            <v>DV</v>
          </cell>
          <cell r="F182" t="str">
            <v>100%MT &amp; UT</v>
          </cell>
          <cell r="G182" t="str">
            <v>D</v>
          </cell>
          <cell r="H182">
            <v>5981.7</v>
          </cell>
          <cell r="I182">
            <v>35</v>
          </cell>
          <cell r="K182" t="str">
            <v>WPS-TNHA-S01</v>
          </cell>
          <cell r="L182" t="str">
            <v>ST-01</v>
          </cell>
          <cell r="M182" t="str">
            <v>BÁCH</v>
          </cell>
          <cell r="N182">
            <v>45899</v>
          </cell>
          <cell r="O182" t="str">
            <v>F-002</v>
          </cell>
          <cell r="P182" t="str">
            <v>13h 28/9/2025</v>
          </cell>
          <cell r="Q182" t="str">
            <v>BGT-0008;BGT-0012;ND08</v>
          </cell>
          <cell r="R182" t="str">
            <v>HIẾU</v>
          </cell>
          <cell r="S182">
            <v>45932</v>
          </cell>
          <cell r="T182" t="str">
            <v>V-022</v>
          </cell>
          <cell r="U182" t="str">
            <v>27/09/2025</v>
          </cell>
          <cell r="V182" t="str">
            <v>BG-023</v>
          </cell>
          <cell r="Y182" t="str">
            <v>FINISH</v>
          </cell>
          <cell r="Z182" t="str">
            <v>ACC</v>
          </cell>
          <cell r="AA182" t="str">
            <v>ACC</v>
          </cell>
          <cell r="AB182" t="str">
            <v>MT-2211-ST-01-0023</v>
          </cell>
          <cell r="AC182" t="str">
            <v>ACC</v>
          </cell>
          <cell r="AD182" t="str">
            <v>UT-2211-ST-01-0029</v>
          </cell>
          <cell r="AL182" t="str">
            <v>27/11/2025</v>
          </cell>
          <cell r="AM182" t="str">
            <v>IRN-2211-ST-01-0003</v>
          </cell>
          <cell r="AP182" t="str">
            <v>08/10/2025</v>
          </cell>
        </row>
        <row r="183">
          <cell r="A183" t="str">
            <v>9001-2211-DS-0009-01-WM34</v>
          </cell>
          <cell r="B183" t="str">
            <v>9001-2211-DS-0009-01-WM</v>
          </cell>
          <cell r="C183">
            <v>34</v>
          </cell>
          <cell r="E183" t="str">
            <v>DV</v>
          </cell>
          <cell r="F183" t="str">
            <v>100%MT &amp; UT</v>
          </cell>
          <cell r="G183" t="str">
            <v>D</v>
          </cell>
          <cell r="H183">
            <v>5981.7</v>
          </cell>
          <cell r="I183" t="str">
            <v>35/65</v>
          </cell>
          <cell r="K183" t="str">
            <v>WPS-TNHA-S01</v>
          </cell>
          <cell r="L183" t="str">
            <v>ST-01</v>
          </cell>
          <cell r="M183" t="str">
            <v>BÁCH</v>
          </cell>
          <cell r="N183">
            <v>45934</v>
          </cell>
          <cell r="O183" t="str">
            <v>F-033</v>
          </cell>
          <cell r="P183" t="str">
            <v>08/11/2025</v>
          </cell>
          <cell r="Q183" t="str">
            <v>BGT-0018;BGT-0022;GTC-10</v>
          </cell>
          <cell r="R183" t="str">
            <v>THÁI</v>
          </cell>
          <cell r="S183">
            <v>45975</v>
          </cell>
          <cell r="T183" t="str">
            <v>V-073</v>
          </cell>
          <cell r="U183">
            <v>45968</v>
          </cell>
          <cell r="V183" t="str">
            <v>BG-075</v>
          </cell>
          <cell r="Y183" t="str">
            <v>FINISH</v>
          </cell>
          <cell r="Z183" t="str">
            <v>ACC</v>
          </cell>
          <cell r="AA183" t="str">
            <v>ACC</v>
          </cell>
          <cell r="AB183" t="str">
            <v>MT-2211-ST-01-0040</v>
          </cell>
          <cell r="AC183" t="str">
            <v>ACC</v>
          </cell>
          <cell r="AD183" t="str">
            <v>UT-2211-ST-01-0047</v>
          </cell>
          <cell r="AL183" t="str">
            <v>27/11/2025</v>
          </cell>
          <cell r="AM183" t="str">
            <v>IRN-2211-ST-01-0003</v>
          </cell>
          <cell r="AP183" t="str">
            <v>19/11/2025</v>
          </cell>
        </row>
        <row r="184">
          <cell r="A184" t="str">
            <v>9001-2211-DS-0009-01-WM35</v>
          </cell>
          <cell r="B184" t="str">
            <v>9001-2211-DS-0009-01-WM</v>
          </cell>
          <cell r="C184">
            <v>35</v>
          </cell>
          <cell r="E184" t="str">
            <v>DV</v>
          </cell>
          <cell r="F184" t="str">
            <v>100%MT &amp; UT</v>
          </cell>
          <cell r="G184" t="str">
            <v>D</v>
          </cell>
          <cell r="H184">
            <v>5981.7</v>
          </cell>
          <cell r="I184">
            <v>65</v>
          </cell>
          <cell r="K184" t="str">
            <v>WPS-TNHA-S03</v>
          </cell>
          <cell r="L184" t="str">
            <v>ST-01</v>
          </cell>
          <cell r="M184" t="str">
            <v xml:space="preserve">HIẾU </v>
          </cell>
          <cell r="N184">
            <v>45908</v>
          </cell>
          <cell r="O184" t="str">
            <v>F-009</v>
          </cell>
          <cell r="P184" t="str">
            <v>8/11/2025</v>
          </cell>
          <cell r="Q184" t="str">
            <v>BGT-0018;BGT-0020;ND08</v>
          </cell>
          <cell r="R184" t="str">
            <v>TUÂN</v>
          </cell>
          <cell r="S184">
            <v>45974</v>
          </cell>
          <cell r="T184" t="str">
            <v>V-070</v>
          </cell>
          <cell r="U184">
            <v>45969</v>
          </cell>
          <cell r="V184" t="str">
            <v>BG-076</v>
          </cell>
          <cell r="Y184" t="str">
            <v>FINISH</v>
          </cell>
          <cell r="Z184" t="str">
            <v>ACC</v>
          </cell>
          <cell r="AA184" t="str">
            <v>ACC</v>
          </cell>
          <cell r="AB184" t="str">
            <v>MT-2211-ST-01-0038</v>
          </cell>
          <cell r="AC184" t="str">
            <v>ACC</v>
          </cell>
          <cell r="AD184" t="str">
            <v>UT-2211-ST-01-0044</v>
          </cell>
          <cell r="AL184" t="str">
            <v>27/11/2025</v>
          </cell>
          <cell r="AM184" t="str">
            <v>IRN-2211-ST-01-0003</v>
          </cell>
          <cell r="AP184" t="str">
            <v>19/11/2025</v>
          </cell>
        </row>
        <row r="185">
          <cell r="A185" t="str">
            <v>9001-2211-DS-0009-01-WM36</v>
          </cell>
          <cell r="B185" t="str">
            <v>9001-2211-DS-0009-01-WM</v>
          </cell>
          <cell r="C185">
            <v>36</v>
          </cell>
          <cell r="F185" t="str">
            <v>100%MT &amp; UT</v>
          </cell>
          <cell r="G185" t="str">
            <v>D</v>
          </cell>
          <cell r="H185">
            <v>5981.7</v>
          </cell>
          <cell r="I185" t="str">
            <v>40/65</v>
          </cell>
          <cell r="K185" t="str">
            <v>WPS-TNHA-S01</v>
          </cell>
          <cell r="L185" t="str">
            <v>ST-01</v>
          </cell>
          <cell r="Q185" t="str">
            <v>DELETE</v>
          </cell>
          <cell r="Y185" t="str">
            <v>DELETE</v>
          </cell>
        </row>
        <row r="186">
          <cell r="A186" t="str">
            <v>9001-2211-DS-0009-01-WM37</v>
          </cell>
          <cell r="B186" t="str">
            <v>9001-2211-DS-0009-01-WM</v>
          </cell>
          <cell r="C186">
            <v>37</v>
          </cell>
          <cell r="E186" t="str">
            <v>SB</v>
          </cell>
          <cell r="F186" t="str">
            <v>100%MT &amp; UT</v>
          </cell>
          <cell r="G186" t="str">
            <v>D</v>
          </cell>
          <cell r="H186">
            <v>2232.54</v>
          </cell>
          <cell r="I186">
            <v>20</v>
          </cell>
          <cell r="K186" t="str">
            <v>WPS-TNHA-S07</v>
          </cell>
          <cell r="L186" t="str">
            <v>ST-01</v>
          </cell>
          <cell r="M186" t="str">
            <v>HIẾU</v>
          </cell>
          <cell r="N186">
            <v>46009</v>
          </cell>
          <cell r="O186" t="str">
            <v>F-140</v>
          </cell>
          <cell r="Y186" t="str">
            <v>NOT YET VISUAL</v>
          </cell>
        </row>
        <row r="187">
          <cell r="A187" t="str">
            <v>9001-2211-DS-0009-01-WM38</v>
          </cell>
          <cell r="B187" t="str">
            <v>9001-2211-DS-0009-01-WM</v>
          </cell>
          <cell r="C187">
            <v>38</v>
          </cell>
          <cell r="E187" t="str">
            <v>SB</v>
          </cell>
          <cell r="F187" t="str">
            <v>100%MT &amp; UT</v>
          </cell>
          <cell r="G187" t="str">
            <v>D</v>
          </cell>
          <cell r="H187">
            <v>2232.54</v>
          </cell>
          <cell r="I187">
            <v>20</v>
          </cell>
          <cell r="K187" t="str">
            <v>WPS-TNHA-S07</v>
          </cell>
          <cell r="L187" t="str">
            <v>ST-01</v>
          </cell>
          <cell r="M187" t="str">
            <v xml:space="preserve">HIẾU </v>
          </cell>
          <cell r="N187">
            <v>46007</v>
          </cell>
          <cell r="O187" t="str">
            <v>F-135</v>
          </cell>
          <cell r="Y187" t="str">
            <v>NOT YET VISUAL</v>
          </cell>
        </row>
        <row r="188">
          <cell r="A188" t="str">
            <v>9001-2211-DS-0009-01-WM39</v>
          </cell>
          <cell r="B188" t="str">
            <v>9001-2211-DS-0009-01-WM</v>
          </cell>
          <cell r="C188">
            <v>39</v>
          </cell>
          <cell r="E188" t="str">
            <v>SB</v>
          </cell>
          <cell r="F188" t="str">
            <v>100%MT &amp; UT</v>
          </cell>
          <cell r="G188" t="str">
            <v>D</v>
          </cell>
          <cell r="H188">
            <v>2232.54</v>
          </cell>
          <cell r="I188">
            <v>20</v>
          </cell>
          <cell r="K188" t="str">
            <v>WPS-TNHA-S07</v>
          </cell>
          <cell r="L188" t="str">
            <v>ST-01</v>
          </cell>
          <cell r="M188" t="str">
            <v>HIẾU</v>
          </cell>
          <cell r="N188">
            <v>46009</v>
          </cell>
          <cell r="O188" t="str">
            <v>F-140</v>
          </cell>
          <cell r="Y188" t="str">
            <v>NOT YET VISUAL</v>
          </cell>
        </row>
        <row r="189">
          <cell r="A189" t="str">
            <v>9001-2211-DS-0009-01-WM40</v>
          </cell>
          <cell r="B189" t="str">
            <v>9001-2211-DS-0009-01-WM</v>
          </cell>
          <cell r="C189">
            <v>40</v>
          </cell>
          <cell r="E189" t="str">
            <v>SV</v>
          </cell>
          <cell r="F189" t="str">
            <v>100%MT &amp; UT</v>
          </cell>
          <cell r="G189" t="str">
            <v>D</v>
          </cell>
          <cell r="H189">
            <v>2232.54</v>
          </cell>
          <cell r="I189" t="str">
            <v>20/35</v>
          </cell>
          <cell r="K189" t="str">
            <v>WPS-TNHA-S06</v>
          </cell>
          <cell r="L189" t="str">
            <v>ST-01</v>
          </cell>
          <cell r="M189" t="str">
            <v xml:space="preserve">HIẾU </v>
          </cell>
          <cell r="N189">
            <v>45945</v>
          </cell>
          <cell r="O189" t="str">
            <v>F-046</v>
          </cell>
          <cell r="P189" t="str">
            <v>15/10/2025</v>
          </cell>
          <cell r="Q189" t="str">
            <v>BGT-0032;BGT-0036</v>
          </cell>
          <cell r="R189" t="str">
            <v>TUÂN</v>
          </cell>
          <cell r="S189">
            <v>45949</v>
          </cell>
          <cell r="T189" t="str">
            <v>V-036</v>
          </cell>
          <cell r="Y189" t="str">
            <v>FINISH</v>
          </cell>
          <cell r="Z189" t="str">
            <v>ACC</v>
          </cell>
          <cell r="AA189" t="str">
            <v>ACC</v>
          </cell>
          <cell r="AB189" t="str">
            <v>MT-2211-ST-01-0030</v>
          </cell>
          <cell r="AC189" t="str">
            <v>ACC</v>
          </cell>
          <cell r="AD189" t="str">
            <v>UT-2211-ST-01-0037</v>
          </cell>
          <cell r="AL189" t="str">
            <v>31/10/2025</v>
          </cell>
          <cell r="AM189" t="str">
            <v>IRN-2211-ST-01-0001</v>
          </cell>
          <cell r="AP189" t="str">
            <v>22/10/2025</v>
          </cell>
        </row>
        <row r="190">
          <cell r="A190" t="str">
            <v>9001-2211-DS-0009-01-WM41</v>
          </cell>
          <cell r="B190" t="str">
            <v>9001-2211-DS-0009-01-WM</v>
          </cell>
          <cell r="C190">
            <v>41</v>
          </cell>
          <cell r="E190" t="str">
            <v>SB</v>
          </cell>
          <cell r="F190" t="str">
            <v>100%MT &amp; UT</v>
          </cell>
          <cell r="G190" t="str">
            <v>D</v>
          </cell>
          <cell r="H190">
            <v>2232.54</v>
          </cell>
          <cell r="I190">
            <v>20</v>
          </cell>
          <cell r="K190" t="str">
            <v>WPS-TNHA-S07</v>
          </cell>
          <cell r="L190" t="str">
            <v>ST-01</v>
          </cell>
          <cell r="M190" t="str">
            <v>HIẾU</v>
          </cell>
          <cell r="N190">
            <v>46009</v>
          </cell>
          <cell r="O190" t="str">
            <v>F-140</v>
          </cell>
          <cell r="Y190" t="str">
            <v>NOT YET VISUAL</v>
          </cell>
        </row>
        <row r="191">
          <cell r="A191" t="str">
            <v>9001-2211-DS-0009-01-WM42</v>
          </cell>
          <cell r="B191" t="str">
            <v>9001-2211-DS-0009-01-WM</v>
          </cell>
          <cell r="C191">
            <v>42</v>
          </cell>
          <cell r="E191" t="str">
            <v>SV</v>
          </cell>
          <cell r="F191" t="str">
            <v>100%MT &amp; UT</v>
          </cell>
          <cell r="G191" t="str">
            <v>D</v>
          </cell>
          <cell r="H191">
            <v>2232.54</v>
          </cell>
          <cell r="I191" t="str">
            <v>20/35</v>
          </cell>
          <cell r="K191" t="str">
            <v>WPS-TNHA-S06</v>
          </cell>
          <cell r="L191" t="str">
            <v>ST-01</v>
          </cell>
          <cell r="M191" t="str">
            <v>THÁI</v>
          </cell>
          <cell r="N191">
            <v>45979</v>
          </cell>
          <cell r="O191" t="str">
            <v>F-090</v>
          </cell>
          <cell r="P191" t="str">
            <v>19/11/2025</v>
          </cell>
          <cell r="Q191" t="str">
            <v>BGT0019;BGT-0032</v>
          </cell>
          <cell r="R191" t="str">
            <v>THÁI</v>
          </cell>
          <cell r="S191">
            <v>45983</v>
          </cell>
          <cell r="T191" t="str">
            <v>V-087</v>
          </cell>
          <cell r="Y191" t="str">
            <v>FINISH</v>
          </cell>
          <cell r="Z191" t="str">
            <v>ACC</v>
          </cell>
          <cell r="AA191" t="str">
            <v>ACC</v>
          </cell>
          <cell r="AB191" t="str">
            <v>MT-2211-ST-01-0048</v>
          </cell>
          <cell r="AC191" t="str">
            <v>ACC</v>
          </cell>
          <cell r="AD191" t="str">
            <v>UT-2211-ST-01-0057</v>
          </cell>
          <cell r="AL191" t="str">
            <v>1/11/2025</v>
          </cell>
          <cell r="AM191" t="str">
            <v>IRN-2211-ST-01-0002</v>
          </cell>
          <cell r="AP191" t="str">
            <v>26/11/2025</v>
          </cell>
        </row>
        <row r="192">
          <cell r="A192" t="str">
            <v>9001-2211-DS-0009-01-WM43</v>
          </cell>
          <cell r="B192" t="str">
            <v>9001-2211-DS-0009-01-WM</v>
          </cell>
          <cell r="C192">
            <v>43</v>
          </cell>
          <cell r="E192" t="str">
            <v>SB</v>
          </cell>
          <cell r="F192" t="str">
            <v>100%MT &amp; UT</v>
          </cell>
          <cell r="G192" t="str">
            <v>D</v>
          </cell>
          <cell r="H192">
            <v>2232.54</v>
          </cell>
          <cell r="I192">
            <v>20</v>
          </cell>
          <cell r="K192" t="str">
            <v>WPS-TNHA-S07</v>
          </cell>
          <cell r="L192" t="str">
            <v>ST-01</v>
          </cell>
          <cell r="M192" t="str">
            <v xml:space="preserve">HIẾU </v>
          </cell>
          <cell r="N192">
            <v>46007</v>
          </cell>
          <cell r="O192" t="str">
            <v>F-135</v>
          </cell>
          <cell r="Y192" t="str">
            <v>NOT YET VISUAL</v>
          </cell>
        </row>
        <row r="193">
          <cell r="A193" t="str">
            <v>9001-2211-DS-0009-01-WM44</v>
          </cell>
          <cell r="B193" t="str">
            <v>9001-2211-DS-0009-01-WM</v>
          </cell>
          <cell r="C193">
            <v>44</v>
          </cell>
          <cell r="E193" t="str">
            <v>SV</v>
          </cell>
          <cell r="F193" t="str">
            <v>100%MT &amp; UT</v>
          </cell>
          <cell r="G193" t="str">
            <v>D</v>
          </cell>
          <cell r="H193">
            <v>2232.54</v>
          </cell>
          <cell r="I193">
            <v>20</v>
          </cell>
          <cell r="K193" t="str">
            <v>WPS-TNHA-S06</v>
          </cell>
          <cell r="L193" t="str">
            <v>ST-01</v>
          </cell>
          <cell r="M193" t="str">
            <v>TUÂN</v>
          </cell>
          <cell r="N193">
            <v>45939</v>
          </cell>
          <cell r="O193" t="str">
            <v>F-037</v>
          </cell>
          <cell r="P193" t="str">
            <v>15/10/2025</v>
          </cell>
          <cell r="Q193" t="str">
            <v>BGT-0032;ND-01</v>
          </cell>
          <cell r="R193" t="str">
            <v>HIẾU</v>
          </cell>
          <cell r="S193">
            <v>45954</v>
          </cell>
          <cell r="T193" t="str">
            <v>V-041</v>
          </cell>
          <cell r="Y193" t="str">
            <v>FINISH</v>
          </cell>
          <cell r="Z193" t="str">
            <v>ACC</v>
          </cell>
          <cell r="AA193" t="str">
            <v>ACC</v>
          </cell>
          <cell r="AB193" t="str">
            <v>MT-2211-ST-01-0031</v>
          </cell>
          <cell r="AC193" t="str">
            <v>ACC</v>
          </cell>
          <cell r="AD193" t="str">
            <v>UT-2211-ST-01-0038</v>
          </cell>
          <cell r="AL193" t="str">
            <v>31/10/2025</v>
          </cell>
          <cell r="AM193" t="str">
            <v>IRN-2211-ST-01-0001</v>
          </cell>
          <cell r="AP193" t="str">
            <v>29/10/2025</v>
          </cell>
        </row>
        <row r="194">
          <cell r="A194" t="str">
            <v>9001-2211-DS-0009-01-WM45</v>
          </cell>
          <cell r="B194" t="str">
            <v>9001-2211-DS-0009-01-WM</v>
          </cell>
          <cell r="C194">
            <v>45</v>
          </cell>
          <cell r="E194" t="str">
            <v>SB</v>
          </cell>
          <cell r="F194" t="str">
            <v>100%MT &amp; UT</v>
          </cell>
          <cell r="G194" t="str">
            <v>D</v>
          </cell>
          <cell r="H194">
            <v>2232.54</v>
          </cell>
          <cell r="I194">
            <v>20</v>
          </cell>
          <cell r="K194" t="str">
            <v>WPS-TNHA-S07</v>
          </cell>
          <cell r="L194" t="str">
            <v>ST-01</v>
          </cell>
          <cell r="M194" t="str">
            <v>HIẾU</v>
          </cell>
          <cell r="N194">
            <v>46009</v>
          </cell>
          <cell r="O194" t="str">
            <v>F-140</v>
          </cell>
          <cell r="Y194" t="str">
            <v>NOT YET VISUAL</v>
          </cell>
        </row>
        <row r="195">
          <cell r="A195" t="str">
            <v>9001-2211-DS-0009-01-WM46</v>
          </cell>
          <cell r="B195" t="str">
            <v>9001-2211-DS-0009-01-WM</v>
          </cell>
          <cell r="C195">
            <v>46</v>
          </cell>
          <cell r="E195" t="str">
            <v>SB</v>
          </cell>
          <cell r="F195" t="str">
            <v>100%MT &amp; UT</v>
          </cell>
          <cell r="G195" t="str">
            <v>D</v>
          </cell>
          <cell r="H195">
            <v>2869.96</v>
          </cell>
          <cell r="I195">
            <v>20</v>
          </cell>
          <cell r="K195" t="str">
            <v>WPS-TNHA-S07</v>
          </cell>
          <cell r="L195" t="str">
            <v>ST-01</v>
          </cell>
          <cell r="M195" t="str">
            <v>HIẾU</v>
          </cell>
          <cell r="N195">
            <v>46003</v>
          </cell>
          <cell r="O195" t="str">
            <v>F-131</v>
          </cell>
          <cell r="Y195" t="str">
            <v>NOT YET VISUAL</v>
          </cell>
        </row>
        <row r="196">
          <cell r="A196" t="str">
            <v>9001-2211-DS-0009-01-WM47</v>
          </cell>
          <cell r="B196" t="str">
            <v>9001-2211-DS-0009-01-WM</v>
          </cell>
          <cell r="C196">
            <v>47</v>
          </cell>
          <cell r="E196" t="str">
            <v>SV</v>
          </cell>
          <cell r="F196" t="str">
            <v>100%MT &amp; UT</v>
          </cell>
          <cell r="G196" t="str">
            <v>D</v>
          </cell>
          <cell r="H196">
            <v>2869.96</v>
          </cell>
          <cell r="I196">
            <v>20</v>
          </cell>
          <cell r="K196" t="str">
            <v>WPS-TNHA-S06</v>
          </cell>
          <cell r="L196" t="str">
            <v>ST-01</v>
          </cell>
          <cell r="M196" t="str">
            <v>TUÂN</v>
          </cell>
          <cell r="N196">
            <v>45939</v>
          </cell>
          <cell r="O196" t="str">
            <v>F-037</v>
          </cell>
          <cell r="P196" t="str">
            <v>15H 10/10/2025</v>
          </cell>
          <cell r="Q196" t="str">
            <v>BGT-0036;BGT-0032</v>
          </cell>
          <cell r="R196" t="str">
            <v>HIẾU</v>
          </cell>
          <cell r="S196">
            <v>45945</v>
          </cell>
          <cell r="T196" t="str">
            <v>V-031</v>
          </cell>
          <cell r="Y196" t="str">
            <v>FINISH</v>
          </cell>
          <cell r="Z196" t="str">
            <v>ACC</v>
          </cell>
          <cell r="AA196" t="str">
            <v>ACC</v>
          </cell>
          <cell r="AB196" t="str">
            <v>MT-2211-ST-01-0029</v>
          </cell>
          <cell r="AC196" t="str">
            <v>ACC</v>
          </cell>
          <cell r="AD196" t="str">
            <v>UT-2211-ST-01-0036</v>
          </cell>
          <cell r="AJ196">
            <v>45993</v>
          </cell>
          <cell r="AK196" t="str">
            <v>FINAL-V-108</v>
          </cell>
          <cell r="AP196" t="str">
            <v>22/10/2025</v>
          </cell>
        </row>
        <row r="197">
          <cell r="A197" t="str">
            <v>9001-2211-DS-0009-01-WM48</v>
          </cell>
          <cell r="B197" t="str">
            <v>9001-2211-DS-0009-01-WM</v>
          </cell>
          <cell r="C197">
            <v>48</v>
          </cell>
          <cell r="E197" t="str">
            <v>SV</v>
          </cell>
          <cell r="F197" t="str">
            <v>100%MT &amp; UT</v>
          </cell>
          <cell r="G197" t="str">
            <v>D</v>
          </cell>
          <cell r="H197">
            <v>2869.96</v>
          </cell>
          <cell r="I197">
            <v>20</v>
          </cell>
          <cell r="K197" t="str">
            <v>WPS-TNHA-S06</v>
          </cell>
          <cell r="L197" t="str">
            <v>ST-01</v>
          </cell>
          <cell r="M197" t="str">
            <v>HIẾU</v>
          </cell>
          <cell r="N197">
            <v>45940</v>
          </cell>
          <cell r="O197" t="str">
            <v>F-039</v>
          </cell>
          <cell r="P197" t="str">
            <v>15H 10/10/2025</v>
          </cell>
          <cell r="Q197" t="str">
            <v>BGT-0036;BGT-0013</v>
          </cell>
          <cell r="R197" t="str">
            <v>HIẾU</v>
          </cell>
          <cell r="S197">
            <v>45945</v>
          </cell>
          <cell r="T197" t="str">
            <v>V-031</v>
          </cell>
          <cell r="Y197" t="str">
            <v>FINISH</v>
          </cell>
          <cell r="Z197" t="str">
            <v>ACC</v>
          </cell>
          <cell r="AA197" t="str">
            <v>ACC</v>
          </cell>
          <cell r="AB197" t="str">
            <v>MT-2211-ST-01-0029</v>
          </cell>
          <cell r="AC197" t="str">
            <v>ACC</v>
          </cell>
          <cell r="AD197" t="str">
            <v>UT-2211-ST-01-0036</v>
          </cell>
          <cell r="AJ197">
            <v>45993</v>
          </cell>
          <cell r="AK197" t="str">
            <v>FINAL-V-108</v>
          </cell>
          <cell r="AP197" t="str">
            <v>22/10/2025</v>
          </cell>
        </row>
        <row r="198">
          <cell r="A198" t="str">
            <v>9001-2211-DS-0009-01-WM49</v>
          </cell>
          <cell r="B198" t="str">
            <v>9001-2211-DS-0009-01-WM</v>
          </cell>
          <cell r="C198">
            <v>49</v>
          </cell>
          <cell r="E198" t="str">
            <v>SB</v>
          </cell>
          <cell r="F198" t="str">
            <v>100%MT &amp; UT</v>
          </cell>
          <cell r="G198" t="str">
            <v>D</v>
          </cell>
          <cell r="H198">
            <v>2869.96</v>
          </cell>
          <cell r="I198">
            <v>20</v>
          </cell>
          <cell r="K198" t="str">
            <v>WPS-TNHA-S07</v>
          </cell>
          <cell r="L198" t="str">
            <v>ST-01</v>
          </cell>
          <cell r="M198" t="str">
            <v>HIẾU</v>
          </cell>
          <cell r="N198">
            <v>46003</v>
          </cell>
          <cell r="O198" t="str">
            <v>F-131</v>
          </cell>
          <cell r="P198" t="str">
            <v>14/12/2025</v>
          </cell>
          <cell r="Q198" t="str">
            <v>BGT-0005;GTC-11</v>
          </cell>
          <cell r="R198" t="str">
            <v>THÁI</v>
          </cell>
          <cell r="S198">
            <v>46010</v>
          </cell>
          <cell r="T198" t="str">
            <v>V-147</v>
          </cell>
          <cell r="Y198" t="str">
            <v>FINISH</v>
          </cell>
          <cell r="Z198" t="str">
            <v>ACC</v>
          </cell>
          <cell r="AA198" t="str">
            <v>ACC</v>
          </cell>
          <cell r="AB198" t="str">
            <v>MT-2211-ST-01-0053</v>
          </cell>
          <cell r="AC198" t="str">
            <v>ACC</v>
          </cell>
          <cell r="AD198" t="str">
            <v>UT-2211-ST-01-0062</v>
          </cell>
          <cell r="AP198" t="str">
            <v>23/12/2025</v>
          </cell>
        </row>
        <row r="199">
          <cell r="A199" t="str">
            <v>9001-2211-DS-0009-01-WM50</v>
          </cell>
          <cell r="B199" t="str">
            <v>9001-2211-DS-0009-01-WM</v>
          </cell>
          <cell r="C199">
            <v>50</v>
          </cell>
          <cell r="E199" t="str">
            <v>SB</v>
          </cell>
          <cell r="F199" t="str">
            <v>100%MT &amp; UT</v>
          </cell>
          <cell r="G199" t="str">
            <v>D</v>
          </cell>
          <cell r="H199">
            <v>2869.96</v>
          </cell>
          <cell r="I199">
            <v>25</v>
          </cell>
          <cell r="K199" t="str">
            <v>WPS-TNHA-S07</v>
          </cell>
          <cell r="L199" t="str">
            <v>ST-01</v>
          </cell>
          <cell r="M199" t="str">
            <v>HIẾU</v>
          </cell>
          <cell r="N199">
            <v>46003</v>
          </cell>
          <cell r="O199" t="str">
            <v>F-131</v>
          </cell>
          <cell r="P199" t="str">
            <v>14/12/2025</v>
          </cell>
          <cell r="Q199" t="str">
            <v>BGT-0010;BGT-0016</v>
          </cell>
          <cell r="R199" t="str">
            <v>THÁI</v>
          </cell>
          <cell r="S199">
            <v>46010</v>
          </cell>
          <cell r="T199" t="str">
            <v>V-147</v>
          </cell>
          <cell r="Y199" t="str">
            <v>FINISH</v>
          </cell>
          <cell r="Z199" t="str">
            <v>ACC</v>
          </cell>
          <cell r="AA199" t="str">
            <v>ACC</v>
          </cell>
          <cell r="AB199" t="str">
            <v>MT-2211-ST-01-0053</v>
          </cell>
          <cell r="AC199" t="str">
            <v>ACC</v>
          </cell>
          <cell r="AD199" t="str">
            <v>UT-2211-ST-01-0062</v>
          </cell>
          <cell r="AP199" t="str">
            <v>23/12/2025</v>
          </cell>
        </row>
        <row r="200">
          <cell r="A200" t="str">
            <v>9001-2211-DS-0009-01-WM51</v>
          </cell>
          <cell r="B200" t="str">
            <v>9001-2211-DS-0009-01-WM</v>
          </cell>
          <cell r="C200">
            <v>51</v>
          </cell>
          <cell r="E200" t="str">
            <v>SV</v>
          </cell>
          <cell r="F200" t="str">
            <v>100%MT &amp; UT</v>
          </cell>
          <cell r="G200" t="str">
            <v>D</v>
          </cell>
          <cell r="H200">
            <v>2869.96</v>
          </cell>
          <cell r="I200">
            <v>25</v>
          </cell>
          <cell r="K200" t="str">
            <v>WPS-TNHA-S06</v>
          </cell>
          <cell r="L200" t="str">
            <v>ST-01</v>
          </cell>
          <cell r="M200" t="str">
            <v>HIẾU</v>
          </cell>
          <cell r="N200">
            <v>45936</v>
          </cell>
          <cell r="O200" t="str">
            <v>F-034</v>
          </cell>
          <cell r="P200" t="str">
            <v>13h30 9/10/2025</v>
          </cell>
          <cell r="Q200" t="str">
            <v>BGT-0036;BGT-0013</v>
          </cell>
          <cell r="R200" t="str">
            <v>THÁI</v>
          </cell>
          <cell r="S200">
            <v>45941</v>
          </cell>
          <cell r="T200" t="str">
            <v>V-030</v>
          </cell>
          <cell r="Y200" t="str">
            <v>FINISH</v>
          </cell>
          <cell r="Z200" t="str">
            <v>ACC</v>
          </cell>
          <cell r="AA200" t="str">
            <v>ACC</v>
          </cell>
          <cell r="AB200" t="str">
            <v>MT-2211-ST-01-0028</v>
          </cell>
          <cell r="AC200" t="str">
            <v>ACC</v>
          </cell>
          <cell r="AD200" t="str">
            <v>UT-2211-ST-01-0035</v>
          </cell>
          <cell r="AP200" t="str">
            <v>14/10/2025</v>
          </cell>
        </row>
        <row r="201">
          <cell r="A201" t="str">
            <v>9001-2211-DS-0009-01-WM52</v>
          </cell>
          <cell r="B201" t="str">
            <v>9001-2211-DS-0009-01-WM</v>
          </cell>
          <cell r="C201">
            <v>52</v>
          </cell>
          <cell r="E201" t="str">
            <v>SV</v>
          </cell>
          <cell r="F201" t="str">
            <v>100%MT &amp; UT</v>
          </cell>
          <cell r="G201" t="str">
            <v>D</v>
          </cell>
          <cell r="H201">
            <v>2869.96</v>
          </cell>
          <cell r="I201">
            <v>25</v>
          </cell>
          <cell r="K201" t="str">
            <v>WPS-TNHA-S06</v>
          </cell>
          <cell r="L201" t="str">
            <v>ST-01</v>
          </cell>
          <cell r="M201" t="str">
            <v>HIẾU</v>
          </cell>
          <cell r="N201">
            <v>45936</v>
          </cell>
          <cell r="O201" t="str">
            <v>F-034</v>
          </cell>
          <cell r="P201" t="str">
            <v>13h30 9/10/2025</v>
          </cell>
          <cell r="Q201" t="str">
            <v>BGT-0036;BGT-0032</v>
          </cell>
          <cell r="R201" t="str">
            <v>THÁI</v>
          </cell>
          <cell r="S201">
            <v>45940</v>
          </cell>
          <cell r="T201" t="str">
            <v>V-029</v>
          </cell>
          <cell r="Y201" t="str">
            <v>FINISH</v>
          </cell>
          <cell r="Z201" t="str">
            <v>ACC</v>
          </cell>
          <cell r="AA201" t="str">
            <v>ACC</v>
          </cell>
          <cell r="AB201" t="str">
            <v>MT-2211-ST-01-0027</v>
          </cell>
          <cell r="AC201" t="str">
            <v>ACC</v>
          </cell>
          <cell r="AD201" t="str">
            <v>UT-2211-ST-01-0034</v>
          </cell>
          <cell r="AP201" t="str">
            <v>14/10/2025</v>
          </cell>
        </row>
        <row r="202">
          <cell r="A202" t="str">
            <v>9001-2211-DS-0009-01-WM53</v>
          </cell>
          <cell r="B202" t="str">
            <v>9001-2211-DS-0009-01-WM</v>
          </cell>
          <cell r="C202">
            <v>53</v>
          </cell>
          <cell r="E202" t="str">
            <v>SV</v>
          </cell>
          <cell r="F202" t="str">
            <v>100%MT &amp; UT</v>
          </cell>
          <cell r="G202" t="str">
            <v>D</v>
          </cell>
          <cell r="H202">
            <v>2869.96</v>
          </cell>
          <cell r="I202">
            <v>25</v>
          </cell>
          <cell r="K202" t="str">
            <v>WPS-TNHA-S06</v>
          </cell>
          <cell r="L202" t="str">
            <v>ST-01</v>
          </cell>
          <cell r="M202" t="str">
            <v>HIẾU</v>
          </cell>
          <cell r="N202">
            <v>45936</v>
          </cell>
          <cell r="O202" t="str">
            <v>F-034</v>
          </cell>
          <cell r="P202" t="str">
            <v>13h30 9/10/2025</v>
          </cell>
          <cell r="Q202" t="str">
            <v>BGT-0036;BGT-0032</v>
          </cell>
          <cell r="R202" t="str">
            <v>THÁI</v>
          </cell>
          <cell r="S202">
            <v>45940</v>
          </cell>
          <cell r="T202" t="str">
            <v>V-029</v>
          </cell>
          <cell r="Y202" t="str">
            <v>FINISH</v>
          </cell>
          <cell r="Z202" t="str">
            <v>ACC</v>
          </cell>
          <cell r="AA202" t="str">
            <v>ACC</v>
          </cell>
          <cell r="AB202" t="str">
            <v>MT-2211-ST-01-0027</v>
          </cell>
          <cell r="AC202" t="str">
            <v>ACC</v>
          </cell>
          <cell r="AD202" t="str">
            <v>UT-2211-ST-01-0034</v>
          </cell>
          <cell r="AP202" t="str">
            <v>14/10/2025</v>
          </cell>
        </row>
        <row r="203">
          <cell r="A203" t="str">
            <v>9001-2211-DS-0009-01-WM54</v>
          </cell>
          <cell r="B203" t="str">
            <v>9001-2211-DS-0009-01-WM</v>
          </cell>
          <cell r="C203">
            <v>54</v>
          </cell>
          <cell r="E203" t="str">
            <v>SB</v>
          </cell>
          <cell r="F203" t="str">
            <v>100%MT &amp; UT</v>
          </cell>
          <cell r="G203" t="str">
            <v>D</v>
          </cell>
          <cell r="H203">
            <v>2869.96</v>
          </cell>
          <cell r="I203">
            <v>25</v>
          </cell>
          <cell r="K203" t="str">
            <v>WPS-TNHA-S07</v>
          </cell>
          <cell r="L203" t="str">
            <v>ST-01</v>
          </cell>
          <cell r="M203" t="str">
            <v>HIẾU</v>
          </cell>
          <cell r="N203">
            <v>46003</v>
          </cell>
          <cell r="O203" t="str">
            <v>F-131</v>
          </cell>
          <cell r="Y203" t="str">
            <v>NOT YET VISUAL</v>
          </cell>
        </row>
        <row r="204">
          <cell r="A204" t="str">
            <v>9001-2211-DS-0009-01-WM55</v>
          </cell>
          <cell r="B204" t="str">
            <v>9001-2211-DS-0009-01-WM</v>
          </cell>
          <cell r="C204">
            <v>55</v>
          </cell>
          <cell r="E204" t="str">
            <v>SB</v>
          </cell>
          <cell r="F204" t="str">
            <v>100%MT &amp; UT</v>
          </cell>
          <cell r="G204" t="str">
            <v>D</v>
          </cell>
          <cell r="H204">
            <v>2869.96</v>
          </cell>
          <cell r="I204">
            <v>20</v>
          </cell>
          <cell r="K204" t="str">
            <v>WPS-TNHA-S07</v>
          </cell>
          <cell r="L204" t="str">
            <v>ST-01</v>
          </cell>
          <cell r="M204" t="str">
            <v>THÁI</v>
          </cell>
          <cell r="N204">
            <v>46006</v>
          </cell>
          <cell r="O204" t="str">
            <v>F-134</v>
          </cell>
          <cell r="Y204" t="str">
            <v>NOT YET VISUAL</v>
          </cell>
        </row>
        <row r="205">
          <cell r="A205" t="str">
            <v>9001-2211-DS-0009-01-WM56</v>
          </cell>
          <cell r="B205" t="str">
            <v>9001-2211-DS-0009-01-WM</v>
          </cell>
          <cell r="C205">
            <v>56</v>
          </cell>
          <cell r="E205" t="str">
            <v>SV</v>
          </cell>
          <cell r="F205" t="str">
            <v>100%MT &amp; UT</v>
          </cell>
          <cell r="G205" t="str">
            <v>D</v>
          </cell>
          <cell r="H205">
            <v>2869.96</v>
          </cell>
          <cell r="I205">
            <v>20</v>
          </cell>
          <cell r="K205" t="str">
            <v>WPS-TNHA-S06</v>
          </cell>
          <cell r="L205" t="str">
            <v>ST-01</v>
          </cell>
          <cell r="M205" t="str">
            <v>BÁCH</v>
          </cell>
          <cell r="N205">
            <v>45934</v>
          </cell>
          <cell r="O205" t="str">
            <v>F-033</v>
          </cell>
          <cell r="P205" t="str">
            <v>14h 5/10/2025</v>
          </cell>
          <cell r="Q205" t="str">
            <v>BGT-0022;BGT-0036</v>
          </cell>
          <cell r="R205" t="str">
            <v>HIẾU</v>
          </cell>
          <cell r="S205">
            <v>45938</v>
          </cell>
          <cell r="T205" t="str">
            <v>V-027</v>
          </cell>
          <cell r="Y205" t="str">
            <v>FINISH</v>
          </cell>
          <cell r="Z205" t="str">
            <v>ACC</v>
          </cell>
          <cell r="AA205" t="str">
            <v>ACC</v>
          </cell>
          <cell r="AB205" t="str">
            <v>MT-2211-ST-01-0026</v>
          </cell>
          <cell r="AC205" t="str">
            <v>ACC</v>
          </cell>
          <cell r="AD205" t="str">
            <v>UT-2211-ST-01-0033</v>
          </cell>
          <cell r="AP205" t="str">
            <v>14/10/2025</v>
          </cell>
        </row>
        <row r="206">
          <cell r="A206" t="str">
            <v>9001-2211-DS-0009-01-WM57</v>
          </cell>
          <cell r="B206" t="str">
            <v>9001-2211-DS-0009-01-WM</v>
          </cell>
          <cell r="C206">
            <v>57</v>
          </cell>
          <cell r="E206" t="str">
            <v>SV</v>
          </cell>
          <cell r="F206" t="str">
            <v>100%MT &amp; UT</v>
          </cell>
          <cell r="G206" t="str">
            <v>D</v>
          </cell>
          <cell r="H206">
            <v>2869.96</v>
          </cell>
          <cell r="I206">
            <v>20</v>
          </cell>
          <cell r="K206" t="str">
            <v>WPS-TNHA-S06</v>
          </cell>
          <cell r="L206" t="str">
            <v>ST-01</v>
          </cell>
          <cell r="M206" t="str">
            <v>BÁCH</v>
          </cell>
          <cell r="N206">
            <v>45934</v>
          </cell>
          <cell r="O206" t="str">
            <v>F-033</v>
          </cell>
          <cell r="P206" t="str">
            <v>14h 5/10/2025</v>
          </cell>
          <cell r="Q206" t="str">
            <v>BGT-0022;BGT-0036</v>
          </cell>
          <cell r="R206" t="str">
            <v>HIẾU</v>
          </cell>
          <cell r="S206">
            <v>45938</v>
          </cell>
          <cell r="T206" t="str">
            <v>V-027</v>
          </cell>
          <cell r="Y206" t="str">
            <v>FINISH</v>
          </cell>
          <cell r="Z206" t="str">
            <v>ACC</v>
          </cell>
          <cell r="AA206" t="str">
            <v>ACC</v>
          </cell>
          <cell r="AB206" t="str">
            <v>MT-2211-ST-01-0026</v>
          </cell>
          <cell r="AC206" t="str">
            <v>ACC</v>
          </cell>
          <cell r="AD206" t="str">
            <v>UT-2211-ST-01-0033</v>
          </cell>
          <cell r="AP206" t="str">
            <v>14/10/2025</v>
          </cell>
        </row>
        <row r="207">
          <cell r="A207" t="str">
            <v>9001-2211-DS-0009-01-WM58</v>
          </cell>
          <cell r="B207" t="str">
            <v>9001-2211-DS-0009-01-WM</v>
          </cell>
          <cell r="C207">
            <v>58</v>
          </cell>
          <cell r="E207" t="str">
            <v>SB</v>
          </cell>
          <cell r="F207" t="str">
            <v>100%MT &amp; UT</v>
          </cell>
          <cell r="G207" t="str">
            <v>D</v>
          </cell>
          <cell r="H207">
            <v>2869.96</v>
          </cell>
          <cell r="I207">
            <v>20</v>
          </cell>
          <cell r="K207" t="str">
            <v>WPS-TNHA-S07</v>
          </cell>
          <cell r="L207" t="str">
            <v>ST-01</v>
          </cell>
          <cell r="M207" t="str">
            <v>THÁI</v>
          </cell>
          <cell r="N207">
            <v>46006</v>
          </cell>
          <cell r="O207" t="str">
            <v>F-134</v>
          </cell>
          <cell r="Y207" t="str">
            <v>NOT YET VISUAL</v>
          </cell>
        </row>
        <row r="208">
          <cell r="A208" t="str">
            <v>9001-2211-DS-0009-01-WM59</v>
          </cell>
          <cell r="B208" t="str">
            <v>9001-2211-DS-0009-01-WM</v>
          </cell>
          <cell r="C208">
            <v>59</v>
          </cell>
          <cell r="E208" t="str">
            <v>DV</v>
          </cell>
          <cell r="F208" t="str">
            <v>100%MT &amp; UT</v>
          </cell>
          <cell r="G208" t="str">
            <v>D</v>
          </cell>
          <cell r="H208">
            <v>4785.3600000000006</v>
          </cell>
          <cell r="I208">
            <v>50</v>
          </cell>
          <cell r="K208" t="str">
            <v>WPS-TNHA-S01</v>
          </cell>
          <cell r="L208" t="str">
            <v>ST-01</v>
          </cell>
          <cell r="M208" t="str">
            <v>THÁI</v>
          </cell>
          <cell r="N208">
            <v>45907</v>
          </cell>
          <cell r="O208" t="str">
            <v>F-008</v>
          </cell>
          <cell r="P208" t="str">
            <v>15h00 20/09/2025</v>
          </cell>
          <cell r="Q208" t="str">
            <v>BGT-0013;BGT0017;GTC-10</v>
          </cell>
          <cell r="R208" t="str">
            <v>TUÂN</v>
          </cell>
          <cell r="S208">
            <v>45925</v>
          </cell>
          <cell r="T208" t="str">
            <v>V-016</v>
          </cell>
          <cell r="U208">
            <v>45919</v>
          </cell>
          <cell r="V208" t="str">
            <v>BG-013</v>
          </cell>
          <cell r="Y208" t="str">
            <v>FINISH</v>
          </cell>
          <cell r="Z208" t="str">
            <v>ACC</v>
          </cell>
          <cell r="AA208" t="str">
            <v>ACC</v>
          </cell>
          <cell r="AB208" t="str">
            <v>MT-2211-ST-01-0016</v>
          </cell>
          <cell r="AC208" t="str">
            <v>ACC</v>
          </cell>
          <cell r="AD208" t="str">
            <v>UT-2211-ST-01-0019</v>
          </cell>
          <cell r="AL208" t="str">
            <v>27/11/2025</v>
          </cell>
          <cell r="AM208" t="str">
            <v>IRN-2211-ST-01-0003</v>
          </cell>
          <cell r="AP208" t="str">
            <v>01/10/2025</v>
          </cell>
        </row>
        <row r="209">
          <cell r="A209" t="str">
            <v>9001-2211-DS-0009-01-WM60</v>
          </cell>
          <cell r="B209" t="str">
            <v>9001-2211-DS-0009-01-WM</v>
          </cell>
          <cell r="C209">
            <v>60</v>
          </cell>
          <cell r="E209" t="str">
            <v>DV</v>
          </cell>
          <cell r="F209" t="str">
            <v>100%MT &amp; UT</v>
          </cell>
          <cell r="G209" t="str">
            <v>D</v>
          </cell>
          <cell r="H209">
            <v>4785.3600000000006</v>
          </cell>
          <cell r="I209" t="str">
            <v>30/50</v>
          </cell>
          <cell r="K209" t="str">
            <v>WPS-TNHA-S01</v>
          </cell>
          <cell r="L209" t="str">
            <v>ST-01</v>
          </cell>
          <cell r="M209" t="str">
            <v>THÁI</v>
          </cell>
          <cell r="N209">
            <v>45907</v>
          </cell>
          <cell r="O209" t="str">
            <v>F-008</v>
          </cell>
          <cell r="P209" t="str">
            <v>15h00 20/09/2025</v>
          </cell>
          <cell r="Q209" t="str">
            <v>BGT-0013;BGT0017;GTC-10</v>
          </cell>
          <cell r="R209" t="str">
            <v>TUÂN</v>
          </cell>
          <cell r="S209">
            <v>45925</v>
          </cell>
          <cell r="T209" t="str">
            <v>V-016</v>
          </cell>
          <cell r="U209">
            <v>45919</v>
          </cell>
          <cell r="V209" t="str">
            <v>BG-015</v>
          </cell>
          <cell r="Y209" t="str">
            <v>FINISH</v>
          </cell>
          <cell r="Z209" t="str">
            <v>ACC</v>
          </cell>
          <cell r="AA209" t="str">
            <v>ACC</v>
          </cell>
          <cell r="AB209" t="str">
            <v>MT-2211-ST-01-0016</v>
          </cell>
          <cell r="AC209" t="str">
            <v>ACC</v>
          </cell>
          <cell r="AD209" t="str">
            <v>UT-2211-ST-01-0019</v>
          </cell>
          <cell r="AL209" t="str">
            <v>27/11/2025</v>
          </cell>
          <cell r="AM209" t="str">
            <v>IRN-2211-ST-01-0003</v>
          </cell>
          <cell r="AP209" t="str">
            <v>01/10/2025</v>
          </cell>
        </row>
        <row r="210">
          <cell r="A210" t="str">
            <v>9001-2211-DS-0009-01-WM61</v>
          </cell>
          <cell r="B210" t="str">
            <v>9001-2211-DS-0009-01-WM</v>
          </cell>
          <cell r="C210">
            <v>61</v>
          </cell>
          <cell r="E210" t="str">
            <v>DV</v>
          </cell>
          <cell r="F210" t="str">
            <v>100%MT &amp; UT</v>
          </cell>
          <cell r="G210" t="str">
            <v>D</v>
          </cell>
          <cell r="H210">
            <v>4785.3600000000006</v>
          </cell>
          <cell r="I210">
            <v>30</v>
          </cell>
          <cell r="K210" t="str">
            <v>WPS-TNHA-S01</v>
          </cell>
          <cell r="L210" t="str">
            <v>ST-01</v>
          </cell>
          <cell r="M210" t="str">
            <v>THÁI</v>
          </cell>
          <cell r="N210">
            <v>45907</v>
          </cell>
          <cell r="O210" t="str">
            <v>F-008</v>
          </cell>
          <cell r="P210" t="str">
            <v>19h00 20/09/2025</v>
          </cell>
          <cell r="Q210" t="str">
            <v>BGT-0014;BGT0017;GTC-10</v>
          </cell>
          <cell r="R210" t="str">
            <v>HIẾU</v>
          </cell>
          <cell r="S210">
            <v>45925</v>
          </cell>
          <cell r="T210" t="str">
            <v>V-015</v>
          </cell>
          <cell r="U210">
            <v>45919</v>
          </cell>
          <cell r="V210" t="str">
            <v>BG-013</v>
          </cell>
          <cell r="Y210" t="str">
            <v>FINISH</v>
          </cell>
          <cell r="Z210" t="str">
            <v>ACC</v>
          </cell>
          <cell r="AA210" t="str">
            <v>ACC</v>
          </cell>
          <cell r="AB210" t="str">
            <v>MT-2211-ST-01-0015</v>
          </cell>
          <cell r="AC210" t="str">
            <v>ACC</v>
          </cell>
          <cell r="AD210" t="str">
            <v>UT-2211-ST-01-0018</v>
          </cell>
          <cell r="AL210" t="str">
            <v>27/11/2025</v>
          </cell>
          <cell r="AM210" t="str">
            <v>IRN-2211-ST-01-0003</v>
          </cell>
          <cell r="AP210" t="str">
            <v>01/10/2025</v>
          </cell>
        </row>
        <row r="211">
          <cell r="A211" t="str">
            <v>9001-2211-DS-0009-01-WM62</v>
          </cell>
          <cell r="B211" t="str">
            <v>9001-2211-DS-0009-01-WM</v>
          </cell>
          <cell r="C211">
            <v>62</v>
          </cell>
          <cell r="E211" t="str">
            <v>DV</v>
          </cell>
          <cell r="F211" t="str">
            <v>100%MT &amp; UT</v>
          </cell>
          <cell r="G211" t="str">
            <v>D</v>
          </cell>
          <cell r="H211">
            <v>4785.3600000000006</v>
          </cell>
          <cell r="I211">
            <v>30</v>
          </cell>
          <cell r="K211" t="str">
            <v>WPS-TNHA-S01</v>
          </cell>
          <cell r="L211" t="str">
            <v>ST-01</v>
          </cell>
          <cell r="M211" t="str">
            <v>THÁI</v>
          </cell>
          <cell r="N211">
            <v>45907</v>
          </cell>
          <cell r="O211" t="str">
            <v>F-008</v>
          </cell>
          <cell r="P211" t="str">
            <v>15h00 21/09/2025</v>
          </cell>
          <cell r="Q211" t="str">
            <v>BGT-0014;BGT0017;GTC-10</v>
          </cell>
          <cell r="R211" t="str">
            <v>TUÂN</v>
          </cell>
          <cell r="S211">
            <v>45924</v>
          </cell>
          <cell r="T211" t="str">
            <v>V-014</v>
          </cell>
          <cell r="U211">
            <v>45919</v>
          </cell>
          <cell r="V211" t="str">
            <v>BG-015</v>
          </cell>
          <cell r="Y211" t="str">
            <v>FINISH</v>
          </cell>
          <cell r="Z211" t="str">
            <v>ACC</v>
          </cell>
          <cell r="AA211" t="str">
            <v>ACC</v>
          </cell>
          <cell r="AB211" t="str">
            <v>MT-2211-ST-01-0014</v>
          </cell>
          <cell r="AC211" t="str">
            <v>ACC</v>
          </cell>
          <cell r="AD211" t="str">
            <v>UT-2211-ST-01-0017</v>
          </cell>
          <cell r="AL211" t="str">
            <v>27/11/2025</v>
          </cell>
          <cell r="AM211" t="str">
            <v>IRN-2211-ST-01-0003</v>
          </cell>
          <cell r="AP211" t="str">
            <v>01/10/2025</v>
          </cell>
        </row>
        <row r="212">
          <cell r="A212" t="str">
            <v>9001-2211-DS-0009-01-WM63</v>
          </cell>
          <cell r="B212" t="str">
            <v>9001-2211-DS-0009-01-WM</v>
          </cell>
          <cell r="C212">
            <v>63</v>
          </cell>
          <cell r="E212" t="str">
            <v>DV</v>
          </cell>
          <cell r="F212" t="str">
            <v>100%MT &amp; UT</v>
          </cell>
          <cell r="G212" t="str">
            <v>D</v>
          </cell>
          <cell r="H212">
            <v>4785.3600000000006</v>
          </cell>
          <cell r="I212">
            <v>30</v>
          </cell>
          <cell r="K212" t="str">
            <v>WPS-TNHA-S01</v>
          </cell>
          <cell r="L212" t="str">
            <v>ST-01</v>
          </cell>
          <cell r="M212" t="str">
            <v>THÁI</v>
          </cell>
          <cell r="N212">
            <v>45907</v>
          </cell>
          <cell r="O212" t="str">
            <v>F-008</v>
          </cell>
          <cell r="P212" t="str">
            <v>15h00 21/09/2025</v>
          </cell>
          <cell r="Q212" t="str">
            <v>BGT-0014;BGT0017;GTC-10</v>
          </cell>
          <cell r="R212" t="str">
            <v>TUÂN</v>
          </cell>
          <cell r="S212">
            <v>45924</v>
          </cell>
          <cell r="T212" t="str">
            <v>V-014</v>
          </cell>
          <cell r="U212">
            <v>45922</v>
          </cell>
          <cell r="V212" t="str">
            <v>BG-018</v>
          </cell>
          <cell r="Y212" t="str">
            <v>FINISH</v>
          </cell>
          <cell r="Z212" t="str">
            <v>ACC</v>
          </cell>
          <cell r="AA212" t="str">
            <v>ACC</v>
          </cell>
          <cell r="AB212" t="str">
            <v>MT-2211-ST-01-0014</v>
          </cell>
          <cell r="AC212" t="str">
            <v>ACC</v>
          </cell>
          <cell r="AD212" t="str">
            <v>UT-2211-ST-01-0017</v>
          </cell>
          <cell r="AL212" t="str">
            <v>27/11/2025</v>
          </cell>
          <cell r="AM212" t="str">
            <v>IRN-2211-ST-01-0003</v>
          </cell>
          <cell r="AP212" t="str">
            <v>01/10/2025</v>
          </cell>
        </row>
        <row r="213">
          <cell r="A213" t="str">
            <v>9001-2211-DS-0009-01-WM64</v>
          </cell>
          <cell r="B213" t="str">
            <v>9001-2211-DS-0009-01-WM</v>
          </cell>
          <cell r="C213">
            <v>64</v>
          </cell>
          <cell r="E213" t="str">
            <v>DV</v>
          </cell>
          <cell r="F213" t="str">
            <v>100%MT &amp; UT</v>
          </cell>
          <cell r="G213" t="str">
            <v>D</v>
          </cell>
          <cell r="H213">
            <v>4785.3600000000006</v>
          </cell>
          <cell r="I213" t="str">
            <v>30/55</v>
          </cell>
          <cell r="K213" t="str">
            <v>WPS-TNHA-S06</v>
          </cell>
          <cell r="L213" t="str">
            <v>ST-01</v>
          </cell>
          <cell r="M213" t="str">
            <v>XUÂN</v>
          </cell>
          <cell r="N213">
            <v>45956</v>
          </cell>
          <cell r="O213" t="str">
            <v>F-061</v>
          </cell>
          <cell r="P213" t="str">
            <v>2/11/2025</v>
          </cell>
          <cell r="Q213" t="str">
            <v>BGT-0015;BGT-0016;BGT-0032;GTC-07</v>
          </cell>
          <cell r="R213" t="str">
            <v>BÁCH</v>
          </cell>
          <cell r="S213">
            <v>45969</v>
          </cell>
          <cell r="T213" t="str">
            <v>V-062</v>
          </cell>
          <cell r="U213">
            <v>45962</v>
          </cell>
          <cell r="V213" t="str">
            <v>BG-066</v>
          </cell>
          <cell r="Y213" t="str">
            <v>FINISH</v>
          </cell>
          <cell r="Z213" t="str">
            <v>ACC</v>
          </cell>
          <cell r="AA213" t="str">
            <v>ACC</v>
          </cell>
          <cell r="AB213" t="str">
            <v>MT-2211-ST-01-0035</v>
          </cell>
          <cell r="AC213" t="str">
            <v>ACC</v>
          </cell>
          <cell r="AD213" t="str">
            <v>UT-2211-ST-01-0043</v>
          </cell>
          <cell r="AL213" t="str">
            <v>27/11/2025</v>
          </cell>
          <cell r="AM213" t="str">
            <v>IRN-2211-ST-01-0003</v>
          </cell>
          <cell r="AP213" t="str">
            <v>12/11/2025</v>
          </cell>
        </row>
        <row r="214">
          <cell r="A214" t="str">
            <v>9001-2211-DS-0009-01-WM65</v>
          </cell>
          <cell r="B214" t="str">
            <v>9001-2211-DS-0009-01-WM</v>
          </cell>
          <cell r="C214">
            <v>65</v>
          </cell>
          <cell r="E214" t="str">
            <v>DV</v>
          </cell>
          <cell r="F214" t="str">
            <v>100%MT &amp; UT</v>
          </cell>
          <cell r="G214" t="str">
            <v>D</v>
          </cell>
          <cell r="H214">
            <v>4785.3600000000006</v>
          </cell>
          <cell r="I214">
            <v>55</v>
          </cell>
          <cell r="K214" t="str">
            <v>WPS-TNHA-S03</v>
          </cell>
          <cell r="L214" t="str">
            <v>ST-01</v>
          </cell>
          <cell r="M214" t="str">
            <v xml:space="preserve">HIẾU </v>
          </cell>
          <cell r="N214">
            <v>45911</v>
          </cell>
          <cell r="O214" t="str">
            <v>F-014</v>
          </cell>
          <cell r="P214" t="str">
            <v>17h00 20/09/2025</v>
          </cell>
          <cell r="Q214" t="str">
            <v>BGT-0014;BGT-0012;ND08</v>
          </cell>
          <cell r="R214" t="str">
            <v>TUÂN</v>
          </cell>
          <cell r="S214">
            <v>45927</v>
          </cell>
          <cell r="T214" t="str">
            <v>V-018</v>
          </cell>
          <cell r="U214">
            <v>45920</v>
          </cell>
          <cell r="V214" t="str">
            <v>BG-016</v>
          </cell>
          <cell r="Y214" t="str">
            <v>FINISH</v>
          </cell>
          <cell r="Z214" t="str">
            <v>ACC</v>
          </cell>
          <cell r="AA214" t="str">
            <v>ACC</v>
          </cell>
          <cell r="AB214" t="str">
            <v>MT-2211-ST-01-0018</v>
          </cell>
          <cell r="AC214" t="str">
            <v>ACC</v>
          </cell>
          <cell r="AD214" t="str">
            <v>UT-2211-ST-01-0021</v>
          </cell>
          <cell r="AL214" t="str">
            <v>27/11/2025</v>
          </cell>
          <cell r="AM214" t="str">
            <v>IRN-2211-ST-01-0003</v>
          </cell>
          <cell r="AP214" t="str">
            <v>01/10/2025</v>
          </cell>
        </row>
        <row r="215">
          <cell r="A215" t="str">
            <v>9001-2211-DS-0009-01-WM66</v>
          </cell>
          <cell r="B215" t="str">
            <v>9001-2211-DS-0009-01-WM</v>
          </cell>
          <cell r="C215">
            <v>66</v>
          </cell>
          <cell r="E215" t="str">
            <v>DV</v>
          </cell>
          <cell r="F215" t="str">
            <v>100%MT &amp; UT</v>
          </cell>
          <cell r="G215" t="str">
            <v>D</v>
          </cell>
          <cell r="H215">
            <v>4785.3600000000006</v>
          </cell>
          <cell r="I215">
            <v>55</v>
          </cell>
          <cell r="K215" t="str">
            <v>WPS-TNHA-S03</v>
          </cell>
          <cell r="L215" t="str">
            <v>ST-01</v>
          </cell>
          <cell r="M215" t="str">
            <v xml:space="preserve">HIẾU </v>
          </cell>
          <cell r="N215">
            <v>45911</v>
          </cell>
          <cell r="O215" t="str">
            <v>F-014</v>
          </cell>
          <cell r="P215" t="str">
            <v>14h00 21/09/2025</v>
          </cell>
          <cell r="Q215" t="str">
            <v>BGT-0015;BGT-0016;ND08</v>
          </cell>
          <cell r="R215" t="str">
            <v>TUÂN</v>
          </cell>
          <cell r="S215">
            <v>45927</v>
          </cell>
          <cell r="T215" t="str">
            <v>V-018</v>
          </cell>
          <cell r="U215">
            <v>45920</v>
          </cell>
          <cell r="V215" t="str">
            <v>BG-017</v>
          </cell>
          <cell r="Y215" t="str">
            <v>REJ</v>
          </cell>
          <cell r="Z215" t="str">
            <v>REJ</v>
          </cell>
          <cell r="AA215" t="str">
            <v>ACC</v>
          </cell>
          <cell r="AB215" t="str">
            <v>MT-2211-ST-01-0018</v>
          </cell>
          <cell r="AC215" t="str">
            <v>REJ</v>
          </cell>
          <cell r="AD215" t="str">
            <v>UT-2211-ST-01-0022</v>
          </cell>
          <cell r="AH215">
            <v>54</v>
          </cell>
          <cell r="AL215" t="str">
            <v>27/11/2025</v>
          </cell>
          <cell r="AM215" t="str">
            <v>IRN-2211-ST-01-0003</v>
          </cell>
          <cell r="AP215" t="str">
            <v>01/10/2025</v>
          </cell>
        </row>
        <row r="216">
          <cell r="A216" t="str">
            <v>9001-2211-DS-0009-01-WM66R1</v>
          </cell>
          <cell r="B216" t="str">
            <v>9001-2211-DS-0009-01-WM</v>
          </cell>
          <cell r="C216" t="str">
            <v>66R1</v>
          </cell>
          <cell r="E216" t="str">
            <v>DV</v>
          </cell>
          <cell r="F216" t="str">
            <v>100%MT &amp; UT</v>
          </cell>
          <cell r="G216" t="str">
            <v>L</v>
          </cell>
          <cell r="H216">
            <v>700</v>
          </cell>
          <cell r="I216">
            <v>55</v>
          </cell>
          <cell r="K216" t="str">
            <v>WPS-TNHA-S04</v>
          </cell>
          <cell r="L216" t="str">
            <v>ST-01</v>
          </cell>
          <cell r="M216" t="str">
            <v>NA</v>
          </cell>
          <cell r="N216" t="str">
            <v>NA</v>
          </cell>
          <cell r="O216" t="str">
            <v>NA</v>
          </cell>
          <cell r="P216" t="str">
            <v>13h 02/10/2025</v>
          </cell>
          <cell r="Q216" t="str">
            <v>BGT0019</v>
          </cell>
          <cell r="R216" t="str">
            <v>HIẾU</v>
          </cell>
          <cell r="S216">
            <v>45933</v>
          </cell>
          <cell r="T216" t="str">
            <v>V-023</v>
          </cell>
          <cell r="U216">
            <v>45931</v>
          </cell>
          <cell r="V216" t="str">
            <v>BG-027</v>
          </cell>
          <cell r="Y216" t="str">
            <v>FINISH</v>
          </cell>
          <cell r="Z216" t="str">
            <v>ACC</v>
          </cell>
          <cell r="AA216" t="str">
            <v>ACC</v>
          </cell>
          <cell r="AB216" t="str">
            <v>MT-2211-ST-01-0018R1</v>
          </cell>
          <cell r="AC216" t="str">
            <v>ACC</v>
          </cell>
          <cell r="AD216" t="str">
            <v>UT-2211-ST-01-0022R1</v>
          </cell>
          <cell r="AI216">
            <v>300</v>
          </cell>
          <cell r="AL216" t="str">
            <v>27/11/2025</v>
          </cell>
          <cell r="AM216" t="str">
            <v>IRN-2211-ST-01-0003</v>
          </cell>
          <cell r="AP216" t="str">
            <v>08/10/2025</v>
          </cell>
        </row>
        <row r="217">
          <cell r="A217" t="str">
            <v>9001-2211-DS-0009-01-WM67</v>
          </cell>
          <cell r="B217" t="str">
            <v>9001-2211-DS-0009-01-WM</v>
          </cell>
          <cell r="C217">
            <v>67</v>
          </cell>
          <cell r="E217" t="str">
            <v>DV</v>
          </cell>
          <cell r="F217" t="str">
            <v>100%MT &amp; UT</v>
          </cell>
          <cell r="G217" t="str">
            <v>D</v>
          </cell>
          <cell r="H217">
            <v>4785.3600000000006</v>
          </cell>
          <cell r="I217" t="str">
            <v>25/55</v>
          </cell>
          <cell r="K217" t="str">
            <v>WPS-TNHA-S01</v>
          </cell>
          <cell r="L217" t="str">
            <v>ST-01</v>
          </cell>
          <cell r="M217" t="str">
            <v xml:space="preserve">HIẾU </v>
          </cell>
          <cell r="N217">
            <v>45912</v>
          </cell>
          <cell r="O217" t="str">
            <v>F-015</v>
          </cell>
          <cell r="P217" t="str">
            <v>14h00 21/09/2025</v>
          </cell>
          <cell r="Q217" t="str">
            <v>BGT-0013;BGT-0022;ND08</v>
          </cell>
          <cell r="R217" t="str">
            <v>TUÂN</v>
          </cell>
          <cell r="S217">
            <v>45926</v>
          </cell>
          <cell r="T217" t="str">
            <v>V-017</v>
          </cell>
          <cell r="U217">
            <v>45920</v>
          </cell>
          <cell r="V217" t="str">
            <v>BG-017</v>
          </cell>
          <cell r="Y217" t="str">
            <v>FINISH</v>
          </cell>
          <cell r="Z217" t="str">
            <v>ACC</v>
          </cell>
          <cell r="AA217" t="str">
            <v>ACC</v>
          </cell>
          <cell r="AB217" t="str">
            <v>MT-2211-ST-01-0017</v>
          </cell>
          <cell r="AC217" t="str">
            <v>ACC</v>
          </cell>
          <cell r="AD217" t="str">
            <v>UT-2211-ST-01-0020</v>
          </cell>
          <cell r="AL217" t="str">
            <v>27/11/2025</v>
          </cell>
          <cell r="AM217" t="str">
            <v>IRN-2211-ST-01-0003</v>
          </cell>
          <cell r="AP217" t="str">
            <v>01/10/2025</v>
          </cell>
        </row>
        <row r="218">
          <cell r="A218" t="str">
            <v>9001-2211-DS-0009-01-WM68</v>
          </cell>
          <cell r="B218" t="str">
            <v>9001-2211-DS-0009-01-WM</v>
          </cell>
          <cell r="C218">
            <v>68</v>
          </cell>
          <cell r="E218" t="str">
            <v>SV</v>
          </cell>
          <cell r="F218" t="str">
            <v>100%MT &amp; UT</v>
          </cell>
          <cell r="G218" t="str">
            <v>D</v>
          </cell>
          <cell r="H218">
            <v>4785.3600000000006</v>
          </cell>
          <cell r="I218">
            <v>25</v>
          </cell>
          <cell r="K218" t="str">
            <v>WPS-TNHA-S06</v>
          </cell>
          <cell r="L218" t="str">
            <v>ST-01</v>
          </cell>
          <cell r="M218" t="str">
            <v>TUÂN</v>
          </cell>
          <cell r="N218">
            <v>45980</v>
          </cell>
          <cell r="O218" t="str">
            <v>F-092</v>
          </cell>
          <cell r="P218" t="str">
            <v>20/11/2025</v>
          </cell>
          <cell r="Q218" t="str">
            <v>BGT-0030;BGT0019;GTC-12;GTC-10</v>
          </cell>
          <cell r="R218" t="str">
            <v>BÁCH</v>
          </cell>
          <cell r="S218">
            <v>45985</v>
          </cell>
          <cell r="T218" t="str">
            <v>V-090</v>
          </cell>
          <cell r="Y218" t="str">
            <v>FINISH</v>
          </cell>
          <cell r="Z218" t="str">
            <v>ACC</v>
          </cell>
          <cell r="AA218" t="str">
            <v>ACC</v>
          </cell>
          <cell r="AB218" t="str">
            <v>MT-2211-ST-01-0050</v>
          </cell>
          <cell r="AC218" t="str">
            <v>ACC</v>
          </cell>
          <cell r="AD218" t="str">
            <v>UT-2211-ST-01-0058</v>
          </cell>
          <cell r="AL218" t="str">
            <v>27/11/2025</v>
          </cell>
          <cell r="AM218" t="str">
            <v>IRN-2211-ST-01-0003</v>
          </cell>
          <cell r="AP218" t="str">
            <v>26/11/2025</v>
          </cell>
        </row>
        <row r="219">
          <cell r="A219" t="str">
            <v>9001-2211-DS-0009-01-WM69</v>
          </cell>
          <cell r="B219" t="str">
            <v>9001-2211-DS-0009-01-WM</v>
          </cell>
          <cell r="C219">
            <v>69</v>
          </cell>
          <cell r="E219" t="str">
            <v>DV</v>
          </cell>
          <cell r="F219" t="str">
            <v>100%MT &amp; UT</v>
          </cell>
          <cell r="G219" t="str">
            <v>D</v>
          </cell>
          <cell r="H219">
            <v>4785.3600000000006</v>
          </cell>
          <cell r="I219">
            <v>25</v>
          </cell>
          <cell r="K219" t="str">
            <v>WPS-TNHA-S01</v>
          </cell>
          <cell r="L219" t="str">
            <v>ST-01</v>
          </cell>
          <cell r="M219" t="str">
            <v>Tuân</v>
          </cell>
          <cell r="N219">
            <v>45903</v>
          </cell>
          <cell r="O219" t="str">
            <v>F-003</v>
          </cell>
          <cell r="P219" t="str">
            <v>11h00 11/09/2025</v>
          </cell>
          <cell r="Q219" t="str">
            <v>BGT-0018;BGT-0020;GTC-10</v>
          </cell>
          <cell r="R219" t="str">
            <v>HIẾU</v>
          </cell>
          <cell r="S219">
            <v>45913</v>
          </cell>
          <cell r="T219" t="str">
            <v>V-005</v>
          </cell>
          <cell r="U219">
            <v>45910</v>
          </cell>
          <cell r="V219" t="str">
            <v>BG-005</v>
          </cell>
          <cell r="Y219" t="str">
            <v>FINISH</v>
          </cell>
          <cell r="Z219" t="str">
            <v>ACC</v>
          </cell>
          <cell r="AA219" t="str">
            <v>ACC</v>
          </cell>
          <cell r="AB219" t="str">
            <v>MT-2211-ST-01-0006</v>
          </cell>
          <cell r="AC219" t="str">
            <v>ACC</v>
          </cell>
          <cell r="AD219" t="str">
            <v>UT-2211-ST-01-0006</v>
          </cell>
          <cell r="AL219" t="str">
            <v>27/11/2025</v>
          </cell>
          <cell r="AM219" t="str">
            <v>IRN-2211-ST-01-0003</v>
          </cell>
          <cell r="AP219" t="str">
            <v>17/09/2025</v>
          </cell>
        </row>
        <row r="220">
          <cell r="A220" t="str">
            <v>9001-2211-DS-0009-01-WM70</v>
          </cell>
          <cell r="B220" t="str">
            <v>9001-2211-DS-0009-01-WM</v>
          </cell>
          <cell r="C220">
            <v>70</v>
          </cell>
          <cell r="E220" t="str">
            <v>DV</v>
          </cell>
          <cell r="F220" t="str">
            <v>100%MT &amp; UT</v>
          </cell>
          <cell r="G220" t="str">
            <v>D</v>
          </cell>
          <cell r="H220">
            <v>4785.3600000000006</v>
          </cell>
          <cell r="I220">
            <v>25</v>
          </cell>
          <cell r="K220" t="str">
            <v>WPS-TNHA-S01</v>
          </cell>
          <cell r="L220" t="str">
            <v>ST-01</v>
          </cell>
          <cell r="M220" t="str">
            <v>Tuân</v>
          </cell>
          <cell r="N220">
            <v>45903</v>
          </cell>
          <cell r="O220" t="str">
            <v>F-003</v>
          </cell>
          <cell r="P220" t="str">
            <v>10h15 10/09/2025</v>
          </cell>
          <cell r="Q220" t="str">
            <v>BGT-0018;BGT-0020;ND08</v>
          </cell>
          <cell r="R220" t="str">
            <v>HIẾU</v>
          </cell>
          <cell r="S220">
            <v>45913</v>
          </cell>
          <cell r="T220" t="str">
            <v>V-005</v>
          </cell>
          <cell r="U220">
            <v>45909</v>
          </cell>
          <cell r="V220" t="str">
            <v>BG-004</v>
          </cell>
          <cell r="Y220" t="str">
            <v>FINISH</v>
          </cell>
          <cell r="Z220" t="str">
            <v>ACC</v>
          </cell>
          <cell r="AA220" t="str">
            <v>ACC</v>
          </cell>
          <cell r="AB220" t="str">
            <v>MT-2211-ST-01-0006</v>
          </cell>
          <cell r="AC220" t="str">
            <v>ACC</v>
          </cell>
          <cell r="AD220" t="str">
            <v>UT-2211-ST-01-0007</v>
          </cell>
          <cell r="AL220" t="str">
            <v>27/11/2025</v>
          </cell>
          <cell r="AM220" t="str">
            <v>IRN-2211-ST-01-0003</v>
          </cell>
          <cell r="AP220" t="str">
            <v>17/09/2025</v>
          </cell>
        </row>
        <row r="221">
          <cell r="A221" t="str">
            <v>9001-2211-DS-0009-01-WM71</v>
          </cell>
          <cell r="B221" t="str">
            <v>9001-2211-DS-0009-01-WM</v>
          </cell>
          <cell r="C221">
            <v>71</v>
          </cell>
          <cell r="E221" t="str">
            <v>DV</v>
          </cell>
          <cell r="F221" t="str">
            <v>100%MT &amp; UT</v>
          </cell>
          <cell r="G221" t="str">
            <v>D</v>
          </cell>
          <cell r="H221">
            <v>4785.3600000000006</v>
          </cell>
          <cell r="I221">
            <v>25</v>
          </cell>
          <cell r="K221" t="str">
            <v>WPS-TNHA-S01</v>
          </cell>
          <cell r="L221" t="str">
            <v>ST-01</v>
          </cell>
          <cell r="M221" t="str">
            <v>Tuân</v>
          </cell>
          <cell r="N221">
            <v>45903</v>
          </cell>
          <cell r="O221" t="str">
            <v>F-003</v>
          </cell>
          <cell r="P221" t="str">
            <v>14h30 10/09/2025</v>
          </cell>
          <cell r="Q221" t="str">
            <v>BGT0017;BGT-0014;ND08</v>
          </cell>
          <cell r="R221" t="str">
            <v>HIẾU</v>
          </cell>
          <cell r="S221">
            <v>45913</v>
          </cell>
          <cell r="T221" t="str">
            <v>V-005</v>
          </cell>
          <cell r="U221">
            <v>45910</v>
          </cell>
          <cell r="V221" t="str">
            <v>BG-005</v>
          </cell>
          <cell r="Y221" t="str">
            <v>FINISH</v>
          </cell>
          <cell r="Z221" t="str">
            <v>ACC</v>
          </cell>
          <cell r="AA221" t="str">
            <v>ACC</v>
          </cell>
          <cell r="AB221" t="str">
            <v>MT-2211-ST-01-0006</v>
          </cell>
          <cell r="AC221" t="str">
            <v>ACC</v>
          </cell>
          <cell r="AD221" t="str">
            <v>UT-2211-ST-01-0007</v>
          </cell>
          <cell r="AL221" t="str">
            <v>27/11/2025</v>
          </cell>
          <cell r="AM221" t="str">
            <v>IRN-2211-ST-01-0003</v>
          </cell>
          <cell r="AP221" t="str">
            <v>17/09/2025</v>
          </cell>
        </row>
        <row r="222">
          <cell r="A222" t="str">
            <v>9001-2211-DS-0009-01-WM72</v>
          </cell>
          <cell r="B222" t="str">
            <v>9001-2211-DS-0009-01-WM</v>
          </cell>
          <cell r="C222">
            <v>72</v>
          </cell>
          <cell r="E222" t="str">
            <v>DV</v>
          </cell>
          <cell r="F222" t="str">
            <v>100%MT &amp; UT</v>
          </cell>
          <cell r="G222" t="str">
            <v>D</v>
          </cell>
          <cell r="H222">
            <v>4785.3600000000006</v>
          </cell>
          <cell r="I222">
            <v>25</v>
          </cell>
          <cell r="K222" t="str">
            <v>WPS-TNHA-S01</v>
          </cell>
          <cell r="L222" t="str">
            <v>ST-01</v>
          </cell>
          <cell r="M222" t="str">
            <v>Tuân</v>
          </cell>
          <cell r="N222">
            <v>45903</v>
          </cell>
          <cell r="O222" t="str">
            <v>F-003</v>
          </cell>
          <cell r="P222" t="str">
            <v>15h00 11/09/2025</v>
          </cell>
          <cell r="Q222" t="str">
            <v>BGT-0014;BGT0017;GTC-10</v>
          </cell>
          <cell r="R222" t="str">
            <v>HIẾU</v>
          </cell>
          <cell r="S222">
            <v>45913</v>
          </cell>
          <cell r="T222" t="str">
            <v>V-005</v>
          </cell>
          <cell r="U222">
            <v>45910</v>
          </cell>
          <cell r="V222" t="str">
            <v>BG-005</v>
          </cell>
          <cell r="Y222" t="str">
            <v>FINISH</v>
          </cell>
          <cell r="Z222" t="str">
            <v>ACC</v>
          </cell>
          <cell r="AA222" t="str">
            <v>ACC</v>
          </cell>
          <cell r="AB222" t="str">
            <v>MT-2211-ST-01-0006</v>
          </cell>
          <cell r="AC222" t="str">
            <v>ACC</v>
          </cell>
          <cell r="AD222" t="str">
            <v>UT-2211-ST-01-0007</v>
          </cell>
          <cell r="AL222" t="str">
            <v>27/11/2025</v>
          </cell>
          <cell r="AM222" t="str">
            <v>IRN-2211-ST-01-0003</v>
          </cell>
          <cell r="AP222" t="str">
            <v>17/09/2025</v>
          </cell>
        </row>
        <row r="223">
          <cell r="A223" t="str">
            <v>9001-2211-DS-0009-01-WM73</v>
          </cell>
          <cell r="B223" t="str">
            <v>9001-2211-DS-0009-01-WM</v>
          </cell>
          <cell r="C223">
            <v>73</v>
          </cell>
          <cell r="E223" t="str">
            <v>DV</v>
          </cell>
          <cell r="F223" t="str">
            <v>100%MT &amp; UT</v>
          </cell>
          <cell r="G223" t="str">
            <v>D</v>
          </cell>
          <cell r="H223">
            <v>4785.3600000000006</v>
          </cell>
          <cell r="I223" t="str">
            <v>25/50</v>
          </cell>
          <cell r="K223" t="str">
            <v>WPS-TNHA-S06</v>
          </cell>
          <cell r="L223" t="str">
            <v>ST-01</v>
          </cell>
          <cell r="M223" t="str">
            <v>HIẾU</v>
          </cell>
          <cell r="N223">
            <v>45936</v>
          </cell>
          <cell r="O223" t="str">
            <v>F-034</v>
          </cell>
          <cell r="P223" t="str">
            <v>15/10/2025</v>
          </cell>
          <cell r="Q223" t="str">
            <v>BGT-0008;BGT-0013</v>
          </cell>
          <cell r="R223" t="str">
            <v>HIẾU</v>
          </cell>
          <cell r="S223">
            <v>45954</v>
          </cell>
          <cell r="T223" t="str">
            <v>V-042</v>
          </cell>
          <cell r="U223" t="str">
            <v>14/10/2025</v>
          </cell>
          <cell r="V223" t="str">
            <v>BG-042</v>
          </cell>
          <cell r="Y223" t="str">
            <v>REJ</v>
          </cell>
          <cell r="Z223" t="str">
            <v>REJ</v>
          </cell>
          <cell r="AA223" t="str">
            <v>ACC</v>
          </cell>
          <cell r="AB223" t="str">
            <v>MT-2211-ST-01-0032</v>
          </cell>
          <cell r="AC223" t="str">
            <v>REJ</v>
          </cell>
          <cell r="AD223" t="str">
            <v>UT-2211-ST-01-0040</v>
          </cell>
          <cell r="AH223">
            <v>50</v>
          </cell>
          <cell r="AL223" t="str">
            <v>27/11/2025</v>
          </cell>
          <cell r="AM223" t="str">
            <v>IRN-2211-ST-01-0003</v>
          </cell>
          <cell r="AP223" t="str">
            <v>29/10/2025</v>
          </cell>
        </row>
        <row r="224">
          <cell r="A224" t="str">
            <v>9001-2211-DS-0009-01-WM73R1</v>
          </cell>
          <cell r="B224" t="str">
            <v>9001-2211-DS-0009-01-WM</v>
          </cell>
          <cell r="C224" t="str">
            <v>73R1</v>
          </cell>
          <cell r="E224" t="str">
            <v>DV</v>
          </cell>
          <cell r="F224" t="str">
            <v>100%MT &amp; UT</v>
          </cell>
          <cell r="G224" t="str">
            <v>L</v>
          </cell>
          <cell r="H224">
            <v>350</v>
          </cell>
          <cell r="I224" t="str">
            <v>25/50</v>
          </cell>
          <cell r="K224" t="str">
            <v>WPS-TNHA-S06</v>
          </cell>
          <cell r="L224" t="str">
            <v>ST-01</v>
          </cell>
          <cell r="M224" t="str">
            <v>NA</v>
          </cell>
          <cell r="N224" t="str">
            <v>NA</v>
          </cell>
          <cell r="O224" t="str">
            <v>NA</v>
          </cell>
          <cell r="P224" t="str">
            <v>30/10/2025</v>
          </cell>
          <cell r="Q224" t="str">
            <v>BGT-0032</v>
          </cell>
          <cell r="R224" t="str">
            <v>HIẾU</v>
          </cell>
          <cell r="S224">
            <v>45963</v>
          </cell>
          <cell r="T224" t="str">
            <v>V-051</v>
          </cell>
          <cell r="U224">
            <v>45958</v>
          </cell>
          <cell r="V224" t="str">
            <v>BG-060</v>
          </cell>
          <cell r="Y224" t="str">
            <v>FINISH</v>
          </cell>
          <cell r="Z224" t="str">
            <v>ACC</v>
          </cell>
          <cell r="AA224" t="str">
            <v>ACC</v>
          </cell>
          <cell r="AB224" t="str">
            <v>MT-2211-ST-01-0032R1</v>
          </cell>
          <cell r="AC224" t="str">
            <v>ACC</v>
          </cell>
          <cell r="AD224" t="str">
            <v>UT-2211-ST-01-0040R1</v>
          </cell>
          <cell r="AI224">
            <v>150</v>
          </cell>
          <cell r="AL224" t="str">
            <v>27/11/2025</v>
          </cell>
          <cell r="AM224" t="str">
            <v>IRN-2211-ST-01-0003</v>
          </cell>
          <cell r="AP224" t="str">
            <v>5/11/2025</v>
          </cell>
        </row>
        <row r="225">
          <cell r="A225" t="str">
            <v>9001-2211-DS-0009-01-WM74</v>
          </cell>
          <cell r="B225" t="str">
            <v>9001-2211-DS-0009-01-WM</v>
          </cell>
          <cell r="C225">
            <v>74</v>
          </cell>
          <cell r="E225" t="str">
            <v>DV</v>
          </cell>
          <cell r="F225" t="str">
            <v>100%MT &amp; UT</v>
          </cell>
          <cell r="G225" t="str">
            <v>D</v>
          </cell>
          <cell r="H225">
            <v>4785.3600000000006</v>
          </cell>
          <cell r="I225">
            <v>50</v>
          </cell>
          <cell r="K225" t="str">
            <v>WPS-TNHA-S01</v>
          </cell>
          <cell r="L225" t="str">
            <v>ST-01</v>
          </cell>
          <cell r="M225" t="str">
            <v>THÁI</v>
          </cell>
          <cell r="N225">
            <v>45904</v>
          </cell>
          <cell r="O225" t="str">
            <v>F-005</v>
          </cell>
          <cell r="P225" t="str">
            <v>19h00 25/09/2025</v>
          </cell>
          <cell r="Q225" t="str">
            <v>BGT-0008;BGT-0012;GTC-10</v>
          </cell>
          <cell r="R225" t="str">
            <v>BÁCH</v>
          </cell>
          <cell r="S225">
            <v>45929</v>
          </cell>
          <cell r="T225" t="str">
            <v>V-019</v>
          </cell>
          <cell r="U225">
            <v>45924</v>
          </cell>
          <cell r="V225" t="str">
            <v>BG-022</v>
          </cell>
          <cell r="Y225" t="str">
            <v>FINISH</v>
          </cell>
          <cell r="Z225" t="str">
            <v>ACC</v>
          </cell>
          <cell r="AA225" t="str">
            <v>ACC</v>
          </cell>
          <cell r="AB225" t="str">
            <v>MT-2211-ST-01-0019</v>
          </cell>
          <cell r="AC225" t="str">
            <v>ACC</v>
          </cell>
          <cell r="AD225" t="str">
            <v>UT-2211-ST-01-0023</v>
          </cell>
          <cell r="AL225" t="str">
            <v>27/11/2025</v>
          </cell>
          <cell r="AM225" t="str">
            <v>IRN-2211-ST-01-0003</v>
          </cell>
          <cell r="AP225" t="str">
            <v>01/10/2025</v>
          </cell>
        </row>
        <row r="226">
          <cell r="A226" t="str">
            <v>9001-2211-DS-0009-01-WM75</v>
          </cell>
          <cell r="B226" t="str">
            <v>9001-2211-DS-0009-01-WM</v>
          </cell>
          <cell r="C226">
            <v>75</v>
          </cell>
          <cell r="E226" t="str">
            <v>DV</v>
          </cell>
          <cell r="F226" t="str">
            <v>100%MT &amp; UT</v>
          </cell>
          <cell r="G226" t="str">
            <v>D</v>
          </cell>
          <cell r="H226">
            <v>4785.3600000000006</v>
          </cell>
          <cell r="I226">
            <v>50</v>
          </cell>
          <cell r="K226" t="str">
            <v>WPS-TNHA-S01</v>
          </cell>
          <cell r="L226" t="str">
            <v>ST-01</v>
          </cell>
          <cell r="M226" t="str">
            <v>THÁI</v>
          </cell>
          <cell r="N226">
            <v>45904</v>
          </cell>
          <cell r="O226" t="str">
            <v>F-005</v>
          </cell>
          <cell r="P226" t="str">
            <v>19h00 25/09/2025</v>
          </cell>
          <cell r="Q226" t="str">
            <v>BGT-0008;BGT-0012;GTC-10</v>
          </cell>
          <cell r="R226" t="str">
            <v>BÁCH</v>
          </cell>
          <cell r="S226">
            <v>45929</v>
          </cell>
          <cell r="T226" t="str">
            <v>V-019</v>
          </cell>
          <cell r="U226">
            <v>45924</v>
          </cell>
          <cell r="V226" t="str">
            <v>BG-021</v>
          </cell>
          <cell r="Y226" t="str">
            <v>REJ</v>
          </cell>
          <cell r="Z226" t="str">
            <v>REJ</v>
          </cell>
          <cell r="AA226" t="str">
            <v>ACC</v>
          </cell>
          <cell r="AB226" t="str">
            <v>MT-2211-ST-01-0019</v>
          </cell>
          <cell r="AC226" t="str">
            <v>REJ</v>
          </cell>
          <cell r="AD226" t="str">
            <v>UT-2211-ST-01-0024</v>
          </cell>
          <cell r="AH226">
            <v>400</v>
          </cell>
          <cell r="AL226" t="str">
            <v>27/11/2025</v>
          </cell>
          <cell r="AM226" t="str">
            <v>IRN-2211-ST-01-0003</v>
          </cell>
          <cell r="AP226" t="str">
            <v>01/10/2025</v>
          </cell>
        </row>
        <row r="227">
          <cell r="A227" t="str">
            <v>9001-2211-DS-0009-01-WM75R1</v>
          </cell>
          <cell r="B227" t="str">
            <v>9001-2211-DS-0009-01-WM</v>
          </cell>
          <cell r="C227" t="str">
            <v>75R1</v>
          </cell>
          <cell r="E227" t="str">
            <v>DV</v>
          </cell>
          <cell r="F227" t="str">
            <v>100%MT &amp; UT</v>
          </cell>
          <cell r="G227" t="str">
            <v>L</v>
          </cell>
          <cell r="H227">
            <v>1000</v>
          </cell>
          <cell r="I227">
            <v>50</v>
          </cell>
          <cell r="K227" t="str">
            <v>WPS-TNHA-S02</v>
          </cell>
          <cell r="L227" t="str">
            <v>ST-01</v>
          </cell>
          <cell r="M227" t="str">
            <v>NA</v>
          </cell>
          <cell r="N227" t="str">
            <v>NA</v>
          </cell>
          <cell r="O227" t="str">
            <v>NA</v>
          </cell>
          <cell r="P227" t="str">
            <v>13h 02/10/2025</v>
          </cell>
          <cell r="Q227" t="str">
            <v>BGT0019</v>
          </cell>
          <cell r="R227" t="str">
            <v>HIẾU</v>
          </cell>
          <cell r="S227">
            <v>45933</v>
          </cell>
          <cell r="T227" t="str">
            <v>V-023</v>
          </cell>
          <cell r="U227">
            <v>45931</v>
          </cell>
          <cell r="V227" t="str">
            <v>BG-027</v>
          </cell>
          <cell r="Y227" t="str">
            <v>FINISH</v>
          </cell>
          <cell r="Z227" t="str">
            <v>ACC</v>
          </cell>
          <cell r="AA227" t="str">
            <v>ACC</v>
          </cell>
          <cell r="AB227" t="str">
            <v>MT-2211-ST-01-0019R1</v>
          </cell>
          <cell r="AC227" t="str">
            <v>ACC</v>
          </cell>
          <cell r="AD227" t="str">
            <v>UT-2211-ST-01-0024R1</v>
          </cell>
          <cell r="AI227">
            <v>600</v>
          </cell>
          <cell r="AL227" t="str">
            <v>27/11/2025</v>
          </cell>
          <cell r="AM227" t="str">
            <v>IRN-2211-ST-01-0003</v>
          </cell>
          <cell r="AP227" t="str">
            <v>08/10/2025</v>
          </cell>
        </row>
        <row r="228">
          <cell r="A228" t="str">
            <v>9001-2211-DS-0009-01-WM76</v>
          </cell>
          <cell r="B228" t="str">
            <v>9001-2211-DS-0009-01-WM</v>
          </cell>
          <cell r="C228">
            <v>76</v>
          </cell>
          <cell r="E228" t="str">
            <v>DV</v>
          </cell>
          <cell r="F228" t="str">
            <v>100%MT &amp; UT</v>
          </cell>
          <cell r="G228" t="str">
            <v>D</v>
          </cell>
          <cell r="H228">
            <v>4785.3600000000006</v>
          </cell>
          <cell r="I228" t="str">
            <v>30/50</v>
          </cell>
          <cell r="K228" t="str">
            <v>WPS-TNHA-S06</v>
          </cell>
          <cell r="L228" t="str">
            <v>ST-01</v>
          </cell>
          <cell r="M228" t="str">
            <v>HIẾU</v>
          </cell>
          <cell r="N228">
            <v>45936</v>
          </cell>
          <cell r="O228" t="str">
            <v>F-034</v>
          </cell>
          <cell r="P228" t="str">
            <v>15/10/2025</v>
          </cell>
          <cell r="Q228" t="str">
            <v>BGT-0008;BGT-0030;BGT-0032;BGT0017</v>
          </cell>
          <cell r="R228" t="str">
            <v>HIẾU</v>
          </cell>
          <cell r="S228">
            <v>45954</v>
          </cell>
          <cell r="T228" t="str">
            <v>V-042</v>
          </cell>
          <cell r="U228" t="str">
            <v>14/10/2025</v>
          </cell>
          <cell r="V228" t="str">
            <v>BG-042</v>
          </cell>
          <cell r="Y228" t="str">
            <v>REJ</v>
          </cell>
          <cell r="Z228" t="str">
            <v>REJ</v>
          </cell>
          <cell r="AA228" t="str">
            <v>ACC</v>
          </cell>
          <cell r="AB228" t="str">
            <v>MT-2211-ST-01-0032</v>
          </cell>
          <cell r="AC228" t="str">
            <v>REJ</v>
          </cell>
          <cell r="AD228" t="str">
            <v>UT-2211-ST-01-0039</v>
          </cell>
          <cell r="AH228">
            <v>40</v>
          </cell>
          <cell r="AL228" t="str">
            <v>27/11/2025</v>
          </cell>
          <cell r="AM228" t="str">
            <v>IRN-2211-ST-01-0003</v>
          </cell>
          <cell r="AP228" t="str">
            <v>29/10/2025</v>
          </cell>
        </row>
        <row r="229">
          <cell r="A229" t="str">
            <v>9001-2211-DS-0009-01-WM76R1</v>
          </cell>
          <cell r="B229" t="str">
            <v>9001-2211-DS-0009-01-WM</v>
          </cell>
          <cell r="C229" t="str">
            <v>76R1</v>
          </cell>
          <cell r="E229" t="str">
            <v>DV</v>
          </cell>
          <cell r="F229" t="str">
            <v>100%MT &amp; UT</v>
          </cell>
          <cell r="G229" t="str">
            <v>L</v>
          </cell>
          <cell r="H229">
            <v>340</v>
          </cell>
          <cell r="I229" t="str">
            <v>30/50</v>
          </cell>
          <cell r="K229" t="str">
            <v>WPS-TNHA-S06</v>
          </cell>
          <cell r="L229" t="str">
            <v>ST-01</v>
          </cell>
          <cell r="M229" t="str">
            <v>NA</v>
          </cell>
          <cell r="N229" t="str">
            <v>NA</v>
          </cell>
          <cell r="O229" t="str">
            <v>NA</v>
          </cell>
          <cell r="P229" t="str">
            <v>30/10/2025</v>
          </cell>
          <cell r="Q229" t="str">
            <v>BGT-0032</v>
          </cell>
          <cell r="R229" t="str">
            <v>HIẾU</v>
          </cell>
          <cell r="S229">
            <v>45963</v>
          </cell>
          <cell r="T229" t="str">
            <v>V-051</v>
          </cell>
          <cell r="U229">
            <v>45958</v>
          </cell>
          <cell r="V229" t="str">
            <v>BG-060</v>
          </cell>
          <cell r="Y229" t="str">
            <v>FINISH</v>
          </cell>
          <cell r="Z229" t="str">
            <v>ACC</v>
          </cell>
          <cell r="AA229" t="str">
            <v>ACC</v>
          </cell>
          <cell r="AB229" t="str">
            <v>MT-2211-ST-01-0032R1</v>
          </cell>
          <cell r="AC229" t="str">
            <v>ACC</v>
          </cell>
          <cell r="AD229" t="str">
            <v>UT-2211-ST-01-0039R1</v>
          </cell>
          <cell r="AI229">
            <v>140</v>
          </cell>
          <cell r="AL229" t="str">
            <v>27/11/2025</v>
          </cell>
          <cell r="AM229" t="str">
            <v>IRN-2211-ST-01-0003</v>
          </cell>
          <cell r="AP229" t="str">
            <v>5/11/2025</v>
          </cell>
        </row>
        <row r="230">
          <cell r="A230" t="str">
            <v>9001-2211-DS-0009-01-WM77</v>
          </cell>
          <cell r="B230" t="str">
            <v>9001-2211-DS-0009-01-WM</v>
          </cell>
          <cell r="C230">
            <v>77</v>
          </cell>
          <cell r="E230" t="str">
            <v>DV</v>
          </cell>
          <cell r="F230" t="str">
            <v>100%MT &amp; UT</v>
          </cell>
          <cell r="G230" t="str">
            <v>D</v>
          </cell>
          <cell r="H230">
            <v>4785.3600000000006</v>
          </cell>
          <cell r="I230">
            <v>30</v>
          </cell>
          <cell r="K230" t="str">
            <v>WPS-TNHA-S01</v>
          </cell>
          <cell r="L230" t="str">
            <v>ST-01</v>
          </cell>
          <cell r="M230" t="str">
            <v>Thái</v>
          </cell>
          <cell r="N230">
            <v>45903</v>
          </cell>
          <cell r="O230" t="str">
            <v>F-004</v>
          </cell>
          <cell r="P230" t="str">
            <v>10h30 17/09/2025</v>
          </cell>
          <cell r="Q230" t="str">
            <v>BGT-0008;BGT-0012;GTC-10</v>
          </cell>
          <cell r="R230" t="str">
            <v>HIẾU</v>
          </cell>
          <cell r="S230">
            <v>45919</v>
          </cell>
          <cell r="T230" t="str">
            <v>V-009</v>
          </cell>
          <cell r="U230">
            <v>45916</v>
          </cell>
          <cell r="V230" t="str">
            <v>BG-011</v>
          </cell>
          <cell r="Y230" t="str">
            <v>FINISH</v>
          </cell>
          <cell r="Z230" t="str">
            <v>ACC</v>
          </cell>
          <cell r="AA230" t="str">
            <v>ACC</v>
          </cell>
          <cell r="AB230" t="str">
            <v>MT-2211-ST-01-0010</v>
          </cell>
          <cell r="AC230" t="str">
            <v>ACC</v>
          </cell>
          <cell r="AD230" t="str">
            <v>UT-2211-ST-01-0012</v>
          </cell>
          <cell r="AL230" t="str">
            <v>27/11/2025</v>
          </cell>
          <cell r="AM230" t="str">
            <v>IRN-2211-ST-01-0003</v>
          </cell>
          <cell r="AP230" t="str">
            <v>24/09/2025</v>
          </cell>
        </row>
        <row r="231">
          <cell r="A231" t="str">
            <v>9001-2211-DS-0009-01-WM78</v>
          </cell>
          <cell r="B231" t="str">
            <v>9001-2211-DS-0009-01-WM</v>
          </cell>
          <cell r="C231">
            <v>78</v>
          </cell>
          <cell r="E231" t="str">
            <v>DV</v>
          </cell>
          <cell r="F231" t="str">
            <v>100%MT &amp; UT</v>
          </cell>
          <cell r="G231" t="str">
            <v>D</v>
          </cell>
          <cell r="H231">
            <v>4785.3600000000006</v>
          </cell>
          <cell r="I231">
            <v>30</v>
          </cell>
          <cell r="K231" t="str">
            <v>WPS-TNHA-S01</v>
          </cell>
          <cell r="L231" t="str">
            <v>ST-01</v>
          </cell>
          <cell r="M231" t="str">
            <v>Thái</v>
          </cell>
          <cell r="N231">
            <v>45903</v>
          </cell>
          <cell r="O231" t="str">
            <v>F-004</v>
          </cell>
          <cell r="P231" t="str">
            <v>11h00 12/09/2025</v>
          </cell>
          <cell r="Q231" t="str">
            <v>BGT-0008;BGT-0012;GTC-10</v>
          </cell>
          <cell r="R231" t="str">
            <v>HIẾU</v>
          </cell>
          <cell r="S231">
            <v>45915</v>
          </cell>
          <cell r="T231" t="str">
            <v>V-006</v>
          </cell>
          <cell r="U231">
            <v>45911</v>
          </cell>
          <cell r="V231" t="str">
            <v>BG-006</v>
          </cell>
          <cell r="Y231" t="str">
            <v>REJ</v>
          </cell>
          <cell r="Z231" t="str">
            <v>REJ</v>
          </cell>
          <cell r="AA231" t="str">
            <v>ACC</v>
          </cell>
          <cell r="AB231" t="str">
            <v>MT-2211-ST-01-0007</v>
          </cell>
          <cell r="AC231" t="str">
            <v>REJ</v>
          </cell>
          <cell r="AD231" t="str">
            <v>UT-2211-ST-01-0008</v>
          </cell>
          <cell r="AH231">
            <v>30</v>
          </cell>
          <cell r="AL231" t="str">
            <v>27/11/2025</v>
          </cell>
          <cell r="AM231" t="str">
            <v>IRN-2211-ST-01-0003</v>
          </cell>
          <cell r="AP231" t="str">
            <v>17/09/2025</v>
          </cell>
        </row>
        <row r="232">
          <cell r="A232" t="str">
            <v>9001-2211-DS-0009-01-WM78R1</v>
          </cell>
          <cell r="B232" t="str">
            <v>9001-2211-DS-0009-01-WM</v>
          </cell>
          <cell r="C232" t="str">
            <v>78R1</v>
          </cell>
          <cell r="E232" t="str">
            <v>DV</v>
          </cell>
          <cell r="F232" t="str">
            <v>100%MT &amp; UT</v>
          </cell>
          <cell r="G232" t="str">
            <v>L</v>
          </cell>
          <cell r="H232">
            <v>260</v>
          </cell>
          <cell r="I232">
            <v>30</v>
          </cell>
          <cell r="K232" t="str">
            <v>WPS-TNHA-S02</v>
          </cell>
          <cell r="L232" t="str">
            <v>ST-01</v>
          </cell>
          <cell r="M232" t="str">
            <v>NA</v>
          </cell>
          <cell r="N232" t="str">
            <v>NA</v>
          </cell>
          <cell r="O232" t="str">
            <v>NA</v>
          </cell>
          <cell r="P232" t="str">
            <v>13h00 19/09/2025</v>
          </cell>
          <cell r="Q232" t="str">
            <v>BGT0017</v>
          </cell>
          <cell r="R232" t="str">
            <v>TUÂN</v>
          </cell>
          <cell r="S232">
            <v>45920</v>
          </cell>
          <cell r="T232" t="str">
            <v>V-010</v>
          </cell>
          <cell r="U232">
            <v>45919</v>
          </cell>
          <cell r="V232" t="str">
            <v>BG-014</v>
          </cell>
          <cell r="Y232" t="str">
            <v>FINISH</v>
          </cell>
          <cell r="Z232" t="str">
            <v>ACC</v>
          </cell>
          <cell r="AA232" t="str">
            <v>ACC</v>
          </cell>
          <cell r="AB232" t="str">
            <v>MT-2211-ST-01-0007R1</v>
          </cell>
          <cell r="AC232" t="str">
            <v>ACC</v>
          </cell>
          <cell r="AD232" t="str">
            <v>UT-2211-ST-01-0008R1</v>
          </cell>
          <cell r="AI232">
            <v>60</v>
          </cell>
          <cell r="AL232" t="str">
            <v>27/11/2025</v>
          </cell>
          <cell r="AM232" t="str">
            <v>IRN-2211-ST-01-0003</v>
          </cell>
          <cell r="AP232" t="str">
            <v>24/09/2025</v>
          </cell>
        </row>
        <row r="233">
          <cell r="A233" t="str">
            <v>9001-2211-DS-0009-01-WM79</v>
          </cell>
          <cell r="B233" t="str">
            <v>9001-2211-DS-0009-01-WM</v>
          </cell>
          <cell r="C233">
            <v>79</v>
          </cell>
          <cell r="E233" t="str">
            <v>DV</v>
          </cell>
          <cell r="F233" t="str">
            <v>100%MT &amp; UT</v>
          </cell>
          <cell r="G233" t="str">
            <v>D</v>
          </cell>
          <cell r="H233">
            <v>4785.3600000000006</v>
          </cell>
          <cell r="I233">
            <v>30</v>
          </cell>
          <cell r="K233" t="str">
            <v>WPS-TNHA-S01</v>
          </cell>
          <cell r="L233" t="str">
            <v>ST-01</v>
          </cell>
          <cell r="M233" t="str">
            <v>Thái</v>
          </cell>
          <cell r="N233">
            <v>45903</v>
          </cell>
          <cell r="O233" t="str">
            <v>F-004</v>
          </cell>
          <cell r="P233" t="str">
            <v>10h00 18/09/2025</v>
          </cell>
          <cell r="Q233" t="str">
            <v>BGT-0013;BGT-0037;ND18</v>
          </cell>
          <cell r="R233" t="str">
            <v>HIẾU</v>
          </cell>
          <cell r="S233">
            <v>45920</v>
          </cell>
          <cell r="T233" t="str">
            <v>V-010</v>
          </cell>
          <cell r="U233">
            <v>45911</v>
          </cell>
          <cell r="V233" t="str">
            <v>BG-006</v>
          </cell>
          <cell r="Y233" t="str">
            <v>FINISH</v>
          </cell>
          <cell r="Z233" t="str">
            <v>ACC</v>
          </cell>
          <cell r="AA233" t="str">
            <v>ACC</v>
          </cell>
          <cell r="AB233" t="str">
            <v>MT-2211-ST-01-0011</v>
          </cell>
          <cell r="AC233" t="str">
            <v>ACC</v>
          </cell>
          <cell r="AD233" t="str">
            <v>UT-2211-ST-01-0013</v>
          </cell>
          <cell r="AL233" t="str">
            <v>27/11/2025</v>
          </cell>
          <cell r="AM233" t="str">
            <v>IRN-2211-ST-01-0003</v>
          </cell>
          <cell r="AP233" t="str">
            <v>24/09/2025</v>
          </cell>
        </row>
        <row r="234">
          <cell r="A234" t="str">
            <v>9001-2211-DS-0009-01-WM80</v>
          </cell>
          <cell r="B234" t="str">
            <v>9001-2211-DS-0009-01-WM</v>
          </cell>
          <cell r="C234">
            <v>80</v>
          </cell>
          <cell r="E234" t="str">
            <v>DV</v>
          </cell>
          <cell r="F234" t="str">
            <v>100%MT &amp; UT</v>
          </cell>
          <cell r="G234" t="str">
            <v>D</v>
          </cell>
          <cell r="H234">
            <v>4785.3600000000006</v>
          </cell>
          <cell r="I234">
            <v>30</v>
          </cell>
          <cell r="K234" t="str">
            <v>WPS-TNHA-S01</v>
          </cell>
          <cell r="L234" t="str">
            <v>ST-01</v>
          </cell>
          <cell r="M234" t="str">
            <v>Thái</v>
          </cell>
          <cell r="N234">
            <v>45903</v>
          </cell>
          <cell r="O234" t="str">
            <v>F-004</v>
          </cell>
          <cell r="P234" t="str">
            <v>16h05 15/09/2025</v>
          </cell>
          <cell r="Q234" t="str">
            <v>BGT-0013;BGT-0037;ND08</v>
          </cell>
          <cell r="R234" t="str">
            <v>HIẾU</v>
          </cell>
          <cell r="S234">
            <v>45919</v>
          </cell>
          <cell r="T234" t="str">
            <v>V-009</v>
          </cell>
          <cell r="U234">
            <v>45911</v>
          </cell>
          <cell r="V234" t="str">
            <v>BG-006</v>
          </cell>
          <cell r="Y234" t="str">
            <v>FINISH</v>
          </cell>
          <cell r="Z234" t="str">
            <v>ACC</v>
          </cell>
          <cell r="AA234" t="str">
            <v>ACC</v>
          </cell>
          <cell r="AB234" t="str">
            <v>MT-2211-ST-01-0010</v>
          </cell>
          <cell r="AC234" t="str">
            <v>ACC</v>
          </cell>
          <cell r="AD234" t="str">
            <v>UT-2211-ST-01-0012</v>
          </cell>
          <cell r="AL234" t="str">
            <v>27/11/2025</v>
          </cell>
          <cell r="AM234" t="str">
            <v>IRN-2211-ST-01-0003</v>
          </cell>
          <cell r="AP234" t="str">
            <v>24/09/2025</v>
          </cell>
        </row>
        <row r="235">
          <cell r="A235" t="str">
            <v>9001-2211-DS-0009-01-WM81</v>
          </cell>
          <cell r="B235" t="str">
            <v>9001-2211-DS-0009-01-WM</v>
          </cell>
          <cell r="C235">
            <v>81</v>
          </cell>
          <cell r="E235" t="str">
            <v>SV</v>
          </cell>
          <cell r="F235" t="str">
            <v>100%MT &amp; UT</v>
          </cell>
          <cell r="G235" t="str">
            <v>D</v>
          </cell>
          <cell r="H235">
            <v>4785.3600000000006</v>
          </cell>
          <cell r="I235">
            <v>30</v>
          </cell>
          <cell r="K235" t="str">
            <v>WPS-TNHA-S06</v>
          </cell>
          <cell r="L235" t="str">
            <v>ST-01</v>
          </cell>
          <cell r="M235" t="str">
            <v>TUÂN</v>
          </cell>
          <cell r="N235">
            <v>45980</v>
          </cell>
          <cell r="O235" t="str">
            <v>F-092</v>
          </cell>
          <cell r="P235" t="str">
            <v>20/11/2025</v>
          </cell>
          <cell r="Q235" t="str">
            <v>BGT-0032;BGT-0015;BGT-0006</v>
          </cell>
          <cell r="R235" t="str">
            <v>BÁCH</v>
          </cell>
          <cell r="S235">
            <v>45985</v>
          </cell>
          <cell r="T235" t="str">
            <v>V-090</v>
          </cell>
          <cell r="Y235" t="str">
            <v>FINISH</v>
          </cell>
          <cell r="Z235" t="str">
            <v>ACC</v>
          </cell>
          <cell r="AA235" t="str">
            <v>ACC</v>
          </cell>
          <cell r="AB235" t="str">
            <v>MT-2211-ST-01-0050</v>
          </cell>
          <cell r="AC235" t="str">
            <v>ACC</v>
          </cell>
          <cell r="AD235" t="str">
            <v>UT-2211-ST-01-0059</v>
          </cell>
          <cell r="AL235" t="str">
            <v>27/11/2025</v>
          </cell>
          <cell r="AM235" t="str">
            <v>IRN-2211-ST-01-0003</v>
          </cell>
          <cell r="AP235" t="str">
            <v>26/11/2025</v>
          </cell>
        </row>
        <row r="236">
          <cell r="A236" t="str">
            <v>9001-2211-DS-0009-01-WM82</v>
          </cell>
          <cell r="B236" t="str">
            <v>9001-2211-DS-0009-01-WM</v>
          </cell>
          <cell r="C236">
            <v>82</v>
          </cell>
          <cell r="E236" t="str">
            <v>DV</v>
          </cell>
          <cell r="F236" t="str">
            <v>100%MT &amp; UT</v>
          </cell>
          <cell r="G236" t="str">
            <v>D</v>
          </cell>
          <cell r="H236">
            <v>4785.3600000000006</v>
          </cell>
          <cell r="I236">
            <v>30</v>
          </cell>
          <cell r="K236" t="str">
            <v>WPS-TNHA-S06</v>
          </cell>
          <cell r="L236" t="str">
            <v>ST-01</v>
          </cell>
          <cell r="M236" t="str">
            <v>BÁCH</v>
          </cell>
          <cell r="N236">
            <v>45898</v>
          </cell>
          <cell r="O236" t="str">
            <v>F-001</v>
          </cell>
          <cell r="P236" t="str">
            <v>31/10/2025</v>
          </cell>
          <cell r="Q236" t="str">
            <v>BGT-0008;BGT-0012</v>
          </cell>
          <cell r="R236" t="str">
            <v>HIẾU</v>
          </cell>
          <cell r="S236">
            <v>45963</v>
          </cell>
          <cell r="T236" t="str">
            <v>V-052</v>
          </cell>
          <cell r="U236">
            <v>45961</v>
          </cell>
          <cell r="V236" t="str">
            <v>BG-063</v>
          </cell>
          <cell r="Y236" t="str">
            <v>FINISH</v>
          </cell>
          <cell r="Z236" t="str">
            <v>ACC</v>
          </cell>
          <cell r="AA236" t="str">
            <v>ACC</v>
          </cell>
          <cell r="AB236" t="str">
            <v>MT-2211-ST-01-0034</v>
          </cell>
          <cell r="AC236" t="str">
            <v>ACC</v>
          </cell>
          <cell r="AD236" t="str">
            <v>UT-2211-ST-01-0042</v>
          </cell>
          <cell r="AL236" t="str">
            <v>27/11/2025</v>
          </cell>
          <cell r="AM236" t="str">
            <v>IRN-2211-ST-01-0003</v>
          </cell>
          <cell r="AP236" t="str">
            <v>5/11/2025</v>
          </cell>
        </row>
        <row r="237">
          <cell r="A237" t="str">
            <v>9001-2211-DS-0009-01-WM83</v>
          </cell>
          <cell r="B237" t="str">
            <v>9001-2211-DS-0009-01-WM</v>
          </cell>
          <cell r="C237">
            <v>83</v>
          </cell>
          <cell r="E237" t="str">
            <v>DV</v>
          </cell>
          <cell r="F237" t="str">
            <v>100%MT &amp; UT</v>
          </cell>
          <cell r="G237" t="str">
            <v>D</v>
          </cell>
          <cell r="H237">
            <v>4785.3600000000006</v>
          </cell>
          <cell r="I237" t="str">
            <v>30/35</v>
          </cell>
          <cell r="K237" t="str">
            <v>WPS-TNHA-S06</v>
          </cell>
          <cell r="L237" t="str">
            <v>ST-01</v>
          </cell>
          <cell r="M237" t="str">
            <v>BÁCH</v>
          </cell>
          <cell r="N237">
            <v>45965</v>
          </cell>
          <cell r="O237" t="str">
            <v>F-075</v>
          </cell>
          <cell r="P237" t="str">
            <v>8/11/2025</v>
          </cell>
          <cell r="Q237" t="str">
            <v>BGT-0005;BGT-0006;BGT-0015</v>
          </cell>
          <cell r="R237" t="str">
            <v>THÁI</v>
          </cell>
          <cell r="S237">
            <v>45978</v>
          </cell>
          <cell r="T237" t="str">
            <v>V-079</v>
          </cell>
          <cell r="U237">
            <v>45967</v>
          </cell>
          <cell r="V237" t="str">
            <v>BG-073</v>
          </cell>
          <cell r="Y237" t="str">
            <v>FINISH</v>
          </cell>
          <cell r="Z237" t="str">
            <v>ACC</v>
          </cell>
          <cell r="AA237" t="str">
            <v>ACC</v>
          </cell>
          <cell r="AB237" t="str">
            <v>MT-2211-ST-01-0043</v>
          </cell>
          <cell r="AC237" t="str">
            <v>ACC</v>
          </cell>
          <cell r="AD237" t="str">
            <v>UT-2211-ST-01-0052</v>
          </cell>
          <cell r="AL237" t="str">
            <v>27/11/2025</v>
          </cell>
          <cell r="AM237" t="str">
            <v>IRN-2211-ST-01-0003</v>
          </cell>
          <cell r="AP237" t="str">
            <v>19/11/2025</v>
          </cell>
        </row>
        <row r="238">
          <cell r="A238" t="str">
            <v>9001-2211-DS-0009-01-WM84</v>
          </cell>
          <cell r="B238" t="str">
            <v>9001-2211-DS-0009-01-WM</v>
          </cell>
          <cell r="C238">
            <v>84</v>
          </cell>
          <cell r="E238" t="str">
            <v>DV</v>
          </cell>
          <cell r="F238" t="str">
            <v>100%MT &amp; UT</v>
          </cell>
          <cell r="G238" t="str">
            <v>D</v>
          </cell>
          <cell r="H238">
            <v>5981.7</v>
          </cell>
          <cell r="I238" t="str">
            <v>35/65</v>
          </cell>
          <cell r="K238" t="str">
            <v>WPS-TNHA-S06</v>
          </cell>
          <cell r="L238" t="str">
            <v>ST-01</v>
          </cell>
          <cell r="M238" t="str">
            <v>BÁCH</v>
          </cell>
          <cell r="N238">
            <v>45965</v>
          </cell>
          <cell r="O238" t="str">
            <v>F-075</v>
          </cell>
          <cell r="P238" t="str">
            <v>8/11/2025</v>
          </cell>
          <cell r="Q238" t="str">
            <v>BGT-0005;BGT-0006;BGT-0015</v>
          </cell>
          <cell r="R238" t="str">
            <v>THÁI</v>
          </cell>
          <cell r="S238">
            <v>45978</v>
          </cell>
          <cell r="T238" t="str">
            <v>V-079</v>
          </cell>
          <cell r="U238">
            <v>45967</v>
          </cell>
          <cell r="V238" t="str">
            <v>BG-073</v>
          </cell>
          <cell r="Y238" t="str">
            <v>REJ</v>
          </cell>
          <cell r="Z238" t="str">
            <v>REJ</v>
          </cell>
          <cell r="AA238" t="str">
            <v>ACC</v>
          </cell>
          <cell r="AB238" t="str">
            <v>MT-2211-ST-01-0044</v>
          </cell>
          <cell r="AC238" t="str">
            <v>REJ</v>
          </cell>
          <cell r="AD238" t="str">
            <v>UT-2211-ST-01-0053</v>
          </cell>
          <cell r="AH238">
            <v>85</v>
          </cell>
          <cell r="AL238" t="str">
            <v>27/11/2025</v>
          </cell>
          <cell r="AM238" t="str">
            <v>IRN-2211-ST-01-0003</v>
          </cell>
          <cell r="AP238" t="str">
            <v>19/11/2025</v>
          </cell>
        </row>
        <row r="239">
          <cell r="A239" t="str">
            <v>9001-2211-DS-0009-01-WM84R1</v>
          </cell>
          <cell r="B239" t="str">
            <v>9001-2211-DS-0009-01-WM</v>
          </cell>
          <cell r="C239" t="str">
            <v>84R1</v>
          </cell>
          <cell r="E239" t="str">
            <v>DV</v>
          </cell>
          <cell r="F239" t="str">
            <v>100%MT &amp; UT</v>
          </cell>
          <cell r="G239" t="str">
            <v>L</v>
          </cell>
          <cell r="H239">
            <v>385</v>
          </cell>
          <cell r="I239" t="str">
            <v>35/65</v>
          </cell>
          <cell r="K239" t="str">
            <v>WPS-TNHA-S06</v>
          </cell>
          <cell r="L239" t="str">
            <v>ST-01</v>
          </cell>
          <cell r="M239" t="str">
            <v>NA</v>
          </cell>
          <cell r="N239" t="str">
            <v>NA</v>
          </cell>
          <cell r="O239" t="str">
            <v>NA</v>
          </cell>
          <cell r="P239" t="str">
            <v>18/11/2025</v>
          </cell>
          <cell r="Q239" t="str">
            <v>BGT-0015</v>
          </cell>
          <cell r="R239" t="str">
            <v>THÁI</v>
          </cell>
          <cell r="S239">
            <v>45981</v>
          </cell>
          <cell r="T239" t="str">
            <v>V-085</v>
          </cell>
          <cell r="U239">
            <v>45979</v>
          </cell>
          <cell r="V239" t="str">
            <v>BG-087</v>
          </cell>
          <cell r="Y239" t="str">
            <v>FINISH</v>
          </cell>
          <cell r="Z239" t="str">
            <v>ACC</v>
          </cell>
          <cell r="AA239" t="str">
            <v>ACC</v>
          </cell>
          <cell r="AB239" t="str">
            <v>MT-2211-ST-01-0044R1</v>
          </cell>
          <cell r="AC239" t="str">
            <v>ACC</v>
          </cell>
          <cell r="AD239" t="str">
            <v>UT-2211-ST-01-0053R1</v>
          </cell>
          <cell r="AI239">
            <v>185</v>
          </cell>
          <cell r="AL239" t="str">
            <v>27/11/2025</v>
          </cell>
          <cell r="AM239" t="str">
            <v>IRN-2211-ST-01-0003</v>
          </cell>
          <cell r="AP239" t="str">
            <v>26/11/2025</v>
          </cell>
        </row>
        <row r="240">
          <cell r="A240" t="str">
            <v>9001-2211-DS-0009-01-WM85</v>
          </cell>
          <cell r="B240" t="str">
            <v>9001-2211-DS-0009-01-WM</v>
          </cell>
          <cell r="C240">
            <v>85</v>
          </cell>
          <cell r="E240" t="str">
            <v>DV</v>
          </cell>
          <cell r="F240" t="str">
            <v>100%MT &amp; UT</v>
          </cell>
          <cell r="G240" t="str">
            <v>D</v>
          </cell>
          <cell r="H240">
            <v>5981.7</v>
          </cell>
          <cell r="I240">
            <v>65</v>
          </cell>
          <cell r="K240" t="str">
            <v>WPS-TNHA-S03</v>
          </cell>
          <cell r="L240" t="str">
            <v>ST-01</v>
          </cell>
          <cell r="M240" t="str">
            <v>Tuân</v>
          </cell>
          <cell r="N240">
            <v>45906</v>
          </cell>
          <cell r="O240" t="str">
            <v>F-007</v>
          </cell>
          <cell r="P240" t="str">
            <v>19h 1/10/2025</v>
          </cell>
          <cell r="Q240" t="str">
            <v>BGT-0018;BGT-0020;GTC-10</v>
          </cell>
          <cell r="R240" t="str">
            <v>BÁCH</v>
          </cell>
          <cell r="S240">
            <v>45936</v>
          </cell>
          <cell r="T240" t="str">
            <v>V-024</v>
          </cell>
          <cell r="U240">
            <v>45931</v>
          </cell>
          <cell r="V240" t="str">
            <v>BG-027</v>
          </cell>
          <cell r="Y240" t="str">
            <v>FINISH</v>
          </cell>
          <cell r="Z240" t="str">
            <v>ACC</v>
          </cell>
          <cell r="AA240" t="str">
            <v>ACC</v>
          </cell>
          <cell r="AB240" t="str">
            <v>MT-2211-ST-01-0024</v>
          </cell>
          <cell r="AC240" t="str">
            <v>ACC</v>
          </cell>
          <cell r="AD240" t="str">
            <v>UT-2211-ST-01-0030</v>
          </cell>
          <cell r="AL240" t="str">
            <v>27/11/2025</v>
          </cell>
          <cell r="AM240" t="str">
            <v>IRN-2211-ST-01-0003</v>
          </cell>
          <cell r="AP240" t="str">
            <v>08/10/2025</v>
          </cell>
        </row>
        <row r="241">
          <cell r="A241" t="str">
            <v>9001-2211-DS-0009-01-WM86</v>
          </cell>
          <cell r="B241" t="str">
            <v>9001-2211-DS-0009-01-WM</v>
          </cell>
          <cell r="C241">
            <v>86</v>
          </cell>
          <cell r="E241" t="str">
            <v>DV</v>
          </cell>
          <cell r="F241" t="str">
            <v>100%MT &amp; UT</v>
          </cell>
          <cell r="G241" t="str">
            <v>D</v>
          </cell>
          <cell r="H241">
            <v>5981.7</v>
          </cell>
          <cell r="I241">
            <v>65</v>
          </cell>
          <cell r="K241" t="str">
            <v>WPS-TNHA-S03</v>
          </cell>
          <cell r="L241" t="str">
            <v>ST-01</v>
          </cell>
          <cell r="M241" t="str">
            <v>Tuân</v>
          </cell>
          <cell r="N241">
            <v>45906</v>
          </cell>
          <cell r="O241" t="str">
            <v>F-007</v>
          </cell>
          <cell r="P241" t="str">
            <v>18h 30/09/2025</v>
          </cell>
          <cell r="Q241" t="str">
            <v>BGT-0022;BGT-0013;ND08</v>
          </cell>
          <cell r="R241" t="str">
            <v>BÁCH</v>
          </cell>
          <cell r="S241">
            <v>45936</v>
          </cell>
          <cell r="T241" t="str">
            <v>V-024</v>
          </cell>
          <cell r="U241">
            <v>45929</v>
          </cell>
          <cell r="V241" t="str">
            <v>BG-026</v>
          </cell>
          <cell r="Y241" t="str">
            <v>FINISH</v>
          </cell>
          <cell r="Z241" t="str">
            <v>ACC</v>
          </cell>
          <cell r="AA241" t="str">
            <v>ACC</v>
          </cell>
          <cell r="AB241" t="str">
            <v>MT-2211-ST-01-0024</v>
          </cell>
          <cell r="AC241" t="str">
            <v>ACC</v>
          </cell>
          <cell r="AD241" t="str">
            <v>UT-2211-ST-01-0030</v>
          </cell>
          <cell r="AL241" t="str">
            <v>27/11/2025</v>
          </cell>
          <cell r="AM241" t="str">
            <v>IRN-2211-ST-01-0003</v>
          </cell>
          <cell r="AP241" t="str">
            <v>08/10/2025</v>
          </cell>
        </row>
        <row r="242">
          <cell r="A242" t="str">
            <v>9001-2211-DS-0009-01-WM87</v>
          </cell>
          <cell r="B242" t="str">
            <v>9001-2211-DS-0009-01-WM</v>
          </cell>
          <cell r="C242">
            <v>87</v>
          </cell>
          <cell r="E242" t="str">
            <v>DV</v>
          </cell>
          <cell r="F242" t="str">
            <v>100%MT &amp; UT</v>
          </cell>
          <cell r="G242" t="str">
            <v>D</v>
          </cell>
          <cell r="H242">
            <v>5981.7</v>
          </cell>
          <cell r="I242">
            <v>65</v>
          </cell>
          <cell r="K242" t="str">
            <v>WPS-TNHA-S03</v>
          </cell>
          <cell r="L242" t="str">
            <v>ST-01</v>
          </cell>
          <cell r="M242" t="str">
            <v>Tuân</v>
          </cell>
          <cell r="N242">
            <v>45906</v>
          </cell>
          <cell r="O242" t="str">
            <v>F-007</v>
          </cell>
          <cell r="P242" t="str">
            <v>18h 29/09/2025</v>
          </cell>
          <cell r="Q242" t="str">
            <v>BGT-0022;BGT-0013;GTC-10</v>
          </cell>
          <cell r="R242" t="str">
            <v>BÁCH</v>
          </cell>
          <cell r="S242">
            <v>45936</v>
          </cell>
          <cell r="T242" t="str">
            <v>V-024</v>
          </cell>
          <cell r="U242">
            <v>45929</v>
          </cell>
          <cell r="V242" t="str">
            <v>BG-025</v>
          </cell>
          <cell r="Y242" t="str">
            <v>FINISH</v>
          </cell>
          <cell r="Z242" t="str">
            <v>ACC</v>
          </cell>
          <cell r="AA242" t="str">
            <v>ACC</v>
          </cell>
          <cell r="AB242" t="str">
            <v>MT-2211-ST-01-0024</v>
          </cell>
          <cell r="AC242" t="str">
            <v>ACC</v>
          </cell>
          <cell r="AD242" t="str">
            <v>UT-2211-ST-01-0030</v>
          </cell>
          <cell r="AL242" t="str">
            <v>27/11/2025</v>
          </cell>
          <cell r="AM242" t="str">
            <v>IRN-2211-ST-01-0003</v>
          </cell>
          <cell r="AP242" t="str">
            <v>08/10/2025</v>
          </cell>
        </row>
        <row r="243">
          <cell r="A243" t="str">
            <v>9001-2211-DS-0009-01-WM88</v>
          </cell>
          <cell r="B243" t="str">
            <v>9001-2211-DS-0009-01-WM</v>
          </cell>
          <cell r="C243">
            <v>88</v>
          </cell>
          <cell r="E243" t="str">
            <v>DV</v>
          </cell>
          <cell r="F243" t="str">
            <v>100%MT &amp; UT</v>
          </cell>
          <cell r="G243" t="str">
            <v>D</v>
          </cell>
          <cell r="H243">
            <v>5981.7</v>
          </cell>
          <cell r="I243" t="str">
            <v>35/65</v>
          </cell>
          <cell r="K243" t="str">
            <v>WPS-TNHA-S01</v>
          </cell>
          <cell r="L243" t="str">
            <v>ST-01</v>
          </cell>
          <cell r="M243" t="str">
            <v>BÁCH</v>
          </cell>
          <cell r="N243">
            <v>45941</v>
          </cell>
          <cell r="O243" t="str">
            <v>F-041</v>
          </cell>
          <cell r="P243" t="str">
            <v>12/11/2025</v>
          </cell>
          <cell r="Q243" t="str">
            <v>BGT-0024;GTC-10;GTC-11</v>
          </cell>
          <cell r="R243" t="str">
            <v>THÁI</v>
          </cell>
          <cell r="S243">
            <v>45979</v>
          </cell>
          <cell r="T243" t="str">
            <v>V-080</v>
          </cell>
          <cell r="U243">
            <v>45972</v>
          </cell>
          <cell r="V243" t="str">
            <v>BG-078</v>
          </cell>
          <cell r="Y243" t="str">
            <v>FINISH</v>
          </cell>
          <cell r="Z243" t="str">
            <v>ACC</v>
          </cell>
          <cell r="AA243" t="str">
            <v>ACC</v>
          </cell>
          <cell r="AB243" t="str">
            <v>MT-2211-ST-01-0045</v>
          </cell>
          <cell r="AC243" t="str">
            <v>ACC</v>
          </cell>
          <cell r="AD243" t="str">
            <v>UT-2211-ST-01-0055</v>
          </cell>
          <cell r="AL243" t="str">
            <v>27/11/2025</v>
          </cell>
          <cell r="AM243" t="str">
            <v>IRN-2211-ST-01-0003</v>
          </cell>
          <cell r="AP243" t="str">
            <v>19/11/2025</v>
          </cell>
        </row>
        <row r="244">
          <cell r="A244" t="str">
            <v>9001-2211-DS-0009-01-WM89</v>
          </cell>
          <cell r="B244" t="str">
            <v>9001-2211-DS-0009-01-WM</v>
          </cell>
          <cell r="C244">
            <v>89</v>
          </cell>
          <cell r="E244" t="str">
            <v>DV</v>
          </cell>
          <cell r="F244" t="str">
            <v>100%MT &amp; UT</v>
          </cell>
          <cell r="G244" t="str">
            <v>D</v>
          </cell>
          <cell r="H244">
            <v>5981.7</v>
          </cell>
          <cell r="I244">
            <v>35</v>
          </cell>
          <cell r="K244" t="str">
            <v>WPS-TNHA-S01</v>
          </cell>
          <cell r="L244" t="str">
            <v>ST-01</v>
          </cell>
          <cell r="M244" t="str">
            <v>Tuân</v>
          </cell>
          <cell r="N244">
            <v>45906</v>
          </cell>
          <cell r="O244" t="str">
            <v>F-007</v>
          </cell>
          <cell r="P244" t="str">
            <v>15h 1/10/2025</v>
          </cell>
          <cell r="Q244" t="str">
            <v>BGT-0008;BGT-0012;GTC-10</v>
          </cell>
          <cell r="R244" t="str">
            <v>HIẾU</v>
          </cell>
          <cell r="S244">
            <v>45937</v>
          </cell>
          <cell r="T244" t="str">
            <v>V-025</v>
          </cell>
          <cell r="U244">
            <v>45929</v>
          </cell>
          <cell r="V244" t="str">
            <v>BG-026</v>
          </cell>
          <cell r="Y244" t="str">
            <v>FINISH</v>
          </cell>
          <cell r="Z244" t="str">
            <v>ACC</v>
          </cell>
          <cell r="AA244" t="str">
            <v>ACC</v>
          </cell>
          <cell r="AB244" t="str">
            <v>MT-2211-ST-01-0025</v>
          </cell>
          <cell r="AC244" t="str">
            <v>ACC</v>
          </cell>
          <cell r="AD244" t="str">
            <v>UT-2211-ST-01-0031</v>
          </cell>
          <cell r="AL244" t="str">
            <v>27/11/2025</v>
          </cell>
          <cell r="AM244" t="str">
            <v>IRN-2211-ST-01-0003</v>
          </cell>
          <cell r="AP244" t="str">
            <v>08/10/2025</v>
          </cell>
        </row>
        <row r="245">
          <cell r="A245" t="str">
            <v>9001-2211-DS-0009-01-WM90</v>
          </cell>
          <cell r="B245" t="str">
            <v>9001-2211-DS-0009-01-WM</v>
          </cell>
          <cell r="C245">
            <v>90</v>
          </cell>
          <cell r="E245" t="str">
            <v>DV</v>
          </cell>
          <cell r="F245" t="str">
            <v>100%MT &amp; UT</v>
          </cell>
          <cell r="G245" t="str">
            <v>D</v>
          </cell>
          <cell r="H245">
            <v>5981.7</v>
          </cell>
          <cell r="I245">
            <v>35</v>
          </cell>
          <cell r="K245" t="str">
            <v>WPS-TNHA-S01</v>
          </cell>
          <cell r="L245" t="str">
            <v>ST-01</v>
          </cell>
          <cell r="M245" t="str">
            <v>Tuân</v>
          </cell>
          <cell r="N245">
            <v>45906</v>
          </cell>
          <cell r="O245" t="str">
            <v>F-007</v>
          </cell>
          <cell r="P245" t="str">
            <v>15h 1/10/2025</v>
          </cell>
          <cell r="Q245" t="str">
            <v>BGT-0008;BGT-0012;ND18</v>
          </cell>
          <cell r="R245" t="str">
            <v>HIẾU</v>
          </cell>
          <cell r="S245">
            <v>45937</v>
          </cell>
          <cell r="T245" t="str">
            <v>V-025</v>
          </cell>
          <cell r="U245">
            <v>45929</v>
          </cell>
          <cell r="V245" t="str">
            <v>BG-025</v>
          </cell>
          <cell r="Y245" t="str">
            <v>REJ</v>
          </cell>
          <cell r="Z245" t="str">
            <v>REJ</v>
          </cell>
          <cell r="AA245" t="str">
            <v>ACC</v>
          </cell>
          <cell r="AB245" t="str">
            <v>MT-2211-ST-01-0025</v>
          </cell>
          <cell r="AC245" t="str">
            <v>REJ</v>
          </cell>
          <cell r="AD245" t="str">
            <v>UT-2211-ST-01-0032</v>
          </cell>
          <cell r="AH245">
            <v>42</v>
          </cell>
          <cell r="AL245" t="str">
            <v>27/11/2025</v>
          </cell>
          <cell r="AM245" t="str">
            <v>IRN-2211-ST-01-0003</v>
          </cell>
          <cell r="AP245" t="str">
            <v>08/10/2025</v>
          </cell>
        </row>
        <row r="246">
          <cell r="A246" t="str">
            <v>9001-2211-DS-0009-01-WM90R1</v>
          </cell>
          <cell r="B246" t="str">
            <v>9001-2211-DS-0009-01-WM</v>
          </cell>
          <cell r="C246" t="str">
            <v>90R1</v>
          </cell>
          <cell r="E246" t="str">
            <v>DV</v>
          </cell>
          <cell r="F246" t="str">
            <v>100%MT &amp; UT</v>
          </cell>
          <cell r="G246" t="str">
            <v>L</v>
          </cell>
          <cell r="H246">
            <v>340</v>
          </cell>
          <cell r="I246">
            <v>35</v>
          </cell>
          <cell r="K246" t="str">
            <v>WPS-TNHA-S02</v>
          </cell>
          <cell r="L246" t="str">
            <v>ST-01</v>
          </cell>
          <cell r="M246" t="str">
            <v>NA</v>
          </cell>
          <cell r="N246" t="str">
            <v>NA</v>
          </cell>
          <cell r="O246" t="str">
            <v>NA</v>
          </cell>
          <cell r="P246" t="str">
            <v>13h30 12/10/2025</v>
          </cell>
          <cell r="Q246" t="str">
            <v>BGT-0006</v>
          </cell>
          <cell r="R246" t="str">
            <v>HIẾU</v>
          </cell>
          <cell r="S246">
            <v>45945</v>
          </cell>
          <cell r="T246" t="str">
            <v>V-031</v>
          </cell>
          <cell r="U246">
            <v>45941</v>
          </cell>
          <cell r="V246" t="str">
            <v>BG-038</v>
          </cell>
          <cell r="Y246" t="str">
            <v>FINISH</v>
          </cell>
          <cell r="Z246" t="str">
            <v>ACC</v>
          </cell>
          <cell r="AA246" t="str">
            <v>ACC</v>
          </cell>
          <cell r="AB246" t="str">
            <v>MT-2211-ST-01-0025R1</v>
          </cell>
          <cell r="AC246" t="str">
            <v>ACC</v>
          </cell>
          <cell r="AD246" t="str">
            <v>UT-2211-ST-01-0032R1</v>
          </cell>
          <cell r="AI246">
            <v>140</v>
          </cell>
          <cell r="AL246" t="str">
            <v>27/11/2025</v>
          </cell>
          <cell r="AM246" t="str">
            <v>IRN-2211-ST-01-0003</v>
          </cell>
          <cell r="AP246" t="str">
            <v>22/10/2025</v>
          </cell>
        </row>
        <row r="247">
          <cell r="A247" t="str">
            <v>9001-2211-DS-0009-01-WM91</v>
          </cell>
          <cell r="B247" t="str">
            <v>9001-2211-DS-0009-01-WM</v>
          </cell>
          <cell r="C247">
            <v>91</v>
          </cell>
          <cell r="E247" t="str">
            <v>DV</v>
          </cell>
          <cell r="F247" t="str">
            <v>100%MT &amp; UT</v>
          </cell>
          <cell r="G247" t="str">
            <v>D</v>
          </cell>
          <cell r="H247">
            <v>5981.7</v>
          </cell>
          <cell r="I247">
            <v>35</v>
          </cell>
          <cell r="K247" t="str">
            <v>WPS-TNHA-S01</v>
          </cell>
          <cell r="L247" t="str">
            <v>ST-01</v>
          </cell>
          <cell r="M247" t="str">
            <v>Tuân</v>
          </cell>
          <cell r="N247">
            <v>45906</v>
          </cell>
          <cell r="O247" t="str">
            <v>F-007</v>
          </cell>
          <cell r="P247" t="str">
            <v>15h 1/10/2025</v>
          </cell>
          <cell r="Q247" t="str">
            <v>BGT-0018;BGT-0020;ND18</v>
          </cell>
          <cell r="R247" t="str">
            <v>HIẾU</v>
          </cell>
          <cell r="S247">
            <v>45937</v>
          </cell>
          <cell r="T247" t="str">
            <v>V-025</v>
          </cell>
          <cell r="U247">
            <v>45929</v>
          </cell>
          <cell r="V247" t="str">
            <v>BG-026</v>
          </cell>
          <cell r="Y247" t="str">
            <v>FINISH</v>
          </cell>
          <cell r="Z247" t="str">
            <v>ACC</v>
          </cell>
          <cell r="AA247" t="str">
            <v>ACC</v>
          </cell>
          <cell r="AB247" t="str">
            <v>MT-2211-ST-01-0025</v>
          </cell>
          <cell r="AC247" t="str">
            <v>ACC</v>
          </cell>
          <cell r="AD247" t="str">
            <v>UT-2211-ST-01-0031</v>
          </cell>
          <cell r="AL247" t="str">
            <v>27/11/2025</v>
          </cell>
          <cell r="AM247" t="str">
            <v>IRN-2211-ST-01-0003</v>
          </cell>
          <cell r="AP247" t="str">
            <v>08/10/2025</v>
          </cell>
        </row>
        <row r="248">
          <cell r="A248" t="str">
            <v>9001-2211-DS-0009-01-WM92</v>
          </cell>
          <cell r="B248" t="str">
            <v>9001-2211-DS-0009-01-WM</v>
          </cell>
          <cell r="C248">
            <v>92</v>
          </cell>
          <cell r="E248" t="str">
            <v>DV</v>
          </cell>
          <cell r="F248" t="str">
            <v>100%MT &amp; UT</v>
          </cell>
          <cell r="G248" t="str">
            <v>D</v>
          </cell>
          <cell r="H248">
            <v>5981.7</v>
          </cell>
          <cell r="I248" t="str">
            <v>35/65</v>
          </cell>
          <cell r="K248" t="str">
            <v>WPS-TNHA-S01</v>
          </cell>
          <cell r="L248" t="str">
            <v>ST-01</v>
          </cell>
          <cell r="M248" t="str">
            <v>BÁCH</v>
          </cell>
          <cell r="N248">
            <v>45941</v>
          </cell>
          <cell r="O248" t="str">
            <v>F-041</v>
          </cell>
          <cell r="P248" t="str">
            <v>11/11/2025</v>
          </cell>
          <cell r="Q248" t="str">
            <v>BGT-0015;BGT-0016;ND08</v>
          </cell>
          <cell r="R248" t="str">
            <v>XUÂN</v>
          </cell>
          <cell r="S248">
            <v>45977</v>
          </cell>
          <cell r="T248" t="str">
            <v>V-077</v>
          </cell>
          <cell r="U248">
            <v>45972</v>
          </cell>
          <cell r="V248" t="str">
            <v>BG-078</v>
          </cell>
          <cell r="Y248" t="str">
            <v>FINISH</v>
          </cell>
          <cell r="Z248" t="str">
            <v>ACC</v>
          </cell>
          <cell r="AA248" t="str">
            <v>ACC</v>
          </cell>
          <cell r="AB248" t="str">
            <v>MT-2211-ST-01-0042</v>
          </cell>
          <cell r="AC248" t="str">
            <v>ACC</v>
          </cell>
          <cell r="AD248" t="str">
            <v>UT-2211-ST-01-0051</v>
          </cell>
          <cell r="AL248" t="str">
            <v>27/11/2025</v>
          </cell>
          <cell r="AM248" t="str">
            <v>IRN-2211-ST-01-0003</v>
          </cell>
          <cell r="AP248" t="str">
            <v>19/11/2025</v>
          </cell>
        </row>
        <row r="249">
          <cell r="A249" t="str">
            <v>9001-2211-DS-0009-01-WM93</v>
          </cell>
          <cell r="B249" t="str">
            <v>9001-2211-DS-0009-01-WM</v>
          </cell>
          <cell r="C249">
            <v>93</v>
          </cell>
          <cell r="E249" t="str">
            <v>DV</v>
          </cell>
          <cell r="F249" t="str">
            <v>100%MT &amp; UT</v>
          </cell>
          <cell r="G249" t="str">
            <v>D</v>
          </cell>
          <cell r="H249">
            <v>5981.7</v>
          </cell>
          <cell r="I249">
            <v>65</v>
          </cell>
          <cell r="K249" t="str">
            <v>WPS-TNHA-S03</v>
          </cell>
          <cell r="L249" t="str">
            <v>ST-01</v>
          </cell>
          <cell r="M249" t="str">
            <v xml:space="preserve">HIẾU </v>
          </cell>
          <cell r="N249">
            <v>45908</v>
          </cell>
          <cell r="O249" t="str">
            <v>F-009</v>
          </cell>
          <cell r="P249" t="str">
            <v>12/11/2025</v>
          </cell>
          <cell r="Q249" t="str">
            <v>BGT-0005;BGT-0006;GTC-10</v>
          </cell>
          <cell r="R249" t="str">
            <v>XUÂN</v>
          </cell>
          <cell r="S249">
            <v>45977</v>
          </cell>
          <cell r="T249" t="str">
            <v>V-077</v>
          </cell>
          <cell r="U249">
            <v>45973</v>
          </cell>
          <cell r="V249" t="str">
            <v>BG-079</v>
          </cell>
          <cell r="Y249" t="str">
            <v>FINISH</v>
          </cell>
          <cell r="Z249" t="str">
            <v>ACC</v>
          </cell>
          <cell r="AA249" t="str">
            <v>ACC</v>
          </cell>
          <cell r="AB249" t="str">
            <v>MT-2211-ST-01-0042</v>
          </cell>
          <cell r="AC249" t="str">
            <v>ACC</v>
          </cell>
          <cell r="AD249" t="str">
            <v>UT-2211-ST-01-0051</v>
          </cell>
          <cell r="AL249" t="str">
            <v>27/11/2025</v>
          </cell>
          <cell r="AM249" t="str">
            <v>IRN-2211-ST-01-0003</v>
          </cell>
          <cell r="AP249" t="str">
            <v>19/11/2025</v>
          </cell>
        </row>
        <row r="250">
          <cell r="A250" t="str">
            <v>9001-2211-DS-0009-01-WM94</v>
          </cell>
          <cell r="B250" t="str">
            <v>9001-2211-DS-0009-01-WM</v>
          </cell>
          <cell r="C250">
            <v>94</v>
          </cell>
          <cell r="F250" t="str">
            <v>100%MT &amp; UT</v>
          </cell>
          <cell r="G250" t="str">
            <v>D</v>
          </cell>
          <cell r="H250">
            <v>5981.7</v>
          </cell>
          <cell r="I250" t="str">
            <v>40/65</v>
          </cell>
          <cell r="K250" t="str">
            <v>WPS-TNHA-S01</v>
          </cell>
          <cell r="L250" t="str">
            <v>ST-01</v>
          </cell>
          <cell r="Q250" t="str">
            <v>DELETE</v>
          </cell>
          <cell r="Y250" t="str">
            <v>DELETE</v>
          </cell>
        </row>
        <row r="251">
          <cell r="A251" t="str">
            <v>9001-2211-DS-0009-01-WM95</v>
          </cell>
          <cell r="B251" t="str">
            <v>9001-2211-DS-0009-01-WM</v>
          </cell>
          <cell r="C251">
            <v>95</v>
          </cell>
          <cell r="E251" t="str">
            <v>DV</v>
          </cell>
          <cell r="F251" t="str">
            <v>100%MT &amp; UT</v>
          </cell>
          <cell r="G251" t="str">
            <v>L</v>
          </cell>
          <cell r="H251">
            <v>3000</v>
          </cell>
          <cell r="I251">
            <v>35</v>
          </cell>
          <cell r="K251" t="str">
            <v>WPS-TNHA-S06</v>
          </cell>
          <cell r="L251" t="str">
            <v>ST-01</v>
          </cell>
          <cell r="M251" t="str">
            <v xml:space="preserve">HIẾU </v>
          </cell>
          <cell r="N251">
            <v>45954</v>
          </cell>
          <cell r="O251" t="str">
            <v>F-059</v>
          </cell>
          <cell r="P251" t="str">
            <v>08/11/2025</v>
          </cell>
          <cell r="Q251" t="str">
            <v>BGT-0015;BGT-0005</v>
          </cell>
          <cell r="R251" t="str">
            <v>THÁI</v>
          </cell>
          <cell r="S251">
            <v>45975</v>
          </cell>
          <cell r="T251" t="str">
            <v>V-073</v>
          </cell>
          <cell r="U251">
            <v>45957</v>
          </cell>
          <cell r="V251" t="str">
            <v>BG-057</v>
          </cell>
          <cell r="Y251" t="str">
            <v>FINISH</v>
          </cell>
          <cell r="Z251" t="str">
            <v>ACC</v>
          </cell>
          <cell r="AA251" t="str">
            <v>ACC</v>
          </cell>
          <cell r="AB251" t="str">
            <v>MT-2211-ST-01-0040</v>
          </cell>
          <cell r="AC251" t="str">
            <v>ACC</v>
          </cell>
          <cell r="AD251" t="str">
            <v>UT-2211-ST-01-0049</v>
          </cell>
          <cell r="AP251" t="str">
            <v>19/11/2025</v>
          </cell>
        </row>
        <row r="252">
          <cell r="A252" t="str">
            <v>9001-2211-DS-0009-01-WM96</v>
          </cell>
          <cell r="B252" t="str">
            <v>9001-2211-DS-0009-01-WM</v>
          </cell>
          <cell r="C252">
            <v>96</v>
          </cell>
          <cell r="E252" t="str">
            <v>DV</v>
          </cell>
          <cell r="F252" t="str">
            <v>100%MT &amp; UT</v>
          </cell>
          <cell r="G252" t="str">
            <v>L</v>
          </cell>
          <cell r="H252">
            <v>3000</v>
          </cell>
          <cell r="I252">
            <v>35</v>
          </cell>
          <cell r="K252" t="str">
            <v>WPS-TNHA-S06</v>
          </cell>
          <cell r="L252" t="str">
            <v>ST-01</v>
          </cell>
          <cell r="M252" t="str">
            <v xml:space="preserve">HIẾU </v>
          </cell>
          <cell r="N252">
            <v>45954</v>
          </cell>
          <cell r="O252" t="str">
            <v>F-059</v>
          </cell>
          <cell r="P252" t="str">
            <v>8/11/2025</v>
          </cell>
          <cell r="Q252" t="str">
            <v>BGT-0005;BGT-0006;BGT-0015</v>
          </cell>
          <cell r="R252" t="str">
            <v>THÁI</v>
          </cell>
          <cell r="S252">
            <v>45978</v>
          </cell>
          <cell r="T252" t="str">
            <v>V-079</v>
          </cell>
          <cell r="U252">
            <v>45957</v>
          </cell>
          <cell r="V252" t="str">
            <v>BG-057</v>
          </cell>
          <cell r="Y252" t="str">
            <v>FINISH</v>
          </cell>
          <cell r="Z252" t="str">
            <v>ACC</v>
          </cell>
          <cell r="AA252" t="str">
            <v>ACC</v>
          </cell>
          <cell r="AB252" t="str">
            <v>MT-2211-ST-01-0043</v>
          </cell>
          <cell r="AC252" t="str">
            <v>ACC</v>
          </cell>
          <cell r="AD252" t="str">
            <v>UT-2211-ST-01-0054</v>
          </cell>
          <cell r="AP252" t="str">
            <v>19/11/2025</v>
          </cell>
        </row>
        <row r="253">
          <cell r="A253" t="str">
            <v>9001-2211-DS-0010-01-WM1</v>
          </cell>
          <cell r="B253" t="str">
            <v>9001-2211-DS-0010-01-WM</v>
          </cell>
          <cell r="C253">
            <v>1</v>
          </cell>
          <cell r="E253" t="str">
            <v>DV</v>
          </cell>
          <cell r="F253" t="str">
            <v>100%MT &amp; UT</v>
          </cell>
          <cell r="G253" t="str">
            <v>D</v>
          </cell>
          <cell r="H253">
            <v>4785.3600000000006</v>
          </cell>
          <cell r="I253">
            <v>50</v>
          </cell>
          <cell r="K253" t="str">
            <v>WPS-TNHA-S01</v>
          </cell>
          <cell r="L253" t="str">
            <v>ST-02</v>
          </cell>
          <cell r="M253" t="str">
            <v xml:space="preserve">HIẾU </v>
          </cell>
          <cell r="N253">
            <v>45913</v>
          </cell>
          <cell r="O253" t="str">
            <v>F-016</v>
          </cell>
          <cell r="P253" t="str">
            <v>9/12/2025</v>
          </cell>
          <cell r="Q253" t="str">
            <v>BGT-0022;BGT-0014;GTC-10</v>
          </cell>
          <cell r="R253" t="str">
            <v>THÁI</v>
          </cell>
          <cell r="S253">
            <v>46005</v>
          </cell>
          <cell r="T253" t="str">
            <v>V-137</v>
          </cell>
          <cell r="U253">
            <v>45963</v>
          </cell>
          <cell r="V253" t="str">
            <v>BG-067</v>
          </cell>
          <cell r="Y253" t="str">
            <v>FINISH</v>
          </cell>
          <cell r="Z253" t="str">
            <v>ACC</v>
          </cell>
          <cell r="AA253" t="str">
            <v>ACC</v>
          </cell>
          <cell r="AB253" t="str">
            <v>MT-2211-ST-02-0035</v>
          </cell>
          <cell r="AC253" t="str">
            <v>ACC</v>
          </cell>
          <cell r="AD253" t="str">
            <v>UT-2211-ST-02-0038</v>
          </cell>
          <cell r="AJ253" t="str">
            <v>XX/12/2025</v>
          </cell>
          <cell r="AK253" t="str">
            <v>FINAL-V-155</v>
          </cell>
          <cell r="AL253" t="str">
            <v>xx/12/2025</v>
          </cell>
          <cell r="AM253" t="str">
            <v>IRN-2211-ST-02-0003</v>
          </cell>
          <cell r="AN253" t="str">
            <v>a</v>
          </cell>
          <cell r="AP253" t="str">
            <v>16/12/2025</v>
          </cell>
        </row>
        <row r="254">
          <cell r="A254" t="str">
            <v>9001-2211-DS-0010-01-WM2</v>
          </cell>
          <cell r="B254" t="str">
            <v>9001-2211-DS-0010-01-WM</v>
          </cell>
          <cell r="C254">
            <v>2</v>
          </cell>
          <cell r="E254" t="str">
            <v>DV</v>
          </cell>
          <cell r="F254" t="str">
            <v>100%MT &amp; UT</v>
          </cell>
          <cell r="G254" t="str">
            <v>D</v>
          </cell>
          <cell r="H254">
            <v>4785.3600000000006</v>
          </cell>
          <cell r="I254" t="str">
            <v>30/50</v>
          </cell>
          <cell r="K254" t="str">
            <v>WPS-TNHA-S01</v>
          </cell>
          <cell r="L254" t="str">
            <v>ST-02</v>
          </cell>
          <cell r="M254" t="str">
            <v xml:space="preserve">HIẾU </v>
          </cell>
          <cell r="N254">
            <v>45913</v>
          </cell>
          <cell r="O254" t="str">
            <v>F-016</v>
          </cell>
          <cell r="P254" t="str">
            <v>9/12/2025</v>
          </cell>
          <cell r="Q254" t="str">
            <v>BGT-0018;BGT-0020;GTC-10</v>
          </cell>
          <cell r="R254" t="str">
            <v>THÁI</v>
          </cell>
          <cell r="S254">
            <v>46005</v>
          </cell>
          <cell r="T254" t="str">
            <v>V-137</v>
          </cell>
          <cell r="U254">
            <v>45961</v>
          </cell>
          <cell r="V254" t="str">
            <v>BG-065</v>
          </cell>
          <cell r="Y254" t="str">
            <v>FINISH</v>
          </cell>
          <cell r="Z254" t="str">
            <v>ACC</v>
          </cell>
          <cell r="AA254" t="str">
            <v>ACC</v>
          </cell>
          <cell r="AB254" t="str">
            <v>MT-2211-ST-02-0035</v>
          </cell>
          <cell r="AC254" t="str">
            <v>ACC</v>
          </cell>
          <cell r="AD254" t="str">
            <v>UT-2211-ST-02-0038</v>
          </cell>
          <cell r="AJ254" t="str">
            <v>XX/12/2025</v>
          </cell>
          <cell r="AK254" t="str">
            <v>FINAL-V-155</v>
          </cell>
          <cell r="AL254" t="str">
            <v>xx/12/2025</v>
          </cell>
          <cell r="AM254" t="str">
            <v>IRN-2211-ST-02-0003</v>
          </cell>
          <cell r="AN254" t="str">
            <v>a</v>
          </cell>
          <cell r="AP254" t="str">
            <v>16/12/2025</v>
          </cell>
        </row>
        <row r="255">
          <cell r="A255" t="str">
            <v>9001-2211-DS-0010-01-WM3</v>
          </cell>
          <cell r="B255" t="str">
            <v>9001-2211-DS-0010-01-WM</v>
          </cell>
          <cell r="C255">
            <v>3</v>
          </cell>
          <cell r="E255" t="str">
            <v>DV</v>
          </cell>
          <cell r="F255" t="str">
            <v>100%MT &amp; UT</v>
          </cell>
          <cell r="G255" t="str">
            <v>D</v>
          </cell>
          <cell r="H255">
            <v>4785.3600000000006</v>
          </cell>
          <cell r="I255">
            <v>30</v>
          </cell>
          <cell r="K255" t="str">
            <v>WPS-TNHA-S01</v>
          </cell>
          <cell r="L255" t="str">
            <v>ST-02</v>
          </cell>
          <cell r="M255" t="str">
            <v xml:space="preserve">HIẾU </v>
          </cell>
          <cell r="N255">
            <v>45913</v>
          </cell>
          <cell r="O255" t="str">
            <v>F-016</v>
          </cell>
          <cell r="P255" t="str">
            <v>9/12/2025</v>
          </cell>
          <cell r="Q255" t="str">
            <v>BGT-0008;BGT-0012;GTC-10</v>
          </cell>
          <cell r="R255" t="str">
            <v>THÁI</v>
          </cell>
          <cell r="S255">
            <v>46005</v>
          </cell>
          <cell r="T255" t="str">
            <v>V-137</v>
          </cell>
          <cell r="U255">
            <v>45961</v>
          </cell>
          <cell r="V255" t="str">
            <v>BG-064</v>
          </cell>
          <cell r="Y255" t="str">
            <v>FINISH</v>
          </cell>
          <cell r="Z255" t="str">
            <v>ACC</v>
          </cell>
          <cell r="AA255" t="str">
            <v>ACC</v>
          </cell>
          <cell r="AB255" t="str">
            <v>MT-2211-ST-02-0035</v>
          </cell>
          <cell r="AC255" t="str">
            <v>ACC</v>
          </cell>
          <cell r="AD255" t="str">
            <v>UT-2211-ST-02-0038</v>
          </cell>
          <cell r="AJ255" t="str">
            <v>XX/12/2025</v>
          </cell>
          <cell r="AK255" t="str">
            <v>FINAL-V-155</v>
          </cell>
          <cell r="AL255" t="str">
            <v>xx/12/2025</v>
          </cell>
          <cell r="AM255" t="str">
            <v>IRN-2211-ST-02-0003</v>
          </cell>
          <cell r="AN255" t="str">
            <v>a</v>
          </cell>
          <cell r="AP255" t="str">
            <v>16/12/2025</v>
          </cell>
        </row>
        <row r="256">
          <cell r="A256" t="str">
            <v>9001-2211-DS-0010-01-WM4</v>
          </cell>
          <cell r="B256" t="str">
            <v>9001-2211-DS-0010-01-WM</v>
          </cell>
          <cell r="C256">
            <v>4</v>
          </cell>
          <cell r="E256" t="str">
            <v>DV</v>
          </cell>
          <cell r="F256" t="str">
            <v>100%MT &amp; UT</v>
          </cell>
          <cell r="G256" t="str">
            <v>D</v>
          </cell>
          <cell r="H256">
            <v>4785.3600000000006</v>
          </cell>
          <cell r="I256">
            <v>30</v>
          </cell>
          <cell r="K256" t="str">
            <v>WPS-TNHA-S01</v>
          </cell>
          <cell r="L256" t="str">
            <v>ST-02</v>
          </cell>
          <cell r="M256" t="str">
            <v xml:space="preserve">HIẾU </v>
          </cell>
          <cell r="N256">
            <v>45913</v>
          </cell>
          <cell r="O256" t="str">
            <v>F-016</v>
          </cell>
          <cell r="P256" t="str">
            <v>9/12/2025</v>
          </cell>
          <cell r="Q256" t="str">
            <v>BGT-0008;BGT-0012;GTC-10</v>
          </cell>
          <cell r="R256" t="str">
            <v>THÁI</v>
          </cell>
          <cell r="S256">
            <v>46005</v>
          </cell>
          <cell r="T256" t="str">
            <v>V-137</v>
          </cell>
          <cell r="U256">
            <v>45964</v>
          </cell>
          <cell r="V256" t="str">
            <v>BG-069</v>
          </cell>
          <cell r="Y256" t="str">
            <v>FINISH</v>
          </cell>
          <cell r="Z256" t="str">
            <v>ACC</v>
          </cell>
          <cell r="AA256" t="str">
            <v>ACC</v>
          </cell>
          <cell r="AB256" t="str">
            <v>MT-2211-ST-02-0035</v>
          </cell>
          <cell r="AC256" t="str">
            <v>ACC</v>
          </cell>
          <cell r="AD256" t="str">
            <v>UT-2211-ST-02-0038</v>
          </cell>
          <cell r="AJ256" t="str">
            <v>XX/12/2025</v>
          </cell>
          <cell r="AK256" t="str">
            <v>FINAL-V-155</v>
          </cell>
          <cell r="AL256" t="str">
            <v>xx/12/2025</v>
          </cell>
          <cell r="AM256" t="str">
            <v>IRN-2211-ST-02-0003</v>
          </cell>
          <cell r="AN256" t="str">
            <v>a</v>
          </cell>
          <cell r="AP256" t="str">
            <v>16/12/2025</v>
          </cell>
        </row>
        <row r="257">
          <cell r="A257" t="str">
            <v>9001-2211-DS-0010-01-WM5</v>
          </cell>
          <cell r="B257" t="str">
            <v>9001-2211-DS-0010-01-WM</v>
          </cell>
          <cell r="C257">
            <v>5</v>
          </cell>
          <cell r="E257" t="str">
            <v>DV</v>
          </cell>
          <cell r="F257" t="str">
            <v>100%MT &amp; UT</v>
          </cell>
          <cell r="G257" t="str">
            <v>D</v>
          </cell>
          <cell r="H257">
            <v>4785.3600000000006</v>
          </cell>
          <cell r="I257">
            <v>30</v>
          </cell>
          <cell r="K257" t="str">
            <v>WPS-TNHA-S01</v>
          </cell>
          <cell r="L257" t="str">
            <v>ST-02</v>
          </cell>
          <cell r="M257" t="str">
            <v xml:space="preserve">HIẾU </v>
          </cell>
          <cell r="N257">
            <v>45913</v>
          </cell>
          <cell r="O257" t="str">
            <v>F-016</v>
          </cell>
          <cell r="P257" t="str">
            <v>9/12/2025</v>
          </cell>
          <cell r="Q257" t="str">
            <v>BGT-0008;BGT-0012;GTC-10</v>
          </cell>
          <cell r="R257" t="str">
            <v>THÁI</v>
          </cell>
          <cell r="S257">
            <v>46005</v>
          </cell>
          <cell r="T257" t="str">
            <v>V-137</v>
          </cell>
          <cell r="U257">
            <v>45968</v>
          </cell>
          <cell r="V257" t="str">
            <v>BG-074</v>
          </cell>
          <cell r="Y257" t="str">
            <v>FINISH</v>
          </cell>
          <cell r="Z257" t="str">
            <v>ACC</v>
          </cell>
          <cell r="AA257" t="str">
            <v>ACC</v>
          </cell>
          <cell r="AB257" t="str">
            <v>MT-2211-ST-02-0035</v>
          </cell>
          <cell r="AC257" t="str">
            <v>ACC</v>
          </cell>
          <cell r="AD257" t="str">
            <v>UT-2211-ST-02-0038</v>
          </cell>
          <cell r="AJ257" t="str">
            <v>XX/12/2025</v>
          </cell>
          <cell r="AK257" t="str">
            <v>FINAL-V-155</v>
          </cell>
          <cell r="AL257" t="str">
            <v>xx/12/2025</v>
          </cell>
          <cell r="AM257" t="str">
            <v>IRN-2211-ST-02-0003</v>
          </cell>
          <cell r="AN257" t="str">
            <v>a</v>
          </cell>
          <cell r="AP257" t="str">
            <v>16/12/2025</v>
          </cell>
        </row>
        <row r="258">
          <cell r="A258" t="str">
            <v>9001-2211-DS-0010-01-WM6</v>
          </cell>
          <cell r="B258" t="str">
            <v>9001-2211-DS-0010-01-WM</v>
          </cell>
          <cell r="C258">
            <v>6</v>
          </cell>
          <cell r="E258" t="str">
            <v>DV</v>
          </cell>
          <cell r="F258" t="str">
            <v>100%MT &amp; UT</v>
          </cell>
          <cell r="G258" t="str">
            <v>D</v>
          </cell>
          <cell r="H258">
            <v>4785.3600000000006</v>
          </cell>
          <cell r="I258" t="str">
            <v>30/55</v>
          </cell>
          <cell r="K258" t="str">
            <v>WPS-TNHA-S06</v>
          </cell>
          <cell r="L258" t="str">
            <v>ST-02</v>
          </cell>
          <cell r="M258" t="str">
            <v>THÁI</v>
          </cell>
          <cell r="N258">
            <v>45989</v>
          </cell>
          <cell r="O258" t="str">
            <v>F-107</v>
          </cell>
          <cell r="P258" t="str">
            <v>9/12/2025</v>
          </cell>
          <cell r="Q258" t="str">
            <v>BGT0019;BGT-0032</v>
          </cell>
          <cell r="R258" t="str">
            <v>THÁI</v>
          </cell>
          <cell r="S258">
            <v>46005</v>
          </cell>
          <cell r="T258" t="str">
            <v>V-137</v>
          </cell>
          <cell r="U258">
            <v>45990</v>
          </cell>
          <cell r="V258" t="str">
            <v>BG-098</v>
          </cell>
          <cell r="Y258" t="str">
            <v>FINISH</v>
          </cell>
          <cell r="Z258" t="str">
            <v>ACC</v>
          </cell>
          <cell r="AA258" t="str">
            <v>ACC</v>
          </cell>
          <cell r="AB258" t="str">
            <v>MT-2211-ST-02-0035</v>
          </cell>
          <cell r="AC258" t="str">
            <v>ACC</v>
          </cell>
          <cell r="AD258" t="str">
            <v>UT-2211-ST-02-0038</v>
          </cell>
          <cell r="AJ258" t="str">
            <v>XX/12/2025</v>
          </cell>
          <cell r="AK258" t="str">
            <v>FINAL-V-155</v>
          </cell>
          <cell r="AL258" t="str">
            <v>xx/12/2025</v>
          </cell>
          <cell r="AM258" t="str">
            <v>IRN-2211-ST-02-0003</v>
          </cell>
          <cell r="AN258" t="str">
            <v>a</v>
          </cell>
          <cell r="AP258" t="str">
            <v>16/12/2025</v>
          </cell>
        </row>
        <row r="259">
          <cell r="A259" t="str">
            <v>9001-2211-DS-0010-01-WM7</v>
          </cell>
          <cell r="B259" t="str">
            <v>9001-2211-DS-0010-01-WM</v>
          </cell>
          <cell r="C259">
            <v>7</v>
          </cell>
          <cell r="E259" t="str">
            <v>DV</v>
          </cell>
          <cell r="F259" t="str">
            <v>100%MT &amp; UT</v>
          </cell>
          <cell r="G259" t="str">
            <v>D</v>
          </cell>
          <cell r="H259">
            <v>4785.3600000000006</v>
          </cell>
          <cell r="I259">
            <v>55</v>
          </cell>
          <cell r="K259" t="str">
            <v>WPS-TNHA-S03</v>
          </cell>
          <cell r="L259" t="str">
            <v>ST-02</v>
          </cell>
          <cell r="M259" t="str">
            <v xml:space="preserve">HIẾU </v>
          </cell>
          <cell r="N259">
            <v>45918</v>
          </cell>
          <cell r="O259" t="str">
            <v>F-024</v>
          </cell>
          <cell r="P259" t="str">
            <v>9/12/2025</v>
          </cell>
          <cell r="Q259" t="str">
            <v>BGT-0018;BGT-0022;GTC-10</v>
          </cell>
          <cell r="R259" t="str">
            <v>THÁI</v>
          </cell>
          <cell r="S259">
            <v>46005</v>
          </cell>
          <cell r="T259" t="str">
            <v>V-137</v>
          </cell>
          <cell r="U259">
            <v>45981</v>
          </cell>
          <cell r="V259" t="str">
            <v>BG-089</v>
          </cell>
          <cell r="Y259" t="str">
            <v>FINISH</v>
          </cell>
          <cell r="Z259" t="str">
            <v>ACC</v>
          </cell>
          <cell r="AA259" t="str">
            <v>ACC</v>
          </cell>
          <cell r="AB259" t="str">
            <v>MT-2211-ST-02-0035</v>
          </cell>
          <cell r="AC259" t="str">
            <v>ACC</v>
          </cell>
          <cell r="AD259" t="str">
            <v>UT-2211-ST-02-0038</v>
          </cell>
          <cell r="AJ259" t="str">
            <v>XX/12/2025</v>
          </cell>
          <cell r="AK259" t="str">
            <v>FINAL-V-155</v>
          </cell>
          <cell r="AL259" t="str">
            <v>xx/12/2025</v>
          </cell>
          <cell r="AM259" t="str">
            <v>IRN-2211-ST-02-0003</v>
          </cell>
          <cell r="AN259" t="str">
            <v>a</v>
          </cell>
          <cell r="AP259" t="str">
            <v>16/12/2025</v>
          </cell>
        </row>
        <row r="260">
          <cell r="A260" t="str">
            <v>9001-2211-DS-0010-01-WM8</v>
          </cell>
          <cell r="B260" t="str">
            <v>9001-2211-DS-0010-01-WM</v>
          </cell>
          <cell r="C260">
            <v>8</v>
          </cell>
          <cell r="E260" t="str">
            <v>DV</v>
          </cell>
          <cell r="F260" t="str">
            <v>100%MT &amp; UT</v>
          </cell>
          <cell r="G260" t="str">
            <v>D</v>
          </cell>
          <cell r="H260">
            <v>4785.3600000000006</v>
          </cell>
          <cell r="I260">
            <v>55</v>
          </cell>
          <cell r="K260" t="str">
            <v>WPS-TNHA-S03</v>
          </cell>
          <cell r="L260" t="str">
            <v>ST-02</v>
          </cell>
          <cell r="M260" t="str">
            <v xml:space="preserve">HIẾU </v>
          </cell>
          <cell r="N260">
            <v>45918</v>
          </cell>
          <cell r="O260" t="str">
            <v>F-024</v>
          </cell>
          <cell r="P260" t="str">
            <v>25/11/2025</v>
          </cell>
          <cell r="Q260" t="str">
            <v>BGT-0018;BGT-0002;GTC-10</v>
          </cell>
          <cell r="R260" t="str">
            <v>THÁI</v>
          </cell>
          <cell r="S260">
            <v>46006</v>
          </cell>
          <cell r="T260" t="str">
            <v>V-139</v>
          </cell>
          <cell r="U260">
            <v>45981</v>
          </cell>
          <cell r="V260" t="str">
            <v>BG-089</v>
          </cell>
          <cell r="Y260" t="str">
            <v>FINISH</v>
          </cell>
          <cell r="Z260" t="str">
            <v>ACC</v>
          </cell>
          <cell r="AA260" t="str">
            <v>ACC</v>
          </cell>
          <cell r="AB260" t="str">
            <v>MT-2211-ST-02-0036</v>
          </cell>
          <cell r="AC260" t="str">
            <v>ACC</v>
          </cell>
          <cell r="AD260" t="str">
            <v>UT-2211-ST-02-0044</v>
          </cell>
          <cell r="AJ260" t="str">
            <v>XX/12/2025</v>
          </cell>
          <cell r="AK260" t="str">
            <v>FINAL-V-155</v>
          </cell>
          <cell r="AL260" t="str">
            <v>xx/12/2025</v>
          </cell>
          <cell r="AM260" t="str">
            <v>IRN-2211-ST-02-0003</v>
          </cell>
          <cell r="AN260" t="str">
            <v>a</v>
          </cell>
          <cell r="AP260" t="str">
            <v>16/12/2025</v>
          </cell>
        </row>
        <row r="261">
          <cell r="A261" t="str">
            <v>9001-2211-DS-0010-01-WM9</v>
          </cell>
          <cell r="B261" t="str">
            <v>9001-2211-DS-0010-01-WM</v>
          </cell>
          <cell r="C261">
            <v>9</v>
          </cell>
          <cell r="E261" t="str">
            <v>DV</v>
          </cell>
          <cell r="F261" t="str">
            <v>100%MT &amp; UT</v>
          </cell>
          <cell r="G261" t="str">
            <v>D</v>
          </cell>
          <cell r="H261">
            <v>4785.3600000000006</v>
          </cell>
          <cell r="I261" t="str">
            <v>25/55</v>
          </cell>
          <cell r="K261" t="str">
            <v>WPS-TNHA-S01</v>
          </cell>
          <cell r="L261" t="str">
            <v>ST-02</v>
          </cell>
          <cell r="M261" t="str">
            <v xml:space="preserve">HIẾU </v>
          </cell>
          <cell r="N261">
            <v>45918</v>
          </cell>
          <cell r="O261" t="str">
            <v>F-024</v>
          </cell>
          <cell r="P261" t="str">
            <v>25/11/2025</v>
          </cell>
          <cell r="Q261" t="str">
            <v>BGT-0018;BGT-0002;GTC-10</v>
          </cell>
          <cell r="R261" t="str">
            <v>THÁI</v>
          </cell>
          <cell r="S261">
            <v>46006</v>
          </cell>
          <cell r="T261" t="str">
            <v>V-139</v>
          </cell>
          <cell r="U261">
            <v>45983</v>
          </cell>
          <cell r="V261" t="str">
            <v>BG-090</v>
          </cell>
          <cell r="Y261" t="str">
            <v>FINISH</v>
          </cell>
          <cell r="Z261" t="str">
            <v>ACC</v>
          </cell>
          <cell r="AA261" t="str">
            <v>ACC</v>
          </cell>
          <cell r="AB261" t="str">
            <v>MT-2211-ST-02-0036</v>
          </cell>
          <cell r="AC261" t="str">
            <v>ACC</v>
          </cell>
          <cell r="AD261" t="str">
            <v>UT-2211-ST-02-0045</v>
          </cell>
          <cell r="AJ261" t="str">
            <v>XX/12/2025</v>
          </cell>
          <cell r="AK261" t="str">
            <v>FINAL-V-155</v>
          </cell>
          <cell r="AL261" t="str">
            <v>xx/12/2025</v>
          </cell>
          <cell r="AM261" t="str">
            <v>IRN-2211-ST-02-0003</v>
          </cell>
          <cell r="AN261" t="str">
            <v>a</v>
          </cell>
          <cell r="AP261" t="str">
            <v>16/12/2025</v>
          </cell>
        </row>
        <row r="262">
          <cell r="A262" t="str">
            <v>9001-2211-DS-0010-01-WM10</v>
          </cell>
          <cell r="B262" t="str">
            <v>9001-2211-DS-0010-01-WM</v>
          </cell>
          <cell r="C262">
            <v>10</v>
          </cell>
          <cell r="E262" t="str">
            <v>SV</v>
          </cell>
          <cell r="F262" t="str">
            <v>100%MT &amp; UT</v>
          </cell>
          <cell r="G262" t="str">
            <v>D</v>
          </cell>
          <cell r="H262">
            <v>4785.3600000000006</v>
          </cell>
          <cell r="I262">
            <v>25</v>
          </cell>
          <cell r="K262" t="str">
            <v>WPS-TNHA-S06</v>
          </cell>
          <cell r="L262" t="str">
            <v>ST-02</v>
          </cell>
          <cell r="M262" t="str">
            <v>TUÂN</v>
          </cell>
          <cell r="N262">
            <v>46011</v>
          </cell>
          <cell r="O262" t="str">
            <v>F-143</v>
          </cell>
          <cell r="P262" t="str">
            <v>10h 20/12/2025</v>
          </cell>
          <cell r="Q262" t="str">
            <v>BGT0019;BGT-0006;BGT-0018;BGT-0016</v>
          </cell>
          <cell r="R262" t="str">
            <v>NGUYỆT</v>
          </cell>
          <cell r="S262">
            <v>46013</v>
          </cell>
          <cell r="T262" t="str">
            <v>V-153</v>
          </cell>
          <cell r="Y262" t="str">
            <v>FINISH</v>
          </cell>
          <cell r="Z262" t="str">
            <v>ACC</v>
          </cell>
          <cell r="AA262" t="str">
            <v>ACC</v>
          </cell>
          <cell r="AB262" t="str">
            <v>MT-2211-ST-02-0040</v>
          </cell>
          <cell r="AC262" t="str">
            <v>ACC</v>
          </cell>
          <cell r="AD262" t="str">
            <v>UT-2211-ST-02-0047</v>
          </cell>
          <cell r="AJ262" t="str">
            <v>XX/12/2025</v>
          </cell>
          <cell r="AK262" t="str">
            <v>FINAL-V-155</v>
          </cell>
          <cell r="AL262" t="str">
            <v>xx/12/2025</v>
          </cell>
          <cell r="AM262" t="str">
            <v>IRN-2211-ST-02-0003</v>
          </cell>
          <cell r="AN262" t="str">
            <v>a</v>
          </cell>
          <cell r="AP262" t="str">
            <v>23/12/2025</v>
          </cell>
        </row>
        <row r="263">
          <cell r="A263" t="str">
            <v>9001-2211-DS-0010-01-WM11</v>
          </cell>
          <cell r="B263" t="str">
            <v>9001-2211-DS-0010-01-WM</v>
          </cell>
          <cell r="C263">
            <v>11</v>
          </cell>
          <cell r="E263" t="str">
            <v>DV</v>
          </cell>
          <cell r="F263" t="str">
            <v>100%MT &amp; UT</v>
          </cell>
          <cell r="G263" t="str">
            <v>D</v>
          </cell>
          <cell r="H263">
            <v>4785.3600000000006</v>
          </cell>
          <cell r="I263">
            <v>25</v>
          </cell>
          <cell r="K263" t="str">
            <v>WPS-TNHA-S01</v>
          </cell>
          <cell r="L263" t="str">
            <v>ST-02</v>
          </cell>
          <cell r="M263" t="str">
            <v xml:space="preserve">HIẾU </v>
          </cell>
          <cell r="N263">
            <v>45914</v>
          </cell>
          <cell r="O263" t="str">
            <v>F-018</v>
          </cell>
          <cell r="P263" t="str">
            <v>19/10/2025</v>
          </cell>
          <cell r="Q263" t="str">
            <v>BGT-0008;BGT-0014;ND08</v>
          </cell>
          <cell r="R263" t="str">
            <v>HIẾU</v>
          </cell>
          <cell r="S263">
            <v>45954</v>
          </cell>
          <cell r="T263" t="str">
            <v>V-041</v>
          </cell>
          <cell r="U263">
            <v>45948</v>
          </cell>
          <cell r="V263" t="str">
            <v>BG-047</v>
          </cell>
          <cell r="Y263" t="str">
            <v>REJ</v>
          </cell>
          <cell r="Z263" t="str">
            <v>REJ</v>
          </cell>
          <cell r="AA263" t="str">
            <v>ACC</v>
          </cell>
          <cell r="AB263" t="str">
            <v>MT-2211-ST-02-0010</v>
          </cell>
          <cell r="AC263" t="str">
            <v>REJ</v>
          </cell>
          <cell r="AD263" t="str">
            <v>UT-2211-ST-02-0013</v>
          </cell>
          <cell r="AH263">
            <v>19</v>
          </cell>
          <cell r="AJ263" t="str">
            <v>15/12/2025</v>
          </cell>
          <cell r="AK263" t="str">
            <v xml:space="preserve">FINAL V-141 </v>
          </cell>
          <cell r="AL263" t="str">
            <v>xx/12/2025</v>
          </cell>
          <cell r="AM263" t="str">
            <v>IRN-2211-ST-02-0003</v>
          </cell>
          <cell r="AN263" t="str">
            <v>a</v>
          </cell>
          <cell r="AP263" t="str">
            <v>29/10/2025</v>
          </cell>
        </row>
        <row r="264">
          <cell r="A264" t="str">
            <v>9001-2211-DS-0010-01-WM11R1</v>
          </cell>
          <cell r="B264" t="str">
            <v>9001-2211-DS-0010-01-WM</v>
          </cell>
          <cell r="C264" t="str">
            <v>11R1</v>
          </cell>
          <cell r="E264" t="str">
            <v>DV</v>
          </cell>
          <cell r="F264" t="str">
            <v>100%MT &amp; UT</v>
          </cell>
          <cell r="G264" t="str">
            <v>L</v>
          </cell>
          <cell r="H264">
            <v>270</v>
          </cell>
          <cell r="I264">
            <v>25</v>
          </cell>
          <cell r="K264" t="str">
            <v>WPS-TNHA-S02</v>
          </cell>
          <cell r="L264" t="str">
            <v>ST-02</v>
          </cell>
          <cell r="M264" t="str">
            <v>NA</v>
          </cell>
          <cell r="N264" t="str">
            <v>NA</v>
          </cell>
          <cell r="O264" t="str">
            <v>NA</v>
          </cell>
          <cell r="P264" t="str">
            <v>30/10/2025</v>
          </cell>
          <cell r="Q264" t="str">
            <v>BGT0019</v>
          </cell>
          <cell r="R264" t="str">
            <v>HIẾU</v>
          </cell>
          <cell r="S264">
            <v>45961</v>
          </cell>
          <cell r="T264" t="str">
            <v>V-049</v>
          </cell>
          <cell r="U264">
            <v>45961</v>
          </cell>
          <cell r="V264" t="str">
            <v>BG-064</v>
          </cell>
          <cell r="Y264" t="str">
            <v>FINISH</v>
          </cell>
          <cell r="Z264" t="str">
            <v>ACC</v>
          </cell>
          <cell r="AA264" t="str">
            <v>ACC</v>
          </cell>
          <cell r="AB264" t="str">
            <v>MT-2211-ST-02-0010R1</v>
          </cell>
          <cell r="AC264" t="str">
            <v>ACC</v>
          </cell>
          <cell r="AD264" t="str">
            <v>UT-2211-ST-02-0013R1</v>
          </cell>
          <cell r="AI264">
            <v>70</v>
          </cell>
          <cell r="AJ264" t="str">
            <v>15/12/2025</v>
          </cell>
          <cell r="AK264" t="str">
            <v xml:space="preserve">FINAL V-141 </v>
          </cell>
          <cell r="AL264" t="str">
            <v>xx/12/2025</v>
          </cell>
          <cell r="AM264" t="str">
            <v>IRN-2211-ST-02-0003</v>
          </cell>
          <cell r="AN264" t="str">
            <v>a</v>
          </cell>
          <cell r="AP264" t="str">
            <v>5/11/2025</v>
          </cell>
        </row>
        <row r="265">
          <cell r="A265" t="str">
            <v>9001-2211-DS-0010-01-WM12</v>
          </cell>
          <cell r="B265" t="str">
            <v>9001-2211-DS-0010-01-WM</v>
          </cell>
          <cell r="C265">
            <v>12</v>
          </cell>
          <cell r="E265" t="str">
            <v>DV</v>
          </cell>
          <cell r="F265" t="str">
            <v>100%MT &amp; UT</v>
          </cell>
          <cell r="G265" t="str">
            <v>D</v>
          </cell>
          <cell r="H265">
            <v>4785.3600000000006</v>
          </cell>
          <cell r="I265">
            <v>25</v>
          </cell>
          <cell r="K265" t="str">
            <v>WPS-TNHA-S01</v>
          </cell>
          <cell r="L265" t="str">
            <v>ST-02</v>
          </cell>
          <cell r="M265" t="str">
            <v xml:space="preserve">HIẾU </v>
          </cell>
          <cell r="N265">
            <v>45914</v>
          </cell>
          <cell r="O265" t="str">
            <v>F-018</v>
          </cell>
          <cell r="P265" t="str">
            <v>19/10/2025</v>
          </cell>
          <cell r="Q265" t="str">
            <v>BGT-0008;BGT-0014;ND08</v>
          </cell>
          <cell r="R265" t="str">
            <v>HIẾU</v>
          </cell>
          <cell r="S265">
            <v>45954</v>
          </cell>
          <cell r="T265" t="str">
            <v>V-041</v>
          </cell>
          <cell r="U265">
            <v>45948</v>
          </cell>
          <cell r="V265" t="str">
            <v>BG-047</v>
          </cell>
          <cell r="Y265" t="str">
            <v>FINISH</v>
          </cell>
          <cell r="Z265" t="str">
            <v>ACC</v>
          </cell>
          <cell r="AA265" t="str">
            <v>ACC</v>
          </cell>
          <cell r="AB265" t="str">
            <v>MT-2211-ST-02-0010</v>
          </cell>
          <cell r="AC265" t="str">
            <v>ACC</v>
          </cell>
          <cell r="AD265" t="str">
            <v>UT-2211-ST-02-0014</v>
          </cell>
          <cell r="AJ265" t="str">
            <v>15/12/2025</v>
          </cell>
          <cell r="AK265" t="str">
            <v xml:space="preserve">FINAL V-141 </v>
          </cell>
          <cell r="AL265" t="str">
            <v>xx/12/2025</v>
          </cell>
          <cell r="AM265" t="str">
            <v>IRN-2211-ST-02-0003</v>
          </cell>
          <cell r="AN265" t="str">
            <v>a</v>
          </cell>
          <cell r="AP265" t="str">
            <v>29/10/2025</v>
          </cell>
        </row>
        <row r="266">
          <cell r="A266" t="str">
            <v>9001-2211-DS-0010-01-WM13</v>
          </cell>
          <cell r="B266" t="str">
            <v>9001-2211-DS-0010-01-WM</v>
          </cell>
          <cell r="C266">
            <v>13</v>
          </cell>
          <cell r="E266" t="str">
            <v>DV</v>
          </cell>
          <cell r="F266" t="str">
            <v>100%MT &amp; UT</v>
          </cell>
          <cell r="G266" t="str">
            <v>D</v>
          </cell>
          <cell r="H266">
            <v>4785.3600000000006</v>
          </cell>
          <cell r="I266">
            <v>25</v>
          </cell>
          <cell r="K266" t="str">
            <v>WPS-TNHA-S01</v>
          </cell>
          <cell r="L266" t="str">
            <v>ST-02</v>
          </cell>
          <cell r="M266" t="str">
            <v xml:space="preserve">HIẾU </v>
          </cell>
          <cell r="N266">
            <v>45914</v>
          </cell>
          <cell r="O266" t="str">
            <v>F-018</v>
          </cell>
          <cell r="P266" t="str">
            <v>20/10/2025</v>
          </cell>
          <cell r="Q266" t="str">
            <v>BGT-0015;BGT-0016;ND08</v>
          </cell>
          <cell r="R266" t="str">
            <v>HIẾU</v>
          </cell>
          <cell r="S266">
            <v>45953</v>
          </cell>
          <cell r="T266" t="str">
            <v>V-040</v>
          </cell>
          <cell r="U266">
            <v>45948</v>
          </cell>
          <cell r="V266" t="str">
            <v>BG-047</v>
          </cell>
          <cell r="Y266" t="str">
            <v>FINISH</v>
          </cell>
          <cell r="Z266" t="str">
            <v>ACC</v>
          </cell>
          <cell r="AA266" t="str">
            <v>ACC</v>
          </cell>
          <cell r="AB266" t="str">
            <v>MT-2211-ST-02-0009</v>
          </cell>
          <cell r="AC266" t="str">
            <v>ACC</v>
          </cell>
          <cell r="AD266" t="str">
            <v>UT-2211-ST-02-0010</v>
          </cell>
          <cell r="AJ266" t="str">
            <v>15/12/2025</v>
          </cell>
          <cell r="AK266" t="str">
            <v xml:space="preserve">FINAL V-141 </v>
          </cell>
          <cell r="AL266" t="str">
            <v>xx/12/2025</v>
          </cell>
          <cell r="AM266" t="str">
            <v>IRN-2211-ST-02-0003</v>
          </cell>
          <cell r="AN266" t="str">
            <v>a</v>
          </cell>
          <cell r="AP266" t="str">
            <v>29/10/2025</v>
          </cell>
        </row>
        <row r="267">
          <cell r="A267" t="str">
            <v>9001-2211-DS-0010-01-WM14</v>
          </cell>
          <cell r="B267" t="str">
            <v>9001-2211-DS-0010-01-WM</v>
          </cell>
          <cell r="C267">
            <v>14</v>
          </cell>
          <cell r="E267" t="str">
            <v>DV</v>
          </cell>
          <cell r="F267" t="str">
            <v>100%MT &amp; UT</v>
          </cell>
          <cell r="G267" t="str">
            <v>D</v>
          </cell>
          <cell r="H267">
            <v>4785.3600000000006</v>
          </cell>
          <cell r="I267">
            <v>25</v>
          </cell>
          <cell r="K267" t="str">
            <v>WPS-TNHA-S01</v>
          </cell>
          <cell r="L267" t="str">
            <v>ST-02</v>
          </cell>
          <cell r="M267" t="str">
            <v xml:space="preserve">HIẾU </v>
          </cell>
          <cell r="N267">
            <v>45914</v>
          </cell>
          <cell r="O267" t="str">
            <v>F-018</v>
          </cell>
          <cell r="P267" t="str">
            <v>20/10/2025</v>
          </cell>
          <cell r="Q267" t="str">
            <v>BGT-0015;BGT-0016;ND08</v>
          </cell>
          <cell r="R267" t="str">
            <v>HIẾU</v>
          </cell>
          <cell r="S267">
            <v>45953</v>
          </cell>
          <cell r="T267" t="str">
            <v>V-040</v>
          </cell>
          <cell r="U267">
            <v>45948</v>
          </cell>
          <cell r="V267" t="str">
            <v>BG-047</v>
          </cell>
          <cell r="Y267" t="str">
            <v>FINISH</v>
          </cell>
          <cell r="Z267" t="str">
            <v>ACC</v>
          </cell>
          <cell r="AA267" t="str">
            <v>ACC</v>
          </cell>
          <cell r="AB267" t="str">
            <v>MT-2211-ST-02-0009</v>
          </cell>
          <cell r="AC267" t="str">
            <v>ACC</v>
          </cell>
          <cell r="AD267" t="str">
            <v>UT-2211-ST-02-0010</v>
          </cell>
          <cell r="AJ267" t="str">
            <v>15/12/2025</v>
          </cell>
          <cell r="AK267" t="str">
            <v xml:space="preserve">FINAL V-141 </v>
          </cell>
          <cell r="AL267" t="str">
            <v>xx/12/2025</v>
          </cell>
          <cell r="AM267" t="str">
            <v>IRN-2211-ST-02-0003</v>
          </cell>
          <cell r="AN267" t="str">
            <v>a</v>
          </cell>
          <cell r="AP267" t="str">
            <v>29/10/2025</v>
          </cell>
        </row>
        <row r="268">
          <cell r="A268" t="str">
            <v>9001-2211-DS-0010-01-WM15</v>
          </cell>
          <cell r="B268" t="str">
            <v>9001-2211-DS-0010-01-WM</v>
          </cell>
          <cell r="C268">
            <v>15</v>
          </cell>
          <cell r="E268" t="str">
            <v>DV</v>
          </cell>
          <cell r="F268" t="str">
            <v>100%MT &amp; UT</v>
          </cell>
          <cell r="G268" t="str">
            <v>D</v>
          </cell>
          <cell r="H268">
            <v>4785.3600000000006</v>
          </cell>
          <cell r="I268" t="str">
            <v>25/50</v>
          </cell>
          <cell r="K268" t="str">
            <v>WPS-TNHA-S06</v>
          </cell>
          <cell r="L268" t="str">
            <v>ST-02</v>
          </cell>
          <cell r="M268" t="str">
            <v>THÁI</v>
          </cell>
          <cell r="N268">
            <v>45999</v>
          </cell>
          <cell r="O268" t="str">
            <v>F-117</v>
          </cell>
          <cell r="P268" t="str">
            <v>9/12/2025</v>
          </cell>
          <cell r="Q268" t="str">
            <v>BGT-0032;BGT-0006</v>
          </cell>
          <cell r="R268" t="str">
            <v>THÁI</v>
          </cell>
          <cell r="S268">
            <v>46005</v>
          </cell>
          <cell r="T268" t="str">
            <v>V-137</v>
          </cell>
          <cell r="U268">
            <v>46000</v>
          </cell>
          <cell r="V268" t="str">
            <v>BG-111</v>
          </cell>
          <cell r="Y268" t="str">
            <v>FINISH</v>
          </cell>
          <cell r="Z268" t="str">
            <v>ACC</v>
          </cell>
          <cell r="AA268" t="str">
            <v>ACC</v>
          </cell>
          <cell r="AB268" t="str">
            <v>MT-2211-ST-02-0035</v>
          </cell>
          <cell r="AC268" t="str">
            <v>ACC</v>
          </cell>
          <cell r="AD268" t="str">
            <v>UT-2211-ST-02-0039</v>
          </cell>
          <cell r="AJ268" t="str">
            <v>15/12/2025</v>
          </cell>
          <cell r="AK268" t="str">
            <v xml:space="preserve">FINAL V-141 </v>
          </cell>
          <cell r="AL268" t="str">
            <v>xx/12/2025</v>
          </cell>
          <cell r="AM268" t="str">
            <v>IRN-2211-ST-02-0003</v>
          </cell>
          <cell r="AN268" t="str">
            <v>a</v>
          </cell>
          <cell r="AP268" t="str">
            <v>16/12/2025</v>
          </cell>
        </row>
        <row r="269">
          <cell r="A269" t="str">
            <v>9001-2211-DS-0010-01-WM16</v>
          </cell>
          <cell r="B269" t="str">
            <v>9001-2211-DS-0010-01-WM</v>
          </cell>
          <cell r="C269">
            <v>16</v>
          </cell>
          <cell r="E269" t="str">
            <v>DV</v>
          </cell>
          <cell r="F269" t="str">
            <v>100%MT &amp; UT</v>
          </cell>
          <cell r="G269" t="str">
            <v>D</v>
          </cell>
          <cell r="H269">
            <v>4785.3600000000006</v>
          </cell>
          <cell r="I269">
            <v>50</v>
          </cell>
          <cell r="K269" t="str">
            <v>WPS-TNHA-S01</v>
          </cell>
          <cell r="L269" t="str">
            <v>ST-02</v>
          </cell>
          <cell r="M269" t="str">
            <v xml:space="preserve">HIẾU </v>
          </cell>
          <cell r="N269">
            <v>45919</v>
          </cell>
          <cell r="O269" t="str">
            <v>F-025</v>
          </cell>
          <cell r="P269" t="str">
            <v>28/10/2025</v>
          </cell>
          <cell r="Q269" t="str">
            <v>BGT-0008;BGT0017;GTC-10</v>
          </cell>
          <cell r="R269" t="str">
            <v>HIẾU</v>
          </cell>
          <cell r="S269">
            <v>45963</v>
          </cell>
          <cell r="T269" t="str">
            <v>V-051</v>
          </cell>
          <cell r="U269">
            <v>45957</v>
          </cell>
          <cell r="V269" t="str">
            <v>BG-057</v>
          </cell>
          <cell r="Y269" t="str">
            <v>FINISH</v>
          </cell>
          <cell r="Z269" t="str">
            <v>ACC</v>
          </cell>
          <cell r="AA269" t="str">
            <v>ACC</v>
          </cell>
          <cell r="AB269" t="str">
            <v>MT-2211-ST-02-0014</v>
          </cell>
          <cell r="AC269" t="str">
            <v>ACC</v>
          </cell>
          <cell r="AD269" t="str">
            <v>UT-2211-ST-02-0022</v>
          </cell>
          <cell r="AJ269" t="str">
            <v>15/12/2025</v>
          </cell>
          <cell r="AK269" t="str">
            <v xml:space="preserve">FINAL V-141 </v>
          </cell>
          <cell r="AL269" t="str">
            <v>xx/12/2025</v>
          </cell>
          <cell r="AM269" t="str">
            <v>IRN-2211-ST-02-0003</v>
          </cell>
          <cell r="AN269" t="str">
            <v>a</v>
          </cell>
          <cell r="AP269" t="str">
            <v>5/11/2025</v>
          </cell>
        </row>
        <row r="270">
          <cell r="A270" t="str">
            <v>9001-2211-DS-0010-01-WM17</v>
          </cell>
          <cell r="B270" t="str">
            <v>9001-2211-DS-0010-01-WM</v>
          </cell>
          <cell r="C270">
            <v>17</v>
          </cell>
          <cell r="E270" t="str">
            <v>DV</v>
          </cell>
          <cell r="F270" t="str">
            <v>100%MT &amp; UT</v>
          </cell>
          <cell r="G270" t="str">
            <v>D</v>
          </cell>
          <cell r="H270">
            <v>4785.3600000000006</v>
          </cell>
          <cell r="I270">
            <v>50</v>
          </cell>
          <cell r="K270" t="str">
            <v>WPS-TNHA-S01</v>
          </cell>
          <cell r="L270" t="str">
            <v>ST-02</v>
          </cell>
          <cell r="M270" t="str">
            <v xml:space="preserve">HIẾU </v>
          </cell>
          <cell r="N270">
            <v>45919</v>
          </cell>
          <cell r="O270" t="str">
            <v>F-025</v>
          </cell>
          <cell r="P270" t="str">
            <v>28/10/2025</v>
          </cell>
          <cell r="Q270" t="str">
            <v>BGT-0008;BGT0017;GTC-10</v>
          </cell>
          <cell r="R270" t="str">
            <v>HIẾU</v>
          </cell>
          <cell r="S270">
            <v>45963</v>
          </cell>
          <cell r="T270" t="str">
            <v>V-051</v>
          </cell>
          <cell r="U270">
            <v>45953</v>
          </cell>
          <cell r="V270" t="str">
            <v>BG-051/056</v>
          </cell>
          <cell r="Y270" t="str">
            <v>FINISH</v>
          </cell>
          <cell r="Z270" t="str">
            <v>ACC</v>
          </cell>
          <cell r="AA270" t="str">
            <v>ACC</v>
          </cell>
          <cell r="AB270" t="str">
            <v>MT-2211-ST-02-0014</v>
          </cell>
          <cell r="AC270" t="str">
            <v>ACC</v>
          </cell>
          <cell r="AD270" t="str">
            <v>UT-2211-ST-02-0022</v>
          </cell>
          <cell r="AJ270" t="str">
            <v>15/12/2025</v>
          </cell>
          <cell r="AK270" t="str">
            <v xml:space="preserve">FINAL V-141 </v>
          </cell>
          <cell r="AL270" t="str">
            <v>xx/12/2025</v>
          </cell>
          <cell r="AM270" t="str">
            <v>IRN-2211-ST-02-0003</v>
          </cell>
          <cell r="AN270" t="str">
            <v>a</v>
          </cell>
          <cell r="AP270" t="str">
            <v>5/11/2025</v>
          </cell>
        </row>
        <row r="271">
          <cell r="A271" t="str">
            <v>9001-2211-DS-0010-01-WM18</v>
          </cell>
          <cell r="B271" t="str">
            <v>9001-2211-DS-0010-01-WM</v>
          </cell>
          <cell r="C271">
            <v>18</v>
          </cell>
          <cell r="E271" t="str">
            <v>DV</v>
          </cell>
          <cell r="F271" t="str">
            <v>100%MT &amp; UT</v>
          </cell>
          <cell r="G271" t="str">
            <v>D</v>
          </cell>
          <cell r="H271">
            <v>4785.3600000000006</v>
          </cell>
          <cell r="I271" t="str">
            <v>30/50</v>
          </cell>
          <cell r="K271" t="str">
            <v>WPS-TNHA-S06</v>
          </cell>
          <cell r="L271" t="str">
            <v>ST-02</v>
          </cell>
          <cell r="M271" t="str">
            <v>THÁI</v>
          </cell>
          <cell r="N271">
            <v>45999</v>
          </cell>
          <cell r="O271" t="str">
            <v>F-117</v>
          </cell>
          <cell r="P271" t="str">
            <v>9/12/2025</v>
          </cell>
          <cell r="Q271" t="str">
            <v>BGT-0008;GTC-07</v>
          </cell>
          <cell r="R271" t="str">
            <v>THÁI</v>
          </cell>
          <cell r="S271">
            <v>46005</v>
          </cell>
          <cell r="T271" t="str">
            <v>V-137</v>
          </cell>
          <cell r="U271">
            <v>46000</v>
          </cell>
          <cell r="V271" t="str">
            <v>BG-111</v>
          </cell>
          <cell r="Y271" t="str">
            <v>FINISH</v>
          </cell>
          <cell r="Z271" t="str">
            <v>ACC</v>
          </cell>
          <cell r="AA271" t="str">
            <v>ACC</v>
          </cell>
          <cell r="AB271" t="str">
            <v>MT-2211-ST-02-0035</v>
          </cell>
          <cell r="AC271" t="str">
            <v>ACC</v>
          </cell>
          <cell r="AD271" t="str">
            <v>UT-2211-ST-02-0040</v>
          </cell>
          <cell r="AJ271" t="str">
            <v>15/12/2025</v>
          </cell>
          <cell r="AK271" t="str">
            <v xml:space="preserve">FINAL V-141 </v>
          </cell>
          <cell r="AL271" t="str">
            <v>xx/12/2025</v>
          </cell>
          <cell r="AM271" t="str">
            <v>IRN-2211-ST-02-0003</v>
          </cell>
          <cell r="AN271" t="str">
            <v>a</v>
          </cell>
          <cell r="AP271" t="str">
            <v>16/12/2025</v>
          </cell>
        </row>
        <row r="272">
          <cell r="A272" t="str">
            <v>9001-2211-DS-0010-01-WM19</v>
          </cell>
          <cell r="B272" t="str">
            <v>9001-2211-DS-0010-01-WM</v>
          </cell>
          <cell r="C272">
            <v>19</v>
          </cell>
          <cell r="E272" t="str">
            <v>DV</v>
          </cell>
          <cell r="F272" t="str">
            <v>100%MT &amp; UT</v>
          </cell>
          <cell r="G272" t="str">
            <v>D</v>
          </cell>
          <cell r="H272">
            <v>4785.3600000000006</v>
          </cell>
          <cell r="I272">
            <v>30</v>
          </cell>
          <cell r="K272" t="str">
            <v>WPS-TNHA-S01</v>
          </cell>
          <cell r="L272" t="str">
            <v>ST-02</v>
          </cell>
          <cell r="M272" t="str">
            <v xml:space="preserve">HIẾU </v>
          </cell>
          <cell r="N272">
            <v>45921</v>
          </cell>
          <cell r="O272" t="str">
            <v>F-027</v>
          </cell>
          <cell r="P272" t="str">
            <v>25/10/2025</v>
          </cell>
          <cell r="Q272" t="str">
            <v>BGT-0008;BGT-0022;GTC-10</v>
          </cell>
          <cell r="R272" t="str">
            <v>THAI</v>
          </cell>
          <cell r="S272">
            <v>45959</v>
          </cell>
          <cell r="T272" t="str">
            <v>V-045</v>
          </cell>
          <cell r="U272">
            <v>45950</v>
          </cell>
          <cell r="V272" t="str">
            <v>BG-049</v>
          </cell>
          <cell r="Y272" t="str">
            <v>FINISH</v>
          </cell>
          <cell r="Z272" t="str">
            <v>ACC</v>
          </cell>
          <cell r="AA272" t="str">
            <v>ACC</v>
          </cell>
          <cell r="AB272" t="str">
            <v>MT-2211-ST-02-0012</v>
          </cell>
          <cell r="AC272" t="str">
            <v>ACC</v>
          </cell>
          <cell r="AD272" t="str">
            <v>UT-2211-ST-02-0018</v>
          </cell>
          <cell r="AJ272" t="str">
            <v>XX/12/2025</v>
          </cell>
          <cell r="AK272" t="str">
            <v>FINAL-V-155</v>
          </cell>
          <cell r="AL272" t="str">
            <v>xx/12/2025</v>
          </cell>
          <cell r="AM272" t="str">
            <v>IRN-2211-ST-02-0003</v>
          </cell>
          <cell r="AN272" t="str">
            <v>a</v>
          </cell>
          <cell r="AP272" t="str">
            <v>5/11/2025</v>
          </cell>
        </row>
        <row r="273">
          <cell r="A273" t="str">
            <v>9001-2211-DS-0010-01-WM20</v>
          </cell>
          <cell r="B273" t="str">
            <v>9001-2211-DS-0010-01-WM</v>
          </cell>
          <cell r="C273">
            <v>20</v>
          </cell>
          <cell r="E273" t="str">
            <v>DV</v>
          </cell>
          <cell r="F273" t="str">
            <v>100%MT &amp; UT</v>
          </cell>
          <cell r="G273" t="str">
            <v>D</v>
          </cell>
          <cell r="H273">
            <v>4785.3600000000006</v>
          </cell>
          <cell r="I273">
            <v>30</v>
          </cell>
          <cell r="K273" t="str">
            <v>WPS-TNHA-S01</v>
          </cell>
          <cell r="L273" t="str">
            <v>ST-02</v>
          </cell>
          <cell r="M273" t="str">
            <v xml:space="preserve">HIẾU </v>
          </cell>
          <cell r="N273">
            <v>45921</v>
          </cell>
          <cell r="O273" t="str">
            <v>F-027</v>
          </cell>
          <cell r="P273" t="str">
            <v>25/10/2025</v>
          </cell>
          <cell r="Q273" t="str">
            <v>BGT-0008;BGT0017;ND08</v>
          </cell>
          <cell r="R273" t="str">
            <v>THAI</v>
          </cell>
          <cell r="S273">
            <v>45959</v>
          </cell>
          <cell r="T273" t="str">
            <v>V-045</v>
          </cell>
          <cell r="U273">
            <v>45948</v>
          </cell>
          <cell r="V273" t="str">
            <v>BG-046</v>
          </cell>
          <cell r="Y273" t="str">
            <v>FINISH</v>
          </cell>
          <cell r="Z273" t="str">
            <v>ACC</v>
          </cell>
          <cell r="AA273" t="str">
            <v>ACC</v>
          </cell>
          <cell r="AB273" t="str">
            <v>MT-2211-ST-02-0012</v>
          </cell>
          <cell r="AC273" t="str">
            <v>ACC</v>
          </cell>
          <cell r="AD273" t="str">
            <v>UT-2211-ST-02-0018</v>
          </cell>
          <cell r="AJ273" t="str">
            <v>XX/12/2025</v>
          </cell>
          <cell r="AK273" t="str">
            <v>FINAL-V-155</v>
          </cell>
          <cell r="AL273" t="str">
            <v>xx/12/2025</v>
          </cell>
          <cell r="AM273" t="str">
            <v>IRN-2211-ST-02-0003</v>
          </cell>
          <cell r="AN273" t="str">
            <v>a</v>
          </cell>
          <cell r="AP273" t="str">
            <v>5/11/2025</v>
          </cell>
        </row>
        <row r="274">
          <cell r="A274" t="str">
            <v>9001-2211-DS-0010-01-WM21</v>
          </cell>
          <cell r="B274" t="str">
            <v>9001-2211-DS-0010-01-WM</v>
          </cell>
          <cell r="C274">
            <v>21</v>
          </cell>
          <cell r="E274" t="str">
            <v>DV</v>
          </cell>
          <cell r="F274" t="str">
            <v>100%MT &amp; UT</v>
          </cell>
          <cell r="G274" t="str">
            <v>D</v>
          </cell>
          <cell r="H274">
            <v>4785.3600000000006</v>
          </cell>
          <cell r="I274">
            <v>30</v>
          </cell>
          <cell r="K274" t="str">
            <v>WPS-TNHA-S01</v>
          </cell>
          <cell r="L274" t="str">
            <v>ST-02</v>
          </cell>
          <cell r="M274" t="str">
            <v xml:space="preserve">HIẾU </v>
          </cell>
          <cell r="N274">
            <v>45921</v>
          </cell>
          <cell r="O274" t="str">
            <v>F-027</v>
          </cell>
          <cell r="P274" t="str">
            <v>25/10/2025</v>
          </cell>
          <cell r="Q274" t="str">
            <v>BGT-0008;BGT0017;ND08</v>
          </cell>
          <cell r="R274" t="str">
            <v>THAI</v>
          </cell>
          <cell r="S274">
            <v>45959</v>
          </cell>
          <cell r="T274" t="str">
            <v>V-045</v>
          </cell>
          <cell r="U274">
            <v>45948</v>
          </cell>
          <cell r="V274" t="str">
            <v>BG-046</v>
          </cell>
          <cell r="Y274" t="str">
            <v>FINISH</v>
          </cell>
          <cell r="Z274" t="str">
            <v>ACC</v>
          </cell>
          <cell r="AA274" t="str">
            <v>ACC</v>
          </cell>
          <cell r="AB274" t="str">
            <v>MT-2211-ST-02-0012</v>
          </cell>
          <cell r="AC274" t="str">
            <v>ACC</v>
          </cell>
          <cell r="AD274" t="str">
            <v>UT-2211-ST-02-0019</v>
          </cell>
          <cell r="AJ274" t="str">
            <v>XX/12/2025</v>
          </cell>
          <cell r="AK274" t="str">
            <v>FINAL-V-155</v>
          </cell>
          <cell r="AL274" t="str">
            <v>xx/12/2025</v>
          </cell>
          <cell r="AM274" t="str">
            <v>IRN-2211-ST-02-0003</v>
          </cell>
          <cell r="AN274" t="str">
            <v>a</v>
          </cell>
          <cell r="AP274" t="str">
            <v>5/11/2025</v>
          </cell>
        </row>
        <row r="275">
          <cell r="A275" t="str">
            <v>9001-2211-DS-0010-01-WM22</v>
          </cell>
          <cell r="B275" t="str">
            <v>9001-2211-DS-0010-01-WM</v>
          </cell>
          <cell r="C275">
            <v>22</v>
          </cell>
          <cell r="E275" t="str">
            <v>DV</v>
          </cell>
          <cell r="F275" t="str">
            <v>100%MT &amp; UT</v>
          </cell>
          <cell r="G275" t="str">
            <v>D</v>
          </cell>
          <cell r="H275">
            <v>4785.3600000000006</v>
          </cell>
          <cell r="I275">
            <v>30</v>
          </cell>
          <cell r="K275" t="str">
            <v>WPS-TNHA-S01</v>
          </cell>
          <cell r="L275" t="str">
            <v>ST-02</v>
          </cell>
          <cell r="M275" t="str">
            <v xml:space="preserve">HIẾU </v>
          </cell>
          <cell r="N275">
            <v>45921</v>
          </cell>
          <cell r="O275" t="str">
            <v>F-027</v>
          </cell>
          <cell r="P275" t="str">
            <v>25/10/2025</v>
          </cell>
          <cell r="Q275" t="str">
            <v>BGT-0008;BGT-0036;GTC-10</v>
          </cell>
          <cell r="R275" t="str">
            <v>THAI</v>
          </cell>
          <cell r="S275">
            <v>45959</v>
          </cell>
          <cell r="T275" t="str">
            <v>V-045</v>
          </cell>
          <cell r="U275">
            <v>45948</v>
          </cell>
          <cell r="V275" t="str">
            <v>BG-046</v>
          </cell>
          <cell r="Y275" t="str">
            <v>FINISH</v>
          </cell>
          <cell r="Z275" t="str">
            <v>ACC</v>
          </cell>
          <cell r="AA275" t="str">
            <v>ACC</v>
          </cell>
          <cell r="AB275" t="str">
            <v>MT-2211-ST-02-0012</v>
          </cell>
          <cell r="AC275" t="str">
            <v>ACC</v>
          </cell>
          <cell r="AD275" t="str">
            <v>UT-2211-ST-02-0019</v>
          </cell>
          <cell r="AJ275" t="str">
            <v>XX/12/2025</v>
          </cell>
          <cell r="AK275" t="str">
            <v>FINAL-V-155</v>
          </cell>
          <cell r="AL275" t="str">
            <v>xx/12/2025</v>
          </cell>
          <cell r="AM275" t="str">
            <v>IRN-2211-ST-02-0003</v>
          </cell>
          <cell r="AN275" t="str">
            <v>a</v>
          </cell>
          <cell r="AP275" t="str">
            <v>5/11/2025</v>
          </cell>
        </row>
        <row r="276">
          <cell r="A276" t="str">
            <v>9001-2211-DS-0010-01-WM23</v>
          </cell>
          <cell r="B276" t="str">
            <v>9001-2211-DS-0010-01-WM</v>
          </cell>
          <cell r="C276">
            <v>23</v>
          </cell>
          <cell r="E276" t="str">
            <v>SV</v>
          </cell>
          <cell r="F276" t="str">
            <v>100%MT &amp; UT</v>
          </cell>
          <cell r="G276" t="str">
            <v>D</v>
          </cell>
          <cell r="H276">
            <v>4785.3600000000006</v>
          </cell>
          <cell r="I276">
            <v>30</v>
          </cell>
          <cell r="K276" t="str">
            <v>WPS-TNHA-S06</v>
          </cell>
          <cell r="L276" t="str">
            <v>ST-02</v>
          </cell>
          <cell r="M276" t="str">
            <v>THÁI</v>
          </cell>
          <cell r="N276">
            <v>46005</v>
          </cell>
          <cell r="O276" t="str">
            <v>F-133-</v>
          </cell>
          <cell r="P276" t="str">
            <v>15h 16/12/2025</v>
          </cell>
          <cell r="Q276" t="str">
            <v>BGT-0008;BGT-0032;GTC-12</v>
          </cell>
          <cell r="R276" t="str">
            <v>THÁI</v>
          </cell>
          <cell r="S276">
            <v>46008</v>
          </cell>
          <cell r="T276" t="str">
            <v>V-144</v>
          </cell>
          <cell r="Y276" t="str">
            <v>FINISH</v>
          </cell>
          <cell r="Z276" t="str">
            <v>ACC</v>
          </cell>
          <cell r="AA276" t="str">
            <v>ACC</v>
          </cell>
          <cell r="AB276" t="str">
            <v>MT-2211-ST-02-0038</v>
          </cell>
          <cell r="AC276" t="str">
            <v>ACC</v>
          </cell>
          <cell r="AD276" t="str">
            <v>UT-2211-ST-02-0046</v>
          </cell>
          <cell r="AJ276" t="str">
            <v>XX/12/2025</v>
          </cell>
          <cell r="AK276" t="str">
            <v>FINAL-V-155</v>
          </cell>
          <cell r="AL276" t="str">
            <v>xx/12/2025</v>
          </cell>
          <cell r="AM276" t="str">
            <v>IRN-2211-ST-02-0003</v>
          </cell>
          <cell r="AN276" t="str">
            <v>a</v>
          </cell>
          <cell r="AP276" t="str">
            <v>23/12/2025</v>
          </cell>
        </row>
        <row r="277">
          <cell r="A277" t="str">
            <v>9001-2211-DS-0010-01-WM24</v>
          </cell>
          <cell r="B277" t="str">
            <v>9001-2211-DS-0010-01-WM</v>
          </cell>
          <cell r="C277">
            <v>24</v>
          </cell>
          <cell r="E277" t="str">
            <v>DV</v>
          </cell>
          <cell r="F277" t="str">
            <v>100%MT &amp; UT</v>
          </cell>
          <cell r="G277" t="str">
            <v>D</v>
          </cell>
          <cell r="H277">
            <v>4785.3600000000006</v>
          </cell>
          <cell r="I277">
            <v>30</v>
          </cell>
          <cell r="K277" t="str">
            <v>WPS-TNHA-S06</v>
          </cell>
          <cell r="L277" t="str">
            <v>ST-02</v>
          </cell>
          <cell r="M277" t="str">
            <v xml:space="preserve">HIẾU </v>
          </cell>
          <cell r="N277">
            <v>45911</v>
          </cell>
          <cell r="O277" t="str">
            <v>F-013</v>
          </cell>
          <cell r="P277" t="str">
            <v>16/11/2025</v>
          </cell>
          <cell r="Q277" t="str">
            <v>BGT-0013;BGT-0020;BGT-0005;BGT-0006</v>
          </cell>
          <cell r="R277" t="str">
            <v>THÁI</v>
          </cell>
          <cell r="S277">
            <v>45986</v>
          </cell>
          <cell r="T277" t="str">
            <v>V-091</v>
          </cell>
          <cell r="U277">
            <v>45974</v>
          </cell>
          <cell r="V277" t="str">
            <v>BG-081</v>
          </cell>
          <cell r="Y277" t="str">
            <v>FINISH</v>
          </cell>
          <cell r="Z277" t="str">
            <v>ACC</v>
          </cell>
          <cell r="AA277" t="str">
            <v>ACC</v>
          </cell>
          <cell r="AB277" t="str">
            <v>MT-2211-ST-02-0021</v>
          </cell>
          <cell r="AC277" t="str">
            <v>ACC</v>
          </cell>
          <cell r="AD277" t="str">
            <v>UT-2211-ST-02-0027</v>
          </cell>
          <cell r="AJ277" t="str">
            <v>XX/12/2025</v>
          </cell>
          <cell r="AK277" t="str">
            <v>FINAL-V-155</v>
          </cell>
          <cell r="AL277" t="str">
            <v>xx/12/2025</v>
          </cell>
          <cell r="AM277" t="str">
            <v>IRN-2211-ST-02-0003</v>
          </cell>
          <cell r="AN277" t="str">
            <v>a</v>
          </cell>
          <cell r="AP277" t="str">
            <v>26/11/2025</v>
          </cell>
        </row>
        <row r="278">
          <cell r="A278" t="str">
            <v>9001-2211-DS-0010-01-WM25</v>
          </cell>
          <cell r="B278" t="str">
            <v>9001-2211-DS-0010-01-WM</v>
          </cell>
          <cell r="C278">
            <v>25</v>
          </cell>
          <cell r="E278" t="str">
            <v>DV</v>
          </cell>
          <cell r="F278" t="str">
            <v>100%MT &amp; UT</v>
          </cell>
          <cell r="G278" t="str">
            <v>D</v>
          </cell>
          <cell r="H278">
            <v>4785.3600000000006</v>
          </cell>
          <cell r="I278">
            <v>30</v>
          </cell>
          <cell r="K278" t="str">
            <v>WPS-TNHA-S06</v>
          </cell>
          <cell r="L278" t="str">
            <v>ST-02</v>
          </cell>
          <cell r="M278" t="str">
            <v>THÁI</v>
          </cell>
          <cell r="N278">
            <v>45995</v>
          </cell>
          <cell r="O278" t="str">
            <v>F-112</v>
          </cell>
          <cell r="P278" t="str">
            <v>7/12/2025</v>
          </cell>
          <cell r="Q278" t="str">
            <v>BGT-0008;BGT-0013;BGT-0032</v>
          </cell>
          <cell r="R278" t="str">
            <v>THÁI</v>
          </cell>
          <cell r="S278">
            <v>46001</v>
          </cell>
          <cell r="T278" t="str">
            <v>V-126</v>
          </cell>
          <cell r="U278">
            <v>45997</v>
          </cell>
          <cell r="V278" t="str">
            <v>BG-107</v>
          </cell>
          <cell r="Y278" t="str">
            <v>FINISH</v>
          </cell>
          <cell r="Z278" t="str">
            <v>ACC</v>
          </cell>
          <cell r="AA278" t="str">
            <v>ACC</v>
          </cell>
          <cell r="AB278" t="str">
            <v>MT-2211-ST-02-0031</v>
          </cell>
          <cell r="AC278" t="str">
            <v>ACC</v>
          </cell>
          <cell r="AD278" t="str">
            <v>UT-2211-ST-02-0035</v>
          </cell>
          <cell r="AJ278" t="str">
            <v>XX/12/2025</v>
          </cell>
          <cell r="AK278" t="str">
            <v>FINAL-V-155</v>
          </cell>
          <cell r="AL278" t="str">
            <v>xx/12/2025</v>
          </cell>
          <cell r="AM278" t="str">
            <v>IRN-2211-ST-02-0003</v>
          </cell>
          <cell r="AN278" t="str">
            <v>a</v>
          </cell>
          <cell r="AP278" t="str">
            <v>16/12/2025</v>
          </cell>
        </row>
        <row r="279">
          <cell r="A279" t="str">
            <v>9001-2211-DS-0010-01-WM26</v>
          </cell>
          <cell r="B279" t="str">
            <v>9001-2211-DS-0010-01-WM</v>
          </cell>
          <cell r="C279">
            <v>26</v>
          </cell>
          <cell r="E279" t="str">
            <v>DV</v>
          </cell>
          <cell r="F279" t="str">
            <v>100%MT &amp; UT</v>
          </cell>
          <cell r="G279" t="str">
            <v>D</v>
          </cell>
          <cell r="H279">
            <v>5981.7</v>
          </cell>
          <cell r="I279" t="str">
            <v>30/65</v>
          </cell>
          <cell r="K279" t="str">
            <v>WPS-TNHA-S06</v>
          </cell>
          <cell r="L279" t="str">
            <v>ST-02</v>
          </cell>
          <cell r="M279" t="str">
            <v>THÁI</v>
          </cell>
          <cell r="N279">
            <v>45995</v>
          </cell>
          <cell r="O279" t="str">
            <v>F-112</v>
          </cell>
          <cell r="P279" t="str">
            <v>7/12/2025</v>
          </cell>
          <cell r="Q279" t="str">
            <v>BGT-0008;BGT-0013;BGT-0032</v>
          </cell>
          <cell r="R279" t="str">
            <v>THÁI</v>
          </cell>
          <cell r="S279">
            <v>46001</v>
          </cell>
          <cell r="T279" t="str">
            <v>V-126</v>
          </cell>
          <cell r="U279">
            <v>45997</v>
          </cell>
          <cell r="V279" t="str">
            <v>BG-107</v>
          </cell>
          <cell r="Y279" t="str">
            <v>FINISH</v>
          </cell>
          <cell r="Z279" t="str">
            <v>ACC</v>
          </cell>
          <cell r="AA279" t="str">
            <v>ACC</v>
          </cell>
          <cell r="AB279" t="str">
            <v>MT-2211-ST-02-0031</v>
          </cell>
          <cell r="AC279" t="str">
            <v>ACC</v>
          </cell>
          <cell r="AD279" t="str">
            <v>UT-2211-ST-02-0035</v>
          </cell>
          <cell r="AJ279" t="str">
            <v>XX/12/2025</v>
          </cell>
          <cell r="AK279" t="str">
            <v>FINAL-V-155</v>
          </cell>
          <cell r="AL279" t="str">
            <v>xx/12/2025</v>
          </cell>
          <cell r="AM279" t="str">
            <v>IRN-2211-ST-02-0003</v>
          </cell>
          <cell r="AN279" t="str">
            <v>a</v>
          </cell>
          <cell r="AP279" t="str">
            <v>16/12/2025</v>
          </cell>
        </row>
        <row r="280">
          <cell r="A280" t="str">
            <v>9001-2211-DS-0010-01-WM27</v>
          </cell>
          <cell r="B280" t="str">
            <v>9001-2211-DS-0010-01-WM</v>
          </cell>
          <cell r="C280">
            <v>27</v>
          </cell>
          <cell r="E280" t="str">
            <v>DV</v>
          </cell>
          <cell r="F280" t="str">
            <v>100%MT &amp; UT</v>
          </cell>
          <cell r="G280" t="str">
            <v>D</v>
          </cell>
          <cell r="H280">
            <v>5981.7</v>
          </cell>
          <cell r="I280">
            <v>65</v>
          </cell>
          <cell r="K280" t="str">
            <v>WPS-TNHA-S03</v>
          </cell>
          <cell r="L280" t="str">
            <v>ST-02</v>
          </cell>
          <cell r="M280" t="str">
            <v>TUÂN</v>
          </cell>
          <cell r="N280">
            <v>45926</v>
          </cell>
          <cell r="O280" t="str">
            <v>F-030</v>
          </cell>
          <cell r="P280" t="str">
            <v>17/10/2025</v>
          </cell>
          <cell r="Q280" t="str">
            <v>BGT-0008;BGT-0026;ND08</v>
          </cell>
          <cell r="R280" t="str">
            <v>HIẾU</v>
          </cell>
          <cell r="S280">
            <v>45953</v>
          </cell>
          <cell r="T280" t="str">
            <v>V-040</v>
          </cell>
          <cell r="U280">
            <v>45938</v>
          </cell>
          <cell r="V280" t="str">
            <v>BG-034</v>
          </cell>
          <cell r="Y280" t="str">
            <v>REJ</v>
          </cell>
          <cell r="Z280" t="str">
            <v>REJ</v>
          </cell>
          <cell r="AA280" t="str">
            <v>ACC</v>
          </cell>
          <cell r="AB280" t="str">
            <v>MT-2211-ST-02-0009</v>
          </cell>
          <cell r="AC280" t="str">
            <v>REJ</v>
          </cell>
          <cell r="AD280" t="str">
            <v>UT-2211-ST-02-0011</v>
          </cell>
          <cell r="AH280">
            <v>40</v>
          </cell>
          <cell r="AJ280" t="str">
            <v>XX/12/2025</v>
          </cell>
          <cell r="AK280" t="str">
            <v>FINAL-V-155</v>
          </cell>
          <cell r="AL280" t="str">
            <v>xx/12/2025</v>
          </cell>
          <cell r="AM280" t="str">
            <v>IRN-2211-ST-02-0003</v>
          </cell>
          <cell r="AN280" t="str">
            <v>a</v>
          </cell>
          <cell r="AP280" t="str">
            <v>29/10/2025</v>
          </cell>
        </row>
        <row r="281">
          <cell r="A281" t="str">
            <v>9001-2211-DS-0010-01-WM27R1</v>
          </cell>
          <cell r="B281" t="str">
            <v>9001-2211-DS-0010-01-WM</v>
          </cell>
          <cell r="C281" t="str">
            <v>27R1</v>
          </cell>
          <cell r="E281" t="str">
            <v>DV</v>
          </cell>
          <cell r="F281" t="str">
            <v>100%MT &amp; UT</v>
          </cell>
          <cell r="G281" t="str">
            <v>L</v>
          </cell>
          <cell r="H281">
            <v>340</v>
          </cell>
          <cell r="I281">
            <v>65</v>
          </cell>
          <cell r="K281" t="str">
            <v>WPS-TNHA-S04</v>
          </cell>
          <cell r="L281" t="str">
            <v>ST-02</v>
          </cell>
          <cell r="M281" t="str">
            <v>NA</v>
          </cell>
          <cell r="N281" t="str">
            <v>NA</v>
          </cell>
          <cell r="O281" t="str">
            <v>NA</v>
          </cell>
          <cell r="P281" t="str">
            <v>30/10/2025</v>
          </cell>
          <cell r="Q281" t="str">
            <v>ND-01</v>
          </cell>
          <cell r="R281" t="str">
            <v>HIẾU</v>
          </cell>
          <cell r="S281">
            <v>45963</v>
          </cell>
          <cell r="T281" t="str">
            <v>V-051</v>
          </cell>
          <cell r="U281">
            <v>45959</v>
          </cell>
          <cell r="V281" t="str">
            <v>BG-062</v>
          </cell>
          <cell r="Y281" t="str">
            <v>FINISH</v>
          </cell>
          <cell r="Z281" t="str">
            <v>ACC</v>
          </cell>
          <cell r="AA281" t="str">
            <v>ACC</v>
          </cell>
          <cell r="AB281" t="str">
            <v>MT-2211-ST-02-0009R1</v>
          </cell>
          <cell r="AC281" t="str">
            <v>ACC</v>
          </cell>
          <cell r="AD281" t="str">
            <v>UT-2211-ST-02-0011R1</v>
          </cell>
          <cell r="AI281">
            <v>140</v>
          </cell>
          <cell r="AJ281" t="str">
            <v>XX/12/2025</v>
          </cell>
          <cell r="AK281" t="str">
            <v>FINAL-V-155</v>
          </cell>
          <cell r="AL281" t="str">
            <v>xx/12/2025</v>
          </cell>
          <cell r="AM281" t="str">
            <v>IRN-2211-ST-02-0003</v>
          </cell>
          <cell r="AN281" t="str">
            <v>a</v>
          </cell>
          <cell r="AP281" t="str">
            <v>5/11/2025</v>
          </cell>
        </row>
        <row r="282">
          <cell r="A282" t="str">
            <v>9001-2211-DS-0010-01-WM28</v>
          </cell>
          <cell r="B282" t="str">
            <v>9001-2211-DS-0010-01-WM</v>
          </cell>
          <cell r="C282">
            <v>28</v>
          </cell>
          <cell r="E282" t="str">
            <v>DV</v>
          </cell>
          <cell r="F282" t="str">
            <v>100%MT &amp; UT</v>
          </cell>
          <cell r="G282" t="str">
            <v>D</v>
          </cell>
          <cell r="H282">
            <v>5981.7</v>
          </cell>
          <cell r="I282">
            <v>65</v>
          </cell>
          <cell r="K282" t="str">
            <v>WPS-TNHA-S03</v>
          </cell>
          <cell r="L282" t="str">
            <v>ST-02</v>
          </cell>
          <cell r="M282" t="str">
            <v>TUÂN</v>
          </cell>
          <cell r="N282">
            <v>45926</v>
          </cell>
          <cell r="O282" t="str">
            <v>F-030</v>
          </cell>
          <cell r="P282" t="str">
            <v>17/10/2025</v>
          </cell>
          <cell r="Q282" t="str">
            <v>BGT-0022;BGT-0018;ND08</v>
          </cell>
          <cell r="R282" t="str">
            <v>HIẾU</v>
          </cell>
          <cell r="S282">
            <v>45953</v>
          </cell>
          <cell r="T282" t="str">
            <v>V-040</v>
          </cell>
          <cell r="U282">
            <v>45938</v>
          </cell>
          <cell r="V282" t="str">
            <v>BG-034</v>
          </cell>
          <cell r="Y282" t="str">
            <v>FINISH</v>
          </cell>
          <cell r="Z282" t="str">
            <v>ACC</v>
          </cell>
          <cell r="AA282" t="str">
            <v>ACC</v>
          </cell>
          <cell r="AB282" t="str">
            <v>MT-2211-ST-02-0009</v>
          </cell>
          <cell r="AC282" t="str">
            <v>ACC</v>
          </cell>
          <cell r="AD282" t="str">
            <v>UT-2211-ST-02-0012</v>
          </cell>
          <cell r="AJ282" t="str">
            <v>XX/12/2025</v>
          </cell>
          <cell r="AK282" t="str">
            <v>FINAL-V-155</v>
          </cell>
          <cell r="AL282" t="str">
            <v>xx/12/2025</v>
          </cell>
          <cell r="AM282" t="str">
            <v>IRN-2211-ST-02-0003</v>
          </cell>
          <cell r="AN282" t="str">
            <v>a</v>
          </cell>
          <cell r="AP282" t="str">
            <v>29/10/2025</v>
          </cell>
        </row>
        <row r="283">
          <cell r="A283" t="str">
            <v>9001-2211-DS-0010-01-WM29</v>
          </cell>
          <cell r="B283" t="str">
            <v>9001-2211-DS-0010-01-WM</v>
          </cell>
          <cell r="C283">
            <v>29</v>
          </cell>
          <cell r="E283" t="str">
            <v>DV</v>
          </cell>
          <cell r="F283" t="str">
            <v>100%MT &amp; UT</v>
          </cell>
          <cell r="G283" t="str">
            <v>D</v>
          </cell>
          <cell r="H283">
            <v>5981.7</v>
          </cell>
          <cell r="I283">
            <v>65</v>
          </cell>
          <cell r="K283" t="str">
            <v>WPS-TNHA-S03</v>
          </cell>
          <cell r="L283" t="str">
            <v>ST-02</v>
          </cell>
          <cell r="M283" t="str">
            <v>TUÂN</v>
          </cell>
          <cell r="N283">
            <v>45926</v>
          </cell>
          <cell r="O283" t="str">
            <v>F-030</v>
          </cell>
          <cell r="P283" t="str">
            <v>17/10/2025</v>
          </cell>
          <cell r="Q283" t="str">
            <v>BGT-0015;BGT-0016;ND08</v>
          </cell>
          <cell r="R283" t="str">
            <v>HIẾU</v>
          </cell>
          <cell r="S283">
            <v>45953</v>
          </cell>
          <cell r="T283" t="str">
            <v>V-040</v>
          </cell>
          <cell r="U283">
            <v>45943</v>
          </cell>
          <cell r="V283" t="str">
            <v>BG-040</v>
          </cell>
          <cell r="Y283" t="str">
            <v>FINISH</v>
          </cell>
          <cell r="Z283" t="str">
            <v>ACC</v>
          </cell>
          <cell r="AA283" t="str">
            <v>ACC</v>
          </cell>
          <cell r="AB283" t="str">
            <v>MT-2211-ST-02-0009</v>
          </cell>
          <cell r="AC283" t="str">
            <v>ACC</v>
          </cell>
          <cell r="AD283" t="str">
            <v>UT-2211-ST-02-0012</v>
          </cell>
          <cell r="AJ283" t="str">
            <v>XX/12/2025</v>
          </cell>
          <cell r="AK283" t="str">
            <v>FINAL-V-155</v>
          </cell>
          <cell r="AL283" t="str">
            <v>xx/12/2025</v>
          </cell>
          <cell r="AM283" t="str">
            <v>IRN-2211-ST-02-0003</v>
          </cell>
          <cell r="AN283" t="str">
            <v>a</v>
          </cell>
          <cell r="AP283" t="str">
            <v>29/10/2025</v>
          </cell>
        </row>
        <row r="284">
          <cell r="A284" t="str">
            <v>9001-2211-DS-0010-01-WM30</v>
          </cell>
          <cell r="B284" t="str">
            <v>9001-2211-DS-0010-01-WM</v>
          </cell>
          <cell r="C284">
            <v>30</v>
          </cell>
          <cell r="E284" t="str">
            <v>DV</v>
          </cell>
          <cell r="F284" t="str">
            <v>100%MT &amp; UT</v>
          </cell>
          <cell r="G284" t="str">
            <v>D</v>
          </cell>
          <cell r="H284">
            <v>5981.7</v>
          </cell>
          <cell r="I284" t="str">
            <v>35/65</v>
          </cell>
          <cell r="K284" t="str">
            <v>WPS-TNHA-S01</v>
          </cell>
          <cell r="L284" t="str">
            <v>ST-02</v>
          </cell>
          <cell r="M284" t="str">
            <v>HIẾU</v>
          </cell>
          <cell r="N284">
            <v>45963</v>
          </cell>
          <cell r="O284" t="str">
            <v>F-072</v>
          </cell>
          <cell r="P284" t="str">
            <v>25/11/2025</v>
          </cell>
          <cell r="Q284" t="str">
            <v>GTC-07;GTC-12;GTC-10</v>
          </cell>
          <cell r="R284" t="str">
            <v>THÁI</v>
          </cell>
          <cell r="S284">
            <v>45997</v>
          </cell>
          <cell r="T284" t="str">
            <v>V-118</v>
          </cell>
          <cell r="U284">
            <v>45977</v>
          </cell>
          <cell r="V284" t="str">
            <v>BG-084</v>
          </cell>
          <cell r="Y284" t="str">
            <v>FINISH</v>
          </cell>
          <cell r="Z284" t="str">
            <v>ACC</v>
          </cell>
          <cell r="AA284" t="str">
            <v>ACC</v>
          </cell>
          <cell r="AB284" t="str">
            <v>MT-2211-ST-02-0029</v>
          </cell>
          <cell r="AC284" t="str">
            <v>ACC</v>
          </cell>
          <cell r="AD284" t="str">
            <v>UT-2211-ST-02-0033</v>
          </cell>
          <cell r="AJ284" t="str">
            <v>XX/12/2025</v>
          </cell>
          <cell r="AK284" t="str">
            <v>FINAL-V-155</v>
          </cell>
          <cell r="AL284" t="str">
            <v>xx/12/2025</v>
          </cell>
          <cell r="AM284" t="str">
            <v>IRN-2211-ST-02-0003</v>
          </cell>
          <cell r="AN284" t="str">
            <v>a</v>
          </cell>
          <cell r="AP284" t="str">
            <v>10/12/2025</v>
          </cell>
        </row>
        <row r="285">
          <cell r="A285" t="str">
            <v>9001-2211-DS-0010-01-WM31</v>
          </cell>
          <cell r="B285" t="str">
            <v>9001-2211-DS-0010-01-WM</v>
          </cell>
          <cell r="C285">
            <v>31</v>
          </cell>
          <cell r="E285" t="str">
            <v>DV</v>
          </cell>
          <cell r="F285" t="str">
            <v>100%MT &amp; UT</v>
          </cell>
          <cell r="G285" t="str">
            <v>D</v>
          </cell>
          <cell r="H285">
            <v>5981.7</v>
          </cell>
          <cell r="I285">
            <v>35</v>
          </cell>
          <cell r="K285" t="str">
            <v>WPS-TNHA-S01</v>
          </cell>
          <cell r="L285" t="str">
            <v>ST-02</v>
          </cell>
          <cell r="M285" t="str">
            <v>HIẾU</v>
          </cell>
          <cell r="N285">
            <v>45916</v>
          </cell>
          <cell r="O285" t="str">
            <v>F-020</v>
          </cell>
          <cell r="P285" t="str">
            <v>25/11/2025</v>
          </cell>
          <cell r="Q285" t="str">
            <v>BGT-0015;BGT-0016;GTC-10</v>
          </cell>
          <cell r="R285" t="str">
            <v>THÁI</v>
          </cell>
          <cell r="S285">
            <v>45997</v>
          </cell>
          <cell r="T285" t="str">
            <v>V-118</v>
          </cell>
          <cell r="U285">
            <v>45936</v>
          </cell>
          <cell r="V285" t="str">
            <v>BG-033</v>
          </cell>
          <cell r="Y285" t="str">
            <v>FINISH</v>
          </cell>
          <cell r="Z285" t="str">
            <v>ACC</v>
          </cell>
          <cell r="AA285" t="str">
            <v>ACC</v>
          </cell>
          <cell r="AB285" t="str">
            <v>MT-2211-ST-02-0029</v>
          </cell>
          <cell r="AC285" t="str">
            <v>ACC</v>
          </cell>
          <cell r="AD285" t="str">
            <v>UT-2211-ST-02-0033</v>
          </cell>
          <cell r="AJ285" t="str">
            <v>XX/12/2025</v>
          </cell>
          <cell r="AK285" t="str">
            <v>FINAL-V-155</v>
          </cell>
          <cell r="AL285" t="str">
            <v>xx/12/2025</v>
          </cell>
          <cell r="AM285" t="str">
            <v>IRN-2211-ST-02-0003</v>
          </cell>
          <cell r="AN285" t="str">
            <v>a</v>
          </cell>
          <cell r="AP285" t="str">
            <v>10/12/2025</v>
          </cell>
        </row>
        <row r="286">
          <cell r="A286" t="str">
            <v>9001-2211-DS-0010-01-WM32</v>
          </cell>
          <cell r="B286" t="str">
            <v>9001-2211-DS-0010-01-WM</v>
          </cell>
          <cell r="C286">
            <v>32</v>
          </cell>
          <cell r="E286" t="str">
            <v>DV</v>
          </cell>
          <cell r="F286" t="str">
            <v>100%MT &amp; UT</v>
          </cell>
          <cell r="G286" t="str">
            <v>D</v>
          </cell>
          <cell r="H286">
            <v>5981.7</v>
          </cell>
          <cell r="I286">
            <v>35</v>
          </cell>
          <cell r="K286" t="str">
            <v>WPS-TNHA-S01</v>
          </cell>
          <cell r="L286" t="str">
            <v>ST-02</v>
          </cell>
          <cell r="M286" t="str">
            <v>HIẾU</v>
          </cell>
          <cell r="N286">
            <v>45916</v>
          </cell>
          <cell r="O286" t="str">
            <v>F-020</v>
          </cell>
          <cell r="P286" t="str">
            <v>25/11/2025</v>
          </cell>
          <cell r="Q286" t="str">
            <v>BGT-0013;BGT-0022;GTC-10</v>
          </cell>
          <cell r="R286" t="str">
            <v>THÁI</v>
          </cell>
          <cell r="S286">
            <v>45997</v>
          </cell>
          <cell r="T286" t="str">
            <v>V-118</v>
          </cell>
          <cell r="U286">
            <v>45936</v>
          </cell>
          <cell r="V286" t="str">
            <v>BG-033</v>
          </cell>
          <cell r="Y286" t="str">
            <v>FINISH</v>
          </cell>
          <cell r="Z286" t="str">
            <v>ACC</v>
          </cell>
          <cell r="AA286" t="str">
            <v>ACC</v>
          </cell>
          <cell r="AB286" t="str">
            <v>MT-2211-ST-02-0029</v>
          </cell>
          <cell r="AC286" t="str">
            <v>ACC</v>
          </cell>
          <cell r="AD286" t="str">
            <v>UT-2211-ST-02-0033</v>
          </cell>
          <cell r="AJ286" t="str">
            <v>XX/12/2025</v>
          </cell>
          <cell r="AK286" t="str">
            <v>FINAL-V-155</v>
          </cell>
          <cell r="AL286" t="str">
            <v>xx/12/2025</v>
          </cell>
          <cell r="AM286" t="str">
            <v>IRN-2211-ST-02-0003</v>
          </cell>
          <cell r="AN286" t="str">
            <v>a</v>
          </cell>
          <cell r="AP286" t="str">
            <v>10/12/2025</v>
          </cell>
        </row>
        <row r="287">
          <cell r="A287" t="str">
            <v>9001-2211-DS-0010-01-WM33</v>
          </cell>
          <cell r="B287" t="str">
            <v>9001-2211-DS-0010-01-WM</v>
          </cell>
          <cell r="C287">
            <v>33</v>
          </cell>
          <cell r="E287" t="str">
            <v>DV</v>
          </cell>
          <cell r="F287" t="str">
            <v>100%MT &amp; UT</v>
          </cell>
          <cell r="G287" t="str">
            <v>D</v>
          </cell>
          <cell r="H287">
            <v>5981.7</v>
          </cell>
          <cell r="I287">
            <v>35</v>
          </cell>
          <cell r="K287" t="str">
            <v>WPS-TNHA-S01</v>
          </cell>
          <cell r="L287" t="str">
            <v>ST-02</v>
          </cell>
          <cell r="M287" t="str">
            <v>TUÂN</v>
          </cell>
          <cell r="N287">
            <v>45917</v>
          </cell>
          <cell r="O287" t="str">
            <v>F-021</v>
          </cell>
          <cell r="P287" t="str">
            <v>25/11/2025</v>
          </cell>
          <cell r="Q287" t="str">
            <v>BGT-0018;BGT-0020;ND08</v>
          </cell>
          <cell r="R287" t="str">
            <v>THÁI</v>
          </cell>
          <cell r="S287">
            <v>45997</v>
          </cell>
          <cell r="T287" t="str">
            <v>V-118</v>
          </cell>
          <cell r="U287">
            <v>45936</v>
          </cell>
          <cell r="V287" t="str">
            <v>BG-033</v>
          </cell>
          <cell r="Y287" t="str">
            <v>REJ</v>
          </cell>
          <cell r="Z287" t="str">
            <v>REJ</v>
          </cell>
          <cell r="AA287" t="str">
            <v>ACC</v>
          </cell>
          <cell r="AB287" t="str">
            <v>MT-2211-ST-02-0029</v>
          </cell>
          <cell r="AC287" t="str">
            <v>REJ</v>
          </cell>
          <cell r="AD287" t="str">
            <v>UT-2211-ST-02-0032</v>
          </cell>
          <cell r="AH287">
            <v>175</v>
          </cell>
          <cell r="AJ287" t="str">
            <v>XX/12/2025</v>
          </cell>
          <cell r="AK287" t="str">
            <v>FINAL-V-155</v>
          </cell>
          <cell r="AL287" t="str">
            <v>xx/12/2025</v>
          </cell>
          <cell r="AM287" t="str">
            <v>IRN-2211-ST-02-0003</v>
          </cell>
          <cell r="AN287" t="str">
            <v>a</v>
          </cell>
          <cell r="AP287" t="str">
            <v>10/12/2025</v>
          </cell>
        </row>
        <row r="288">
          <cell r="A288" t="str">
            <v>9001-2211-DS-0010-01-WM33R1</v>
          </cell>
          <cell r="B288" t="str">
            <v>9001-2211-DS-0010-01-WM</v>
          </cell>
          <cell r="C288" t="str">
            <v>33R1</v>
          </cell>
          <cell r="E288" t="str">
            <v>DV</v>
          </cell>
          <cell r="F288" t="str">
            <v>100%MT &amp; UT</v>
          </cell>
          <cell r="G288" t="str">
            <v>L</v>
          </cell>
          <cell r="H288">
            <v>915</v>
          </cell>
          <cell r="I288">
            <v>35</v>
          </cell>
          <cell r="K288" t="str">
            <v>WPS-TNHA-S02</v>
          </cell>
          <cell r="L288" t="str">
            <v>ST-02</v>
          </cell>
          <cell r="M288" t="str">
            <v>NA</v>
          </cell>
          <cell r="N288" t="str">
            <v>NA</v>
          </cell>
          <cell r="O288" t="str">
            <v>NA</v>
          </cell>
          <cell r="P288" t="str">
            <v>8/12/2025</v>
          </cell>
          <cell r="Q288" t="str">
            <v>BGT-0032</v>
          </cell>
          <cell r="R288" t="str">
            <v>THÁI</v>
          </cell>
          <cell r="S288">
            <v>46003</v>
          </cell>
          <cell r="T288" t="str">
            <v>V-130</v>
          </cell>
          <cell r="U288">
            <v>45998</v>
          </cell>
          <cell r="V288" t="str">
            <v>BG-109</v>
          </cell>
          <cell r="Y288" t="str">
            <v>FINISH</v>
          </cell>
          <cell r="Z288" t="str">
            <v>ACC</v>
          </cell>
          <cell r="AA288" t="str">
            <v>ACC</v>
          </cell>
          <cell r="AB288" t="str">
            <v>MT-2211-ST-02-0029R1</v>
          </cell>
          <cell r="AC288" t="str">
            <v>ACC</v>
          </cell>
          <cell r="AD288" t="str">
            <v>UT-2211-ST-02-0032R1</v>
          </cell>
          <cell r="AI288">
            <v>475</v>
          </cell>
          <cell r="AJ288" t="str">
            <v>XX/12/2025</v>
          </cell>
          <cell r="AK288" t="str">
            <v>FINAL-V-155</v>
          </cell>
          <cell r="AL288" t="str">
            <v>xx/12/2025</v>
          </cell>
          <cell r="AM288" t="str">
            <v>IRN-2211-ST-02-0003</v>
          </cell>
          <cell r="AN288" t="str">
            <v>a</v>
          </cell>
          <cell r="AP288" t="str">
            <v>16/12/2025</v>
          </cell>
        </row>
        <row r="289">
          <cell r="A289" t="str">
            <v>9001-2211-DS-0010-01-WM34</v>
          </cell>
          <cell r="B289" t="str">
            <v>9001-2211-DS-0010-01-WM</v>
          </cell>
          <cell r="C289">
            <v>34</v>
          </cell>
          <cell r="E289" t="str">
            <v>DV</v>
          </cell>
          <cell r="F289" t="str">
            <v>100%MT &amp; UT</v>
          </cell>
          <cell r="G289" t="str">
            <v>D</v>
          </cell>
          <cell r="H289">
            <v>5981.7</v>
          </cell>
          <cell r="I289" t="str">
            <v>35/65</v>
          </cell>
          <cell r="K289" t="str">
            <v>WPS-TNHA-S01</v>
          </cell>
          <cell r="L289" t="str">
            <v>ST-02</v>
          </cell>
          <cell r="M289" t="str">
            <v>TUÂN</v>
          </cell>
          <cell r="N289">
            <v>45965</v>
          </cell>
          <cell r="O289" t="str">
            <v>F-074</v>
          </cell>
          <cell r="P289" t="str">
            <v>25/11/2025</v>
          </cell>
          <cell r="Q289" t="str">
            <v>ND-01;GTC-07;ND08</v>
          </cell>
          <cell r="R289" t="str">
            <v>THÁI</v>
          </cell>
          <cell r="S289">
            <v>45997</v>
          </cell>
          <cell r="T289" t="str">
            <v>V-118</v>
          </cell>
          <cell r="U289">
            <v>45977</v>
          </cell>
          <cell r="V289" t="str">
            <v>BG-084</v>
          </cell>
          <cell r="Y289" t="str">
            <v>FINISH</v>
          </cell>
          <cell r="Z289" t="str">
            <v>ACC</v>
          </cell>
          <cell r="AA289" t="str">
            <v>ACC</v>
          </cell>
          <cell r="AB289" t="str">
            <v>MT-2211-ST-02-0029</v>
          </cell>
          <cell r="AC289" t="str">
            <v>ACC</v>
          </cell>
          <cell r="AD289" t="str">
            <v>UT-2211-ST-02-0033</v>
          </cell>
          <cell r="AJ289" t="str">
            <v>XX/12/2025</v>
          </cell>
          <cell r="AK289" t="str">
            <v>FINAL-V-155</v>
          </cell>
          <cell r="AL289" t="str">
            <v>xx/12/2025</v>
          </cell>
          <cell r="AM289" t="str">
            <v>IRN-2211-ST-02-0003</v>
          </cell>
          <cell r="AN289" t="str">
            <v>a</v>
          </cell>
          <cell r="AP289" t="str">
            <v>10/12/2025</v>
          </cell>
        </row>
        <row r="290">
          <cell r="A290" t="str">
            <v>9001-2211-DS-0010-01-WM35</v>
          </cell>
          <cell r="B290" t="str">
            <v>9001-2211-DS-0010-01-WM</v>
          </cell>
          <cell r="C290">
            <v>35</v>
          </cell>
          <cell r="E290" t="str">
            <v>DV</v>
          </cell>
          <cell r="F290" t="str">
            <v>100%MT &amp; UT</v>
          </cell>
          <cell r="G290" t="str">
            <v>D</v>
          </cell>
          <cell r="H290">
            <v>5981.7</v>
          </cell>
          <cell r="I290">
            <v>65</v>
          </cell>
          <cell r="K290" t="str">
            <v>WPS-TNHA-S03</v>
          </cell>
          <cell r="L290" t="str">
            <v>ST-02</v>
          </cell>
          <cell r="M290" t="str">
            <v>TUÂN</v>
          </cell>
          <cell r="N290">
            <v>45914</v>
          </cell>
          <cell r="O290" t="str">
            <v>F-017</v>
          </cell>
          <cell r="P290" t="str">
            <v>14/11/2025</v>
          </cell>
          <cell r="Q290" t="str">
            <v>BGT-0016;BGT-0013;GTC-10</v>
          </cell>
          <cell r="R290" t="str">
            <v>THÁI</v>
          </cell>
          <cell r="S290">
            <v>45982</v>
          </cell>
          <cell r="T290" t="str">
            <v>V-086</v>
          </cell>
          <cell r="U290">
            <v>45923</v>
          </cell>
          <cell r="V290" t="str">
            <v>BG-020</v>
          </cell>
          <cell r="Y290" t="str">
            <v>FINISH</v>
          </cell>
          <cell r="Z290" t="str">
            <v>ACC</v>
          </cell>
          <cell r="AA290" t="str">
            <v>ACC</v>
          </cell>
          <cell r="AB290" t="str">
            <v>MT-2211-ST-02-0019</v>
          </cell>
          <cell r="AC290" t="str">
            <v>ACC</v>
          </cell>
          <cell r="AD290" t="str">
            <v>UT-2211-ST-02-0025</v>
          </cell>
          <cell r="AJ290" t="str">
            <v>XX/12/2025</v>
          </cell>
          <cell r="AK290" t="str">
            <v>FINAL-V-155</v>
          </cell>
          <cell r="AL290" t="str">
            <v>xx/12/2025</v>
          </cell>
          <cell r="AM290" t="str">
            <v>IRN-2211-ST-02-0003</v>
          </cell>
          <cell r="AN290" t="str">
            <v>a</v>
          </cell>
          <cell r="AP290" t="str">
            <v>26/11/2025</v>
          </cell>
        </row>
        <row r="291">
          <cell r="A291" t="str">
            <v>9001-2211-DS-0010-01-WM36</v>
          </cell>
          <cell r="B291" t="str">
            <v>9001-2211-DS-0010-01-WM</v>
          </cell>
          <cell r="C291">
            <v>36</v>
          </cell>
          <cell r="E291" t="str">
            <v>SB</v>
          </cell>
          <cell r="F291" t="str">
            <v>100%MT &amp; UT</v>
          </cell>
          <cell r="G291" t="str">
            <v>D</v>
          </cell>
          <cell r="H291">
            <v>2232.54</v>
          </cell>
          <cell r="I291">
            <v>20</v>
          </cell>
          <cell r="K291" t="str">
            <v>WPS-TNHA-S07</v>
          </cell>
          <cell r="L291" t="str">
            <v>ST-02</v>
          </cell>
          <cell r="Y291" t="str">
            <v>NOT YET FITUP</v>
          </cell>
        </row>
        <row r="292">
          <cell r="A292" t="str">
            <v>9001-2211-DS-0010-01-WM37</v>
          </cell>
          <cell r="B292" t="str">
            <v>9001-2211-DS-0010-01-WM</v>
          </cell>
          <cell r="C292">
            <v>37</v>
          </cell>
          <cell r="E292" t="str">
            <v>SB</v>
          </cell>
          <cell r="F292" t="str">
            <v>100%MT &amp; UT</v>
          </cell>
          <cell r="G292" t="str">
            <v>D</v>
          </cell>
          <cell r="H292">
            <v>2232.54</v>
          </cell>
          <cell r="I292">
            <v>20</v>
          </cell>
          <cell r="K292" t="str">
            <v>WPS-TNHA-S07</v>
          </cell>
          <cell r="L292" t="str">
            <v>ST-02</v>
          </cell>
          <cell r="Y292" t="str">
            <v>NOT YET FITUP</v>
          </cell>
        </row>
        <row r="293">
          <cell r="A293" t="str">
            <v>9001-2211-DS-0010-01-WM38</v>
          </cell>
          <cell r="B293" t="str">
            <v>9001-2211-DS-0010-01-WM</v>
          </cell>
          <cell r="C293">
            <v>38</v>
          </cell>
          <cell r="E293" t="str">
            <v>SV</v>
          </cell>
          <cell r="F293" t="str">
            <v>100%MT &amp; UT</v>
          </cell>
          <cell r="G293" t="str">
            <v>D</v>
          </cell>
          <cell r="H293">
            <v>2232.54</v>
          </cell>
          <cell r="I293" t="str">
            <v>20/35</v>
          </cell>
          <cell r="K293" t="str">
            <v>WPS-TNHA-S06</v>
          </cell>
          <cell r="L293" t="str">
            <v>ST-02</v>
          </cell>
          <cell r="M293" t="str">
            <v>THÁI</v>
          </cell>
          <cell r="N293">
            <v>45979</v>
          </cell>
          <cell r="O293" t="str">
            <v>F-090</v>
          </cell>
          <cell r="P293" t="str">
            <v>19/11/2025</v>
          </cell>
          <cell r="Q293" t="str">
            <v>BGT0019;BGT-0032</v>
          </cell>
          <cell r="R293" t="str">
            <v>THÁI</v>
          </cell>
          <cell r="S293">
            <v>45983</v>
          </cell>
          <cell r="T293" t="str">
            <v>V-087</v>
          </cell>
          <cell r="Y293" t="str">
            <v>FINISH</v>
          </cell>
          <cell r="Z293" t="str">
            <v>ACC</v>
          </cell>
          <cell r="AA293" t="str">
            <v>ACC</v>
          </cell>
          <cell r="AB293" t="str">
            <v>MT-2211-ST-02-0020</v>
          </cell>
          <cell r="AC293" t="str">
            <v>ACC</v>
          </cell>
          <cell r="AD293" t="str">
            <v>UT-2211-ST-02-0026</v>
          </cell>
          <cell r="AL293" t="str">
            <v>4/11/2025</v>
          </cell>
          <cell r="AM293" t="str">
            <v>IRN-2211-ST-02-0002</v>
          </cell>
          <cell r="AP293" t="str">
            <v>26/11/2025</v>
          </cell>
        </row>
        <row r="294">
          <cell r="A294" t="str">
            <v>9001-2211-DS-0010-01-WM39</v>
          </cell>
          <cell r="B294" t="str">
            <v>9001-2211-DS-0010-01-WM</v>
          </cell>
          <cell r="C294">
            <v>39</v>
          </cell>
          <cell r="E294" t="str">
            <v>SB</v>
          </cell>
          <cell r="F294" t="str">
            <v>100%MT &amp; UT</v>
          </cell>
          <cell r="G294" t="str">
            <v>D</v>
          </cell>
          <cell r="H294">
            <v>2232.54</v>
          </cell>
          <cell r="I294">
            <v>20</v>
          </cell>
          <cell r="K294" t="str">
            <v>WPS-TNHA-S07</v>
          </cell>
          <cell r="L294" t="str">
            <v>ST-02</v>
          </cell>
          <cell r="Y294" t="str">
            <v>NOT YET FITUP</v>
          </cell>
        </row>
        <row r="295">
          <cell r="A295" t="str">
            <v>9001-2211-DS-0010-01-WM40</v>
          </cell>
          <cell r="B295" t="str">
            <v>9001-2211-DS-0010-01-WM</v>
          </cell>
          <cell r="C295">
            <v>40</v>
          </cell>
          <cell r="E295" t="str">
            <v>SB</v>
          </cell>
          <cell r="F295" t="str">
            <v>100%MT &amp; UT</v>
          </cell>
          <cell r="G295" t="str">
            <v>D</v>
          </cell>
          <cell r="H295">
            <v>2232.54</v>
          </cell>
          <cell r="I295">
            <v>20</v>
          </cell>
          <cell r="K295" t="str">
            <v>WPS-TNHA-S07</v>
          </cell>
          <cell r="L295" t="str">
            <v>ST-02</v>
          </cell>
          <cell r="Y295" t="str">
            <v>NOT YET FITUP</v>
          </cell>
        </row>
        <row r="296">
          <cell r="A296" t="str">
            <v>9001-2211-DS-0010-01-WM41</v>
          </cell>
          <cell r="B296" t="str">
            <v>9001-2211-DS-0010-01-WM</v>
          </cell>
          <cell r="C296">
            <v>41</v>
          </cell>
          <cell r="E296" t="str">
            <v>SV</v>
          </cell>
          <cell r="F296" t="str">
            <v>100%MT &amp; UT</v>
          </cell>
          <cell r="G296" t="str">
            <v>D</v>
          </cell>
          <cell r="H296">
            <v>2232.54</v>
          </cell>
          <cell r="I296" t="str">
            <v>20/35</v>
          </cell>
          <cell r="K296" t="str">
            <v>WPS-TNHA-S06</v>
          </cell>
          <cell r="L296" t="str">
            <v>ST-02</v>
          </cell>
          <cell r="M296" t="str">
            <v>THÁI</v>
          </cell>
          <cell r="N296">
            <v>45940</v>
          </cell>
          <cell r="O296" t="str">
            <v>F-040</v>
          </cell>
          <cell r="P296" t="str">
            <v>14/10/2025</v>
          </cell>
          <cell r="Q296" t="str">
            <v>BGT-0032;BGT-0036</v>
          </cell>
          <cell r="R296" t="str">
            <v>TUÂN</v>
          </cell>
          <cell r="S296">
            <v>45949</v>
          </cell>
          <cell r="T296" t="str">
            <v>V-036</v>
          </cell>
          <cell r="Y296" t="str">
            <v>FINISH</v>
          </cell>
          <cell r="Z296" t="str">
            <v>ACC</v>
          </cell>
          <cell r="AA296" t="str">
            <v>ACC</v>
          </cell>
          <cell r="AB296" t="str">
            <v>MT-2211-ST-02-0007</v>
          </cell>
          <cell r="AC296" t="str">
            <v>ACC</v>
          </cell>
          <cell r="AD296" t="str">
            <v>UT-2211-ST-02-0008</v>
          </cell>
          <cell r="AL296" t="str">
            <v>31/10/2025</v>
          </cell>
          <cell r="AM296" t="str">
            <v>IRN-2211-ST-02-0001</v>
          </cell>
          <cell r="AP296" t="str">
            <v>22/10/2025</v>
          </cell>
        </row>
        <row r="297">
          <cell r="A297" t="str">
            <v>9001-2211-DS-0010-01-WM42</v>
          </cell>
          <cell r="B297" t="str">
            <v>9001-2211-DS-0010-01-WM</v>
          </cell>
          <cell r="C297">
            <v>42</v>
          </cell>
          <cell r="E297" t="str">
            <v>SV</v>
          </cell>
          <cell r="F297" t="str">
            <v>100%MT &amp; UT</v>
          </cell>
          <cell r="G297" t="str">
            <v>D</v>
          </cell>
          <cell r="H297">
            <v>2232.54</v>
          </cell>
          <cell r="I297" t="str">
            <v>20/25</v>
          </cell>
          <cell r="K297" t="str">
            <v>WPS-TNHA-S06</v>
          </cell>
          <cell r="L297" t="str">
            <v>ST-02</v>
          </cell>
          <cell r="M297" t="str">
            <v>THÁI</v>
          </cell>
          <cell r="N297">
            <v>45940</v>
          </cell>
          <cell r="O297" t="str">
            <v>F-040</v>
          </cell>
          <cell r="P297" t="str">
            <v>14/10/2025</v>
          </cell>
          <cell r="Q297" t="str">
            <v>BGT-0022;BGT-0036</v>
          </cell>
          <cell r="R297" t="str">
            <v>TUÂN</v>
          </cell>
          <cell r="S297">
            <v>45949</v>
          </cell>
          <cell r="T297" t="str">
            <v>V-036</v>
          </cell>
          <cell r="Y297" t="str">
            <v>FINISH</v>
          </cell>
          <cell r="Z297" t="str">
            <v>ACC</v>
          </cell>
          <cell r="AA297" t="str">
            <v>ACC</v>
          </cell>
          <cell r="AB297" t="str">
            <v>MT-2211-ST-02-0007</v>
          </cell>
          <cell r="AC297" t="str">
            <v>ACC</v>
          </cell>
          <cell r="AD297" t="str">
            <v>UT-2211-ST-02-0008</v>
          </cell>
          <cell r="AL297" t="str">
            <v>31/10/2025</v>
          </cell>
          <cell r="AM297" t="str">
            <v>IRN-2211-ST-02-0001</v>
          </cell>
          <cell r="AP297" t="str">
            <v>22/10/2025</v>
          </cell>
        </row>
        <row r="298">
          <cell r="A298" t="str">
            <v>9001-2211-DS-0010-01-WM43</v>
          </cell>
          <cell r="B298" t="str">
            <v>9001-2211-DS-0010-01-WM</v>
          </cell>
          <cell r="C298">
            <v>43</v>
          </cell>
          <cell r="E298" t="str">
            <v>SV</v>
          </cell>
          <cell r="F298" t="str">
            <v>100%MT &amp; UT</v>
          </cell>
          <cell r="G298" t="str">
            <v>D</v>
          </cell>
          <cell r="H298">
            <v>2232.54</v>
          </cell>
          <cell r="I298" t="str">
            <v>20/25</v>
          </cell>
          <cell r="K298" t="str">
            <v>WPS-TNHA-S06</v>
          </cell>
          <cell r="L298" t="str">
            <v>ST-02</v>
          </cell>
          <cell r="M298" t="str">
            <v>THÁI</v>
          </cell>
          <cell r="N298">
            <v>45940</v>
          </cell>
          <cell r="O298" t="str">
            <v>F-040</v>
          </cell>
          <cell r="P298" t="str">
            <v>14/10/2025</v>
          </cell>
          <cell r="Q298" t="str">
            <v>BGT-0022;BGT-0036</v>
          </cell>
          <cell r="R298" t="str">
            <v>TUÂN</v>
          </cell>
          <cell r="S298">
            <v>45949</v>
          </cell>
          <cell r="T298" t="str">
            <v>V-036</v>
          </cell>
          <cell r="Y298" t="str">
            <v>FINISH</v>
          </cell>
          <cell r="Z298" t="str">
            <v>ACC</v>
          </cell>
          <cell r="AA298" t="str">
            <v>ACC</v>
          </cell>
          <cell r="AB298" t="str">
            <v>MT-2211-ST-02-0007</v>
          </cell>
          <cell r="AC298" t="str">
            <v>ACC</v>
          </cell>
          <cell r="AD298" t="str">
            <v>UT-2211-ST-02-0008</v>
          </cell>
          <cell r="AL298" t="str">
            <v>31/10/2025</v>
          </cell>
          <cell r="AM298" t="str">
            <v>IRN-2211-ST-02-0001</v>
          </cell>
          <cell r="AP298" t="str">
            <v>22/10/2025</v>
          </cell>
        </row>
        <row r="299">
          <cell r="A299" t="str">
            <v>9001-2211-DS-0010-01-WM44</v>
          </cell>
          <cell r="B299" t="str">
            <v>9001-2211-DS-0010-01-WM</v>
          </cell>
          <cell r="C299">
            <v>44</v>
          </cell>
          <cell r="E299" t="str">
            <v>SB</v>
          </cell>
          <cell r="F299" t="str">
            <v>100%MT &amp; UT</v>
          </cell>
          <cell r="G299" t="str">
            <v>D</v>
          </cell>
          <cell r="H299">
            <v>2232.54</v>
          </cell>
          <cell r="I299">
            <v>20</v>
          </cell>
          <cell r="K299" t="str">
            <v>WPS-TNHA-S07</v>
          </cell>
          <cell r="L299" t="str">
            <v>ST-02</v>
          </cell>
          <cell r="Y299" t="str">
            <v>NOT YET FITUP</v>
          </cell>
        </row>
        <row r="300">
          <cell r="A300" t="str">
            <v>9001-2211-DS-0010-01-WM45</v>
          </cell>
          <cell r="B300" t="str">
            <v>9001-2211-DS-0010-01-WM</v>
          </cell>
          <cell r="C300">
            <v>45</v>
          </cell>
          <cell r="E300" t="str">
            <v>SV</v>
          </cell>
          <cell r="F300" t="str">
            <v>100%MT &amp; UT</v>
          </cell>
          <cell r="G300" t="str">
            <v>D</v>
          </cell>
          <cell r="H300">
            <v>2232.54</v>
          </cell>
          <cell r="I300" t="str">
            <v>20/35</v>
          </cell>
          <cell r="K300" t="str">
            <v>WPS-TNHA-S06</v>
          </cell>
          <cell r="L300" t="str">
            <v>ST-02</v>
          </cell>
          <cell r="M300" t="str">
            <v>THÁI</v>
          </cell>
          <cell r="N300">
            <v>45940</v>
          </cell>
          <cell r="O300" t="str">
            <v>F-040</v>
          </cell>
          <cell r="P300" t="str">
            <v>11H 11/10/2025</v>
          </cell>
          <cell r="Q300" t="str">
            <v>BGT-0036;BGT-0032</v>
          </cell>
          <cell r="R300" t="str">
            <v>HIẾU</v>
          </cell>
          <cell r="S300">
            <v>45946</v>
          </cell>
          <cell r="T300" t="str">
            <v>V-032</v>
          </cell>
          <cell r="Y300" t="str">
            <v>FINISH</v>
          </cell>
          <cell r="Z300" t="str">
            <v>ACC</v>
          </cell>
          <cell r="AA300" t="str">
            <v>ACC</v>
          </cell>
          <cell r="AB300" t="str">
            <v>MT-2211-ST-02-0005</v>
          </cell>
          <cell r="AC300" t="str">
            <v>ACC</v>
          </cell>
          <cell r="AD300" t="str">
            <v>UT-2211-ST-02-0006</v>
          </cell>
          <cell r="AL300" t="str">
            <v>31/10/2025</v>
          </cell>
          <cell r="AM300" t="str">
            <v>IRN-2211-ST-02-0001</v>
          </cell>
          <cell r="AP300" t="str">
            <v>22/10/2025</v>
          </cell>
        </row>
        <row r="301">
          <cell r="A301" t="str">
            <v>9001-2211-DS-0010-01-WM46</v>
          </cell>
          <cell r="B301" t="str">
            <v>9001-2211-DS-0010-01-WM</v>
          </cell>
          <cell r="C301">
            <v>46</v>
          </cell>
          <cell r="E301" t="str">
            <v>SV</v>
          </cell>
          <cell r="F301" t="str">
            <v>100%MT &amp; UT</v>
          </cell>
          <cell r="G301" t="str">
            <v>D</v>
          </cell>
          <cell r="H301">
            <v>2232.54</v>
          </cell>
          <cell r="I301" t="str">
            <v>20/35</v>
          </cell>
          <cell r="K301" t="str">
            <v>WPS-TNHA-S06</v>
          </cell>
          <cell r="L301" t="str">
            <v>ST-02</v>
          </cell>
          <cell r="M301" t="str">
            <v>THÁI</v>
          </cell>
          <cell r="N301">
            <v>45940</v>
          </cell>
          <cell r="O301" t="str">
            <v>F-040</v>
          </cell>
          <cell r="P301" t="str">
            <v>11H 11/10/2025</v>
          </cell>
          <cell r="Q301" t="str">
            <v>BGT-0036;BGT-0032</v>
          </cell>
          <cell r="R301" t="str">
            <v>HIẾU</v>
          </cell>
          <cell r="S301">
            <v>45945</v>
          </cell>
          <cell r="T301" t="str">
            <v>V-031</v>
          </cell>
          <cell r="Y301" t="str">
            <v>FINISH</v>
          </cell>
          <cell r="Z301" t="str">
            <v>ACC</v>
          </cell>
          <cell r="AA301" t="str">
            <v>ACC</v>
          </cell>
          <cell r="AB301" t="str">
            <v>MT-2211-ST-02-0003</v>
          </cell>
          <cell r="AC301" t="str">
            <v>ACC</v>
          </cell>
          <cell r="AD301" t="str">
            <v>UT-2211-ST-02-0004</v>
          </cell>
          <cell r="AL301" t="str">
            <v>31/10/2025</v>
          </cell>
          <cell r="AM301" t="str">
            <v>IRN-2211-ST-02-0001</v>
          </cell>
          <cell r="AP301" t="str">
            <v>22/10/2025</v>
          </cell>
        </row>
        <row r="302">
          <cell r="A302" t="str">
            <v>9001-2211-DS-0010-01-WM47</v>
          </cell>
          <cell r="B302" t="str">
            <v>9001-2211-DS-0010-01-WM</v>
          </cell>
          <cell r="C302">
            <v>47</v>
          </cell>
          <cell r="E302" t="str">
            <v>SB</v>
          </cell>
          <cell r="F302" t="str">
            <v>100%MT &amp; UT</v>
          </cell>
          <cell r="G302" t="str">
            <v>D</v>
          </cell>
          <cell r="H302">
            <v>2232.54</v>
          </cell>
          <cell r="I302">
            <v>20</v>
          </cell>
          <cell r="K302" t="str">
            <v>WPS-TNHA-S07</v>
          </cell>
          <cell r="L302" t="str">
            <v>ST-02</v>
          </cell>
          <cell r="Y302" t="str">
            <v>NOT YET FITUP</v>
          </cell>
        </row>
        <row r="303">
          <cell r="A303" t="str">
            <v>9001-2211-DS-0010-01-WM48</v>
          </cell>
          <cell r="B303" t="str">
            <v>9001-2211-DS-0010-01-WM</v>
          </cell>
          <cell r="C303">
            <v>48</v>
          </cell>
          <cell r="E303" t="str">
            <v>SB</v>
          </cell>
          <cell r="F303" t="str">
            <v>100%MT &amp; UT</v>
          </cell>
          <cell r="G303" t="str">
            <v>D</v>
          </cell>
          <cell r="H303">
            <v>2869.96</v>
          </cell>
          <cell r="I303">
            <v>20</v>
          </cell>
          <cell r="K303" t="str">
            <v>WPS-TNHA-S07</v>
          </cell>
          <cell r="L303" t="str">
            <v>ST-02</v>
          </cell>
          <cell r="Y303" t="str">
            <v>NOT YET FITUP</v>
          </cell>
        </row>
        <row r="304">
          <cell r="A304" t="str">
            <v>9001-2211-DS-0010-01-WM49</v>
          </cell>
          <cell r="B304" t="str">
            <v>9001-2211-DS-0010-01-WM</v>
          </cell>
          <cell r="C304">
            <v>49</v>
          </cell>
          <cell r="E304" t="str">
            <v>SV</v>
          </cell>
          <cell r="F304" t="str">
            <v>100%MT &amp; UT</v>
          </cell>
          <cell r="G304" t="str">
            <v>D</v>
          </cell>
          <cell r="H304">
            <v>2869.96</v>
          </cell>
          <cell r="I304" t="str">
            <v>20/25</v>
          </cell>
          <cell r="K304" t="str">
            <v>WPS-TNHA-S06</v>
          </cell>
          <cell r="L304" t="str">
            <v>ST-02</v>
          </cell>
          <cell r="M304" t="str">
            <v>BÁCH</v>
          </cell>
          <cell r="N304">
            <v>45934</v>
          </cell>
          <cell r="O304" t="str">
            <v>F-033</v>
          </cell>
          <cell r="P304" t="str">
            <v>15h 6/10/2025</v>
          </cell>
          <cell r="Q304" t="str">
            <v>BGT-0022;BGT-0036</v>
          </cell>
          <cell r="R304" t="str">
            <v>HIẾU</v>
          </cell>
          <cell r="S304">
            <v>45939</v>
          </cell>
          <cell r="T304" t="str">
            <v>V-028</v>
          </cell>
          <cell r="Y304" t="str">
            <v>FINISH</v>
          </cell>
          <cell r="Z304" t="str">
            <v>ACC</v>
          </cell>
          <cell r="AA304" t="str">
            <v>ACC</v>
          </cell>
          <cell r="AB304" t="str">
            <v>MT-2211-ST-02-0002</v>
          </cell>
          <cell r="AC304" t="str">
            <v>ACC</v>
          </cell>
          <cell r="AD304" t="str">
            <v>UT-2211-ST-02-0003</v>
          </cell>
          <cell r="AP304" t="str">
            <v>14/10/2025</v>
          </cell>
        </row>
        <row r="305">
          <cell r="A305" t="str">
            <v>9001-2211-DS-0010-01-WM50</v>
          </cell>
          <cell r="B305" t="str">
            <v>9001-2211-DS-0010-01-WM</v>
          </cell>
          <cell r="C305">
            <v>50</v>
          </cell>
          <cell r="E305" t="str">
            <v>SV</v>
          </cell>
          <cell r="F305" t="str">
            <v>100%MT &amp; UT</v>
          </cell>
          <cell r="G305" t="str">
            <v>D</v>
          </cell>
          <cell r="H305">
            <v>2869.96</v>
          </cell>
          <cell r="I305" t="str">
            <v>20/25</v>
          </cell>
          <cell r="K305" t="str">
            <v>WPS-TNHA-S06</v>
          </cell>
          <cell r="L305" t="str">
            <v>ST-02</v>
          </cell>
          <cell r="M305" t="str">
            <v>BÁCH</v>
          </cell>
          <cell r="N305">
            <v>45934</v>
          </cell>
          <cell r="O305" t="str">
            <v>F-033</v>
          </cell>
          <cell r="P305" t="str">
            <v>15h 6/10/2025</v>
          </cell>
          <cell r="Q305" t="str">
            <v>BGT-0022;BGT-0036</v>
          </cell>
          <cell r="R305" t="str">
            <v>HIẾU</v>
          </cell>
          <cell r="S305">
            <v>45939</v>
          </cell>
          <cell r="T305" t="str">
            <v>V-028</v>
          </cell>
          <cell r="Y305" t="str">
            <v>FINISH</v>
          </cell>
          <cell r="Z305" t="str">
            <v>ACC</v>
          </cell>
          <cell r="AA305" t="str">
            <v>ACC</v>
          </cell>
          <cell r="AB305" t="str">
            <v>MT-2211-ST-02-0002</v>
          </cell>
          <cell r="AC305" t="str">
            <v>ACC</v>
          </cell>
          <cell r="AD305" t="str">
            <v>UT-2211-ST-02-0003</v>
          </cell>
          <cell r="AP305" t="str">
            <v>14/10/2025</v>
          </cell>
        </row>
        <row r="306">
          <cell r="A306" t="str">
            <v>9001-2211-DS-0010-01-WM51</v>
          </cell>
          <cell r="B306" t="str">
            <v>9001-2211-DS-0010-01-WM</v>
          </cell>
          <cell r="C306">
            <v>51</v>
          </cell>
          <cell r="E306" t="str">
            <v>SV</v>
          </cell>
          <cell r="F306" t="str">
            <v>100%MT &amp; UT</v>
          </cell>
          <cell r="G306" t="str">
            <v>D</v>
          </cell>
          <cell r="H306">
            <v>2869.96</v>
          </cell>
          <cell r="I306">
            <v>20</v>
          </cell>
          <cell r="K306" t="str">
            <v>WPS-TNHA-S06</v>
          </cell>
          <cell r="L306" t="str">
            <v>ST-02</v>
          </cell>
          <cell r="M306" t="str">
            <v>BÁCH</v>
          </cell>
          <cell r="N306">
            <v>45934</v>
          </cell>
          <cell r="O306" t="str">
            <v>F-033</v>
          </cell>
          <cell r="P306" t="str">
            <v>15h 6/10/2025</v>
          </cell>
          <cell r="Q306" t="str">
            <v>BGT-0022;BGT-0036</v>
          </cell>
          <cell r="R306" t="str">
            <v>HIẾU</v>
          </cell>
          <cell r="S306">
            <v>45939</v>
          </cell>
          <cell r="T306" t="str">
            <v>V-028</v>
          </cell>
          <cell r="Y306" t="str">
            <v>FINISH</v>
          </cell>
          <cell r="Z306" t="str">
            <v>ACC</v>
          </cell>
          <cell r="AA306" t="str">
            <v>ACC</v>
          </cell>
          <cell r="AB306" t="str">
            <v>MT-2211-ST-02-0002</v>
          </cell>
          <cell r="AC306" t="str">
            <v>ACC</v>
          </cell>
          <cell r="AD306" t="str">
            <v>UT-2211-ST-02-0003</v>
          </cell>
          <cell r="AP306" t="str">
            <v>14/10/2025</v>
          </cell>
        </row>
        <row r="307">
          <cell r="A307" t="str">
            <v>9001-2211-DS-0010-01-WM52</v>
          </cell>
          <cell r="B307" t="str">
            <v>9001-2211-DS-0010-01-WM</v>
          </cell>
          <cell r="C307">
            <v>52</v>
          </cell>
          <cell r="E307" t="str">
            <v>SB</v>
          </cell>
          <cell r="F307" t="str">
            <v>100%MT &amp; UT</v>
          </cell>
          <cell r="G307" t="str">
            <v>D</v>
          </cell>
          <cell r="H307">
            <v>2869.96</v>
          </cell>
          <cell r="I307">
            <v>20</v>
          </cell>
          <cell r="K307" t="str">
            <v>WPS-TNHA-S07</v>
          </cell>
          <cell r="L307" t="str">
            <v>ST-02</v>
          </cell>
          <cell r="Y307" t="str">
            <v>NOT YET FITUP</v>
          </cell>
        </row>
        <row r="308">
          <cell r="A308" t="str">
            <v>9001-2211-DS-0010-01-WM53</v>
          </cell>
          <cell r="B308" t="str">
            <v>9001-2211-DS-0010-01-WM</v>
          </cell>
          <cell r="C308">
            <v>53</v>
          </cell>
          <cell r="E308" t="str">
            <v>SB</v>
          </cell>
          <cell r="F308" t="str">
            <v>100%MT &amp; UT</v>
          </cell>
          <cell r="G308" t="str">
            <v>D</v>
          </cell>
          <cell r="H308">
            <v>2869.96</v>
          </cell>
          <cell r="I308">
            <v>25</v>
          </cell>
          <cell r="K308" t="str">
            <v>WPS-TNHA-S07</v>
          </cell>
          <cell r="L308" t="str">
            <v>ST-02</v>
          </cell>
          <cell r="Y308" t="str">
            <v>NOT YET FITUP</v>
          </cell>
        </row>
        <row r="309">
          <cell r="A309" t="str">
            <v>9001-2211-DS-0010-01-WM54</v>
          </cell>
          <cell r="B309" t="str">
            <v>9001-2211-DS-0010-01-WM</v>
          </cell>
          <cell r="C309">
            <v>54</v>
          </cell>
          <cell r="E309" t="str">
            <v>SV</v>
          </cell>
          <cell r="F309" t="str">
            <v>100%MT &amp; UT</v>
          </cell>
          <cell r="G309" t="str">
            <v>D</v>
          </cell>
          <cell r="H309">
            <v>2869.96</v>
          </cell>
          <cell r="I309">
            <v>25</v>
          </cell>
          <cell r="K309" t="str">
            <v>WPS-TNHA-S06</v>
          </cell>
          <cell r="L309" t="str">
            <v>ST-02</v>
          </cell>
          <cell r="M309" t="str">
            <v>HIẾU</v>
          </cell>
          <cell r="N309">
            <v>45941</v>
          </cell>
          <cell r="O309" t="str">
            <v>F-042</v>
          </cell>
          <cell r="P309" t="str">
            <v>13/10/2025</v>
          </cell>
          <cell r="Q309" t="str">
            <v>BGT-0032;BGT-0036</v>
          </cell>
          <cell r="R309" t="str">
            <v>XUÂN</v>
          </cell>
          <cell r="S309">
            <v>45948</v>
          </cell>
          <cell r="T309" t="str">
            <v>V-035</v>
          </cell>
          <cell r="Y309" t="str">
            <v>FINISH</v>
          </cell>
          <cell r="Z309" t="str">
            <v>ACC</v>
          </cell>
          <cell r="AA309" t="str">
            <v>ACC</v>
          </cell>
          <cell r="AB309" t="str">
            <v>MT-2211-ST-02-0006</v>
          </cell>
          <cell r="AC309" t="str">
            <v>ACC</v>
          </cell>
          <cell r="AD309" t="str">
            <v>UT-2211-ST-02-0007</v>
          </cell>
          <cell r="AP309" t="str">
            <v>22/10/2025</v>
          </cell>
        </row>
        <row r="310">
          <cell r="A310" t="str">
            <v>9001-2211-DS-0010-01-WM55</v>
          </cell>
          <cell r="B310" t="str">
            <v>9001-2211-DS-0010-01-WM</v>
          </cell>
          <cell r="C310">
            <v>55</v>
          </cell>
          <cell r="E310" t="str">
            <v>SV</v>
          </cell>
          <cell r="F310" t="str">
            <v>100%MT &amp; UT</v>
          </cell>
          <cell r="G310" t="str">
            <v>D</v>
          </cell>
          <cell r="H310">
            <v>2869.96</v>
          </cell>
          <cell r="I310">
            <v>25</v>
          </cell>
          <cell r="K310" t="str">
            <v>WPS-TNHA-S06</v>
          </cell>
          <cell r="L310" t="str">
            <v>ST-02</v>
          </cell>
          <cell r="M310" t="str">
            <v>HIẾU</v>
          </cell>
          <cell r="N310">
            <v>45941</v>
          </cell>
          <cell r="O310" t="str">
            <v>F-042</v>
          </cell>
          <cell r="P310" t="str">
            <v>13/10/2025</v>
          </cell>
          <cell r="Q310" t="str">
            <v>BGT-0014;BGT-0036</v>
          </cell>
          <cell r="R310" t="str">
            <v>XUÂN</v>
          </cell>
          <cell r="S310">
            <v>45948</v>
          </cell>
          <cell r="T310" t="str">
            <v>V-035</v>
          </cell>
          <cell r="Y310" t="str">
            <v>FINISH</v>
          </cell>
          <cell r="Z310" t="str">
            <v>ACC</v>
          </cell>
          <cell r="AA310" t="str">
            <v>ACC</v>
          </cell>
          <cell r="AB310" t="str">
            <v>MT-2211-ST-02-0006</v>
          </cell>
          <cell r="AC310" t="str">
            <v>ACC</v>
          </cell>
          <cell r="AD310" t="str">
            <v>UT-2211-ST-02-0007</v>
          </cell>
          <cell r="AP310" t="str">
            <v>22/10/2025</v>
          </cell>
        </row>
        <row r="311">
          <cell r="A311" t="str">
            <v>9001-2211-DS-0010-01-WM56</v>
          </cell>
          <cell r="B311" t="str">
            <v>9001-2211-DS-0010-01-WM</v>
          </cell>
          <cell r="C311">
            <v>56</v>
          </cell>
          <cell r="E311" t="str">
            <v>SV</v>
          </cell>
          <cell r="F311" t="str">
            <v>100%MT &amp; UT</v>
          </cell>
          <cell r="G311" t="str">
            <v>D</v>
          </cell>
          <cell r="H311">
            <v>2869.96</v>
          </cell>
          <cell r="I311">
            <v>25</v>
          </cell>
          <cell r="K311" t="str">
            <v>WPS-TNHA-S06</v>
          </cell>
          <cell r="L311" t="str">
            <v>ST-02</v>
          </cell>
          <cell r="M311" t="str">
            <v>HIẾU</v>
          </cell>
          <cell r="N311">
            <v>45941</v>
          </cell>
          <cell r="O311" t="str">
            <v>F-042</v>
          </cell>
          <cell r="P311" t="str">
            <v>13/10/2025</v>
          </cell>
          <cell r="Q311" t="str">
            <v>BGT-0032;BGT-0036</v>
          </cell>
          <cell r="R311" t="str">
            <v>XUÂN</v>
          </cell>
          <cell r="S311">
            <v>45948</v>
          </cell>
          <cell r="T311" t="str">
            <v>V-035</v>
          </cell>
          <cell r="Y311" t="str">
            <v>FINISH</v>
          </cell>
          <cell r="Z311" t="str">
            <v>ACC</v>
          </cell>
          <cell r="AA311" t="str">
            <v>ACC</v>
          </cell>
          <cell r="AB311" t="str">
            <v>MT-2211-ST-02-0006</v>
          </cell>
          <cell r="AC311" t="str">
            <v>ACC</v>
          </cell>
          <cell r="AD311" t="str">
            <v>UT-2211-ST-02-0007</v>
          </cell>
          <cell r="AP311" t="str">
            <v>22/10/2025</v>
          </cell>
        </row>
        <row r="312">
          <cell r="A312" t="str">
            <v>9001-2211-DS-0010-01-WM57</v>
          </cell>
          <cell r="B312" t="str">
            <v>9001-2211-DS-0010-01-WM</v>
          </cell>
          <cell r="C312">
            <v>57</v>
          </cell>
          <cell r="E312" t="str">
            <v>SV</v>
          </cell>
          <cell r="F312" t="str">
            <v>100%MT &amp; UT</v>
          </cell>
          <cell r="G312" t="str">
            <v>D</v>
          </cell>
          <cell r="H312">
            <v>2869.96</v>
          </cell>
          <cell r="I312">
            <v>25</v>
          </cell>
          <cell r="K312" t="str">
            <v>WPS-TNHA-S06</v>
          </cell>
          <cell r="L312" t="str">
            <v>ST-02</v>
          </cell>
          <cell r="M312" t="str">
            <v>HIẾU</v>
          </cell>
          <cell r="N312">
            <v>45941</v>
          </cell>
          <cell r="O312" t="str">
            <v>F-042</v>
          </cell>
          <cell r="P312" t="str">
            <v>13/10/2025</v>
          </cell>
          <cell r="Q312" t="str">
            <v>BGT-0008;BGT0017</v>
          </cell>
          <cell r="R312" t="str">
            <v>XUÂN</v>
          </cell>
          <cell r="S312">
            <v>45948</v>
          </cell>
          <cell r="T312" t="str">
            <v>V-035</v>
          </cell>
          <cell r="Y312" t="str">
            <v>FINISH</v>
          </cell>
          <cell r="Z312" t="str">
            <v>ACC</v>
          </cell>
          <cell r="AA312" t="str">
            <v>ACC</v>
          </cell>
          <cell r="AB312" t="str">
            <v>MT-2211-ST-02-0006</v>
          </cell>
          <cell r="AC312" t="str">
            <v>ACC</v>
          </cell>
          <cell r="AD312" t="str">
            <v>UT-2211-ST-02-0007</v>
          </cell>
          <cell r="AP312" t="str">
            <v>22/10/2025</v>
          </cell>
        </row>
        <row r="313">
          <cell r="A313" t="str">
            <v>9001-2211-DS-0010-01-WM58</v>
          </cell>
          <cell r="B313" t="str">
            <v>9001-2211-DS-0010-01-WM</v>
          </cell>
          <cell r="C313">
            <v>58</v>
          </cell>
          <cell r="E313" t="str">
            <v>SB</v>
          </cell>
          <cell r="F313" t="str">
            <v>100%MT &amp; UT</v>
          </cell>
          <cell r="G313" t="str">
            <v>D</v>
          </cell>
          <cell r="H313">
            <v>2869.96</v>
          </cell>
          <cell r="I313">
            <v>25</v>
          </cell>
          <cell r="K313" t="str">
            <v>WPS-TNHA-S07</v>
          </cell>
          <cell r="L313" t="str">
            <v>ST-02</v>
          </cell>
          <cell r="Y313" t="str">
            <v>NOT YET FITUP</v>
          </cell>
        </row>
        <row r="314">
          <cell r="A314" t="str">
            <v>9001-2211-DS-0010-01-WM59</v>
          </cell>
          <cell r="B314" t="str">
            <v>9001-2211-DS-0010-01-WM</v>
          </cell>
          <cell r="C314">
            <v>59</v>
          </cell>
          <cell r="E314" t="str">
            <v>SB</v>
          </cell>
          <cell r="F314" t="str">
            <v>100%MT &amp; UT</v>
          </cell>
          <cell r="G314" t="str">
            <v>D</v>
          </cell>
          <cell r="H314">
            <v>2869.96</v>
          </cell>
          <cell r="I314">
            <v>20</v>
          </cell>
          <cell r="K314" t="str">
            <v>WPS-TNHA-S07</v>
          </cell>
          <cell r="L314" t="str">
            <v>ST-02</v>
          </cell>
          <cell r="Y314" t="str">
            <v>NOT YET FITUP</v>
          </cell>
        </row>
        <row r="315">
          <cell r="A315" t="str">
            <v>9001-2211-DS-0010-01-WM60</v>
          </cell>
          <cell r="B315" t="str">
            <v>9001-2211-DS-0010-01-WM</v>
          </cell>
          <cell r="C315">
            <v>60</v>
          </cell>
          <cell r="E315" t="str">
            <v>SV</v>
          </cell>
          <cell r="F315" t="str">
            <v>100%MT &amp; UT</v>
          </cell>
          <cell r="G315" t="str">
            <v>D</v>
          </cell>
          <cell r="H315">
            <v>2869.96</v>
          </cell>
          <cell r="I315">
            <v>20</v>
          </cell>
          <cell r="K315" t="str">
            <v>WPS-TNHA-S06</v>
          </cell>
          <cell r="L315" t="str">
            <v>ST-02</v>
          </cell>
          <cell r="M315" t="str">
            <v>BÁCH</v>
          </cell>
          <cell r="N315">
            <v>45934</v>
          </cell>
          <cell r="O315" t="str">
            <v>F-033</v>
          </cell>
          <cell r="P315" t="str">
            <v>10/10/2025</v>
          </cell>
          <cell r="Q315" t="str">
            <v>BGT-0022;BGT-0036</v>
          </cell>
          <cell r="R315" t="str">
            <v>XUÂN</v>
          </cell>
          <cell r="S315">
            <v>45948</v>
          </cell>
          <cell r="T315" t="str">
            <v>V-035</v>
          </cell>
          <cell r="Y315" t="str">
            <v>FINISH</v>
          </cell>
          <cell r="Z315" t="str">
            <v>ACC</v>
          </cell>
          <cell r="AA315" t="str">
            <v>ACC</v>
          </cell>
          <cell r="AB315" t="str">
            <v>MT-2211-ST-02-0006</v>
          </cell>
          <cell r="AC315" t="str">
            <v>ACC</v>
          </cell>
          <cell r="AD315" t="str">
            <v>UT-2211-ST-02-0007</v>
          </cell>
          <cell r="AJ315">
            <v>45992</v>
          </cell>
          <cell r="AK315" t="str">
            <v>FINAL-V-105</v>
          </cell>
          <cell r="AP315" t="str">
            <v>22/10/2025</v>
          </cell>
        </row>
        <row r="316">
          <cell r="A316" t="str">
            <v>9001-2211-DS-0010-01-WM61</v>
          </cell>
          <cell r="B316" t="str">
            <v>9001-2211-DS-0010-01-WM</v>
          </cell>
          <cell r="C316">
            <v>61</v>
          </cell>
          <cell r="E316" t="str">
            <v>SV</v>
          </cell>
          <cell r="F316" t="str">
            <v>100%MT &amp; UT</v>
          </cell>
          <cell r="G316" t="str">
            <v>D</v>
          </cell>
          <cell r="H316">
            <v>2869.96</v>
          </cell>
          <cell r="I316">
            <v>20</v>
          </cell>
          <cell r="K316" t="str">
            <v>WPS-TNHA-S06</v>
          </cell>
          <cell r="L316" t="str">
            <v>ST-02</v>
          </cell>
          <cell r="M316" t="str">
            <v>BÁCH</v>
          </cell>
          <cell r="N316">
            <v>45934</v>
          </cell>
          <cell r="O316" t="str">
            <v>F-033</v>
          </cell>
          <cell r="P316" t="str">
            <v>10/10/2025</v>
          </cell>
          <cell r="Q316" t="str">
            <v>BGT-0022;BGT-0036</v>
          </cell>
          <cell r="R316" t="str">
            <v>XUÂN</v>
          </cell>
          <cell r="S316">
            <v>45948</v>
          </cell>
          <cell r="T316" t="str">
            <v>V-035</v>
          </cell>
          <cell r="Y316" t="str">
            <v>FINISH</v>
          </cell>
          <cell r="Z316" t="str">
            <v>ACC</v>
          </cell>
          <cell r="AA316" t="str">
            <v>ACC</v>
          </cell>
          <cell r="AB316" t="str">
            <v>MT-2211-ST-02-0006</v>
          </cell>
          <cell r="AC316" t="str">
            <v>ACC</v>
          </cell>
          <cell r="AD316" t="str">
            <v>UT-2211-ST-02-0007</v>
          </cell>
          <cell r="AJ316">
            <v>45992</v>
          </cell>
          <cell r="AK316" t="str">
            <v>FINAL-V-105</v>
          </cell>
          <cell r="AP316" t="str">
            <v>22/10/2025</v>
          </cell>
        </row>
        <row r="317">
          <cell r="A317" t="str">
            <v>9001-2211-DS-0010-01-WM62</v>
          </cell>
          <cell r="B317" t="str">
            <v>9001-2211-DS-0010-01-WM</v>
          </cell>
          <cell r="C317">
            <v>62</v>
          </cell>
          <cell r="E317" t="str">
            <v>SB</v>
          </cell>
          <cell r="F317" t="str">
            <v>100%MT &amp; UT</v>
          </cell>
          <cell r="G317" t="str">
            <v>D</v>
          </cell>
          <cell r="H317">
            <v>2869.96</v>
          </cell>
          <cell r="I317">
            <v>20</v>
          </cell>
          <cell r="K317" t="str">
            <v>WPS-TNHA-S07</v>
          </cell>
          <cell r="L317" t="str">
            <v>ST-02</v>
          </cell>
          <cell r="Y317" t="str">
            <v>NOT YET FITUP</v>
          </cell>
        </row>
        <row r="318">
          <cell r="A318" t="str">
            <v>9001-2211-DS-0010-01-WM63</v>
          </cell>
          <cell r="B318" t="str">
            <v>9001-2211-DS-0010-01-WM</v>
          </cell>
          <cell r="C318">
            <v>63</v>
          </cell>
          <cell r="E318" t="str">
            <v>DV</v>
          </cell>
          <cell r="F318" t="str">
            <v>100%MT &amp; UT</v>
          </cell>
          <cell r="G318" t="str">
            <v>D</v>
          </cell>
          <cell r="H318">
            <v>4785.3600000000006</v>
          </cell>
          <cell r="I318">
            <v>50</v>
          </cell>
          <cell r="K318" t="str">
            <v>WPS-TNHA-S01</v>
          </cell>
          <cell r="L318" t="str">
            <v>ST-02</v>
          </cell>
          <cell r="M318" t="str">
            <v xml:space="preserve">HIẾU </v>
          </cell>
          <cell r="N318">
            <v>45912</v>
          </cell>
          <cell r="O318" t="str">
            <v>F-015</v>
          </cell>
          <cell r="P318" t="str">
            <v>23/10/2025</v>
          </cell>
          <cell r="Q318" t="str">
            <v>BGT-0018;BGT-0020;GTC-10</v>
          </cell>
          <cell r="R318" t="str">
            <v>HIẾU</v>
          </cell>
          <cell r="S318">
            <v>45961</v>
          </cell>
          <cell r="T318" t="str">
            <v>V-049</v>
          </cell>
          <cell r="U318">
            <v>45952</v>
          </cell>
          <cell r="V318" t="str">
            <v>BG-050</v>
          </cell>
          <cell r="Y318" t="str">
            <v>FINISH</v>
          </cell>
          <cell r="Z318" t="str">
            <v>ACC</v>
          </cell>
          <cell r="AA318" t="str">
            <v>ACC</v>
          </cell>
          <cell r="AB318" t="str">
            <v>MT-2211-ST-02-0013</v>
          </cell>
          <cell r="AC318" t="str">
            <v>ACC</v>
          </cell>
          <cell r="AD318" t="str">
            <v>UT-2211-ST-02-0020</v>
          </cell>
          <cell r="AJ318" t="str">
            <v>XX/12/2025</v>
          </cell>
          <cell r="AK318" t="str">
            <v>FINAL-V-156</v>
          </cell>
          <cell r="AL318" t="str">
            <v>XX/12/2025</v>
          </cell>
          <cell r="AM318" t="str">
            <v>IRN-2211-ST-02-0004</v>
          </cell>
          <cell r="AN318" t="str">
            <v>B</v>
          </cell>
          <cell r="AP318" t="str">
            <v>5/11/2025</v>
          </cell>
        </row>
        <row r="319">
          <cell r="A319" t="str">
            <v>9001-2211-DS-0010-01-WM64</v>
          </cell>
          <cell r="B319" t="str">
            <v>9001-2211-DS-0010-01-WM</v>
          </cell>
          <cell r="C319">
            <v>64</v>
          </cell>
          <cell r="E319" t="str">
            <v>DV</v>
          </cell>
          <cell r="F319" t="str">
            <v>100%MT &amp; UT</v>
          </cell>
          <cell r="G319" t="str">
            <v>D</v>
          </cell>
          <cell r="H319">
            <v>4785.3600000000006</v>
          </cell>
          <cell r="I319" t="str">
            <v>30/50</v>
          </cell>
          <cell r="K319" t="str">
            <v>WPS-TNHA-S01</v>
          </cell>
          <cell r="L319" t="str">
            <v>ST-02</v>
          </cell>
          <cell r="M319" t="str">
            <v xml:space="preserve">HIẾU </v>
          </cell>
          <cell r="N319">
            <v>45912</v>
          </cell>
          <cell r="O319" t="str">
            <v>F-015</v>
          </cell>
          <cell r="P319" t="str">
            <v>23/10/2025</v>
          </cell>
          <cell r="Q319" t="str">
            <v>BGT-0015;BGT-0016;GTC-10</v>
          </cell>
          <cell r="R319" t="str">
            <v>HIẾU</v>
          </cell>
          <cell r="S319">
            <v>45961</v>
          </cell>
          <cell r="T319" t="str">
            <v>V-049</v>
          </cell>
          <cell r="U319">
            <v>45953</v>
          </cell>
          <cell r="V319" t="str">
            <v>BG-051</v>
          </cell>
          <cell r="Y319" t="str">
            <v>FINISH</v>
          </cell>
          <cell r="Z319" t="str">
            <v>ACC</v>
          </cell>
          <cell r="AA319" t="str">
            <v>ACC</v>
          </cell>
          <cell r="AB319" t="str">
            <v>MT-2211-ST-02-0013</v>
          </cell>
          <cell r="AC319" t="str">
            <v>ACC</v>
          </cell>
          <cell r="AD319" t="str">
            <v>UT-2211-ST-02-0020</v>
          </cell>
          <cell r="AJ319" t="str">
            <v>XX/12/2025</v>
          </cell>
          <cell r="AK319" t="str">
            <v>FINAL-V-156</v>
          </cell>
          <cell r="AL319" t="str">
            <v>XX/12/2025</v>
          </cell>
          <cell r="AM319" t="str">
            <v>IRN-2211-ST-02-0004</v>
          </cell>
          <cell r="AN319" t="str">
            <v>B</v>
          </cell>
          <cell r="AP319" t="str">
            <v>5/11/2025</v>
          </cell>
        </row>
        <row r="320">
          <cell r="A320" t="str">
            <v>9001-2211-DS-0010-01-WM65</v>
          </cell>
          <cell r="B320" t="str">
            <v>9001-2211-DS-0010-01-WM</v>
          </cell>
          <cell r="C320">
            <v>65</v>
          </cell>
          <cell r="E320" t="str">
            <v>DV</v>
          </cell>
          <cell r="F320" t="str">
            <v>100%MT &amp; UT</v>
          </cell>
          <cell r="G320" t="str">
            <v>D</v>
          </cell>
          <cell r="H320">
            <v>4785.3600000000006</v>
          </cell>
          <cell r="I320">
            <v>30</v>
          </cell>
          <cell r="K320" t="str">
            <v>WPS-TNHA-S01</v>
          </cell>
          <cell r="L320" t="str">
            <v>ST-02</v>
          </cell>
          <cell r="M320" t="str">
            <v xml:space="preserve">HIẾU </v>
          </cell>
          <cell r="N320">
            <v>45912</v>
          </cell>
          <cell r="O320" t="str">
            <v>F-015</v>
          </cell>
          <cell r="P320" t="str">
            <v>23/10/2025</v>
          </cell>
          <cell r="Q320" t="str">
            <v>BGT-0015;BGT-0016;GTC-10</v>
          </cell>
          <cell r="R320" t="str">
            <v>HIẾU</v>
          </cell>
          <cell r="S320">
            <v>45961</v>
          </cell>
          <cell r="T320" t="str">
            <v>V-049</v>
          </cell>
          <cell r="U320">
            <v>45954</v>
          </cell>
          <cell r="V320" t="str">
            <v>BG-053</v>
          </cell>
          <cell r="Y320" t="str">
            <v>FINISH</v>
          </cell>
          <cell r="Z320" t="str">
            <v>ACC</v>
          </cell>
          <cell r="AA320" t="str">
            <v>ACC</v>
          </cell>
          <cell r="AB320" t="str">
            <v>MT-2211-ST-02-0013</v>
          </cell>
          <cell r="AC320" t="str">
            <v>ACC</v>
          </cell>
          <cell r="AD320" t="str">
            <v>UT-2211-ST-02-0020</v>
          </cell>
          <cell r="AJ320" t="str">
            <v>XX/12/2025</v>
          </cell>
          <cell r="AK320" t="str">
            <v>FINAL-V-156</v>
          </cell>
          <cell r="AL320" t="str">
            <v>XX/12/2025</v>
          </cell>
          <cell r="AM320" t="str">
            <v>IRN-2211-ST-02-0004</v>
          </cell>
          <cell r="AN320" t="str">
            <v>B</v>
          </cell>
          <cell r="AP320" t="str">
            <v>5/11/2025</v>
          </cell>
        </row>
        <row r="321">
          <cell r="A321" t="str">
            <v>9001-2211-DS-0010-01-WM66</v>
          </cell>
          <cell r="B321" t="str">
            <v>9001-2211-DS-0010-01-WM</v>
          </cell>
          <cell r="C321">
            <v>66</v>
          </cell>
          <cell r="E321" t="str">
            <v>DV</v>
          </cell>
          <cell r="F321" t="str">
            <v>100%MT &amp; UT</v>
          </cell>
          <cell r="G321" t="str">
            <v>D</v>
          </cell>
          <cell r="H321">
            <v>4785.3600000000006</v>
          </cell>
          <cell r="I321">
            <v>30</v>
          </cell>
          <cell r="K321" t="str">
            <v>WPS-TNHA-S01</v>
          </cell>
          <cell r="L321" t="str">
            <v>ST-02</v>
          </cell>
          <cell r="M321" t="str">
            <v xml:space="preserve">HIẾU </v>
          </cell>
          <cell r="N321">
            <v>45912</v>
          </cell>
          <cell r="O321" t="str">
            <v>F-015</v>
          </cell>
          <cell r="P321" t="str">
            <v>23/10/2025</v>
          </cell>
          <cell r="Q321" t="str">
            <v>BGT-0013;BGT-0022;GTC-10</v>
          </cell>
          <cell r="R321" t="str">
            <v>HIẾU</v>
          </cell>
          <cell r="S321">
            <v>45961</v>
          </cell>
          <cell r="T321" t="str">
            <v>V-049</v>
          </cell>
          <cell r="U321">
            <v>45954</v>
          </cell>
          <cell r="V321" t="str">
            <v>BG-053</v>
          </cell>
          <cell r="Y321" t="str">
            <v>FINISH</v>
          </cell>
          <cell r="Z321" t="str">
            <v>ACC</v>
          </cell>
          <cell r="AA321" t="str">
            <v>ACC</v>
          </cell>
          <cell r="AB321" t="str">
            <v>MT-2211-ST-02-0013</v>
          </cell>
          <cell r="AC321" t="str">
            <v>ACC</v>
          </cell>
          <cell r="AD321" t="str">
            <v>UT-2211-ST-02-0020</v>
          </cell>
          <cell r="AJ321" t="str">
            <v>XX/12/2025</v>
          </cell>
          <cell r="AK321" t="str">
            <v>FINAL-V-156</v>
          </cell>
          <cell r="AL321" t="str">
            <v>XX/12/2025</v>
          </cell>
          <cell r="AM321" t="str">
            <v>IRN-2211-ST-02-0004</v>
          </cell>
          <cell r="AN321" t="str">
            <v>B</v>
          </cell>
          <cell r="AP321" t="str">
            <v>5/11/2025</v>
          </cell>
        </row>
        <row r="322">
          <cell r="A322" t="str">
            <v>9001-2211-DS-0010-01-WM67</v>
          </cell>
          <cell r="B322" t="str">
            <v>9001-2211-DS-0010-01-WM</v>
          </cell>
          <cell r="C322">
            <v>67</v>
          </cell>
          <cell r="E322" t="str">
            <v>DV</v>
          </cell>
          <cell r="F322" t="str">
            <v>100%MT &amp; UT</v>
          </cell>
          <cell r="G322" t="str">
            <v>D</v>
          </cell>
          <cell r="H322">
            <v>4785.3600000000006</v>
          </cell>
          <cell r="I322">
            <v>30</v>
          </cell>
          <cell r="K322" t="str">
            <v>WPS-TNHA-S01</v>
          </cell>
          <cell r="L322" t="str">
            <v>ST-02</v>
          </cell>
          <cell r="M322" t="str">
            <v xml:space="preserve">HIẾU </v>
          </cell>
          <cell r="N322">
            <v>45912</v>
          </cell>
          <cell r="O322" t="str">
            <v>F-015</v>
          </cell>
          <cell r="P322" t="str">
            <v>23/10/2025</v>
          </cell>
          <cell r="Q322" t="str">
            <v>BGT-0013;BGT-0022;GTC-10</v>
          </cell>
          <cell r="R322" t="str">
            <v>HIẾU</v>
          </cell>
          <cell r="S322">
            <v>45961</v>
          </cell>
          <cell r="T322" t="str">
            <v>V-049</v>
          </cell>
          <cell r="U322">
            <v>45954</v>
          </cell>
          <cell r="V322" t="str">
            <v>BG-053</v>
          </cell>
          <cell r="Y322" t="str">
            <v>FINISH</v>
          </cell>
          <cell r="Z322" t="str">
            <v>ACC</v>
          </cell>
          <cell r="AA322" t="str">
            <v>ACC</v>
          </cell>
          <cell r="AB322" t="str">
            <v>MT-2211-ST-02-0013</v>
          </cell>
          <cell r="AC322" t="str">
            <v>ACC</v>
          </cell>
          <cell r="AD322" t="str">
            <v>UT-2211-ST-02-0021</v>
          </cell>
          <cell r="AJ322" t="str">
            <v>XX/12/2025</v>
          </cell>
          <cell r="AK322" t="str">
            <v>FINAL-V-156</v>
          </cell>
          <cell r="AL322" t="str">
            <v>XX/12/2025</v>
          </cell>
          <cell r="AM322" t="str">
            <v>IRN-2211-ST-02-0004</v>
          </cell>
          <cell r="AN322" t="str">
            <v>B</v>
          </cell>
          <cell r="AP322" t="str">
            <v>5/11/2025</v>
          </cell>
        </row>
        <row r="323">
          <cell r="A323" t="str">
            <v>9001-2211-DS-0010-01-WM68</v>
          </cell>
          <cell r="B323" t="str">
            <v>9001-2211-DS-0010-01-WM</v>
          </cell>
          <cell r="C323">
            <v>68</v>
          </cell>
          <cell r="E323" t="str">
            <v>DV</v>
          </cell>
          <cell r="F323" t="str">
            <v>100%MT &amp; UT</v>
          </cell>
          <cell r="G323" t="str">
            <v>D</v>
          </cell>
          <cell r="H323">
            <v>4785.3600000000006</v>
          </cell>
          <cell r="I323" t="str">
            <v>30/55</v>
          </cell>
          <cell r="K323" t="str">
            <v>WPS-TNHA-S06</v>
          </cell>
          <cell r="L323" t="str">
            <v>ST-02</v>
          </cell>
          <cell r="M323" t="str">
            <v>THÁI</v>
          </cell>
          <cell r="N323">
            <v>45982</v>
          </cell>
          <cell r="O323" t="str">
            <v>F-095</v>
          </cell>
          <cell r="P323" t="str">
            <v>27/11/2025</v>
          </cell>
          <cell r="Q323" t="str">
            <v>BGT-0018;BGT-0030;BGT0019;BGT-0032</v>
          </cell>
          <cell r="R323" t="str">
            <v>THÁI</v>
          </cell>
          <cell r="S323">
            <v>46003</v>
          </cell>
          <cell r="T323" t="str">
            <v>V-132</v>
          </cell>
          <cell r="U323">
            <v>45987</v>
          </cell>
          <cell r="V323" t="str">
            <v>BG-094</v>
          </cell>
          <cell r="Y323" t="str">
            <v>FINISH</v>
          </cell>
          <cell r="Z323" t="str">
            <v>ACC</v>
          </cell>
          <cell r="AA323" t="str">
            <v>ACC</v>
          </cell>
          <cell r="AB323" t="str">
            <v>MT-2211-ST-02-0033</v>
          </cell>
          <cell r="AC323" t="str">
            <v>ACC</v>
          </cell>
          <cell r="AD323" t="str">
            <v>UT-2211-ST-02-0036</v>
          </cell>
          <cell r="AJ323" t="str">
            <v>XX/12/2025</v>
          </cell>
          <cell r="AK323" t="str">
            <v>FINAL-V-156</v>
          </cell>
          <cell r="AL323" t="str">
            <v>XX/12/2025</v>
          </cell>
          <cell r="AM323" t="str">
            <v>IRN-2211-ST-02-0004</v>
          </cell>
          <cell r="AN323" t="str">
            <v>B</v>
          </cell>
          <cell r="AP323" t="str">
            <v>16/12/2025</v>
          </cell>
        </row>
        <row r="324">
          <cell r="A324" t="str">
            <v>9001-2211-DS-0010-01-WM69</v>
          </cell>
          <cell r="B324" t="str">
            <v>9001-2211-DS-0010-01-WM</v>
          </cell>
          <cell r="C324">
            <v>69</v>
          </cell>
          <cell r="E324" t="str">
            <v>DV</v>
          </cell>
          <cell r="F324" t="str">
            <v>100%MT &amp; UT</v>
          </cell>
          <cell r="G324" t="str">
            <v>D</v>
          </cell>
          <cell r="H324">
            <v>4785.3600000000006</v>
          </cell>
          <cell r="I324">
            <v>55</v>
          </cell>
          <cell r="K324" t="str">
            <v>WPS-TNHA-S03</v>
          </cell>
          <cell r="L324" t="str">
            <v>ST-02</v>
          </cell>
          <cell r="M324" t="str">
            <v xml:space="preserve">HIẾU </v>
          </cell>
          <cell r="N324">
            <v>45922</v>
          </cell>
          <cell r="O324" t="str">
            <v>F-028</v>
          </cell>
          <cell r="P324" t="str">
            <v>31/10/2025</v>
          </cell>
          <cell r="Q324" t="str">
            <v>BGT-0015;BGT-0016;GTC-10</v>
          </cell>
          <cell r="R324" t="str">
            <v>TUÂN</v>
          </cell>
          <cell r="S324">
            <v>45966</v>
          </cell>
          <cell r="T324" t="str">
            <v>V-058</v>
          </cell>
          <cell r="U324">
            <v>45958</v>
          </cell>
          <cell r="V324" t="str">
            <v>BG-059</v>
          </cell>
          <cell r="Y324" t="str">
            <v>FINISH</v>
          </cell>
          <cell r="Z324" t="str">
            <v>ACC</v>
          </cell>
          <cell r="AA324" t="str">
            <v>ACC</v>
          </cell>
          <cell r="AB324" t="str">
            <v>MT-2211-ST-02-0015</v>
          </cell>
          <cell r="AC324" t="str">
            <v>ACC</v>
          </cell>
          <cell r="AD324" t="str">
            <v>UT-2211-ST-02-0023</v>
          </cell>
          <cell r="AJ324" t="str">
            <v>XX/12/2025</v>
          </cell>
          <cell r="AK324" t="str">
            <v>FINAL-V-156</v>
          </cell>
          <cell r="AL324" t="str">
            <v>XX/12/2025</v>
          </cell>
          <cell r="AM324" t="str">
            <v>IRN-2211-ST-02-0004</v>
          </cell>
          <cell r="AN324" t="str">
            <v>B</v>
          </cell>
          <cell r="AP324" t="str">
            <v>12/11/2025</v>
          </cell>
        </row>
        <row r="325">
          <cell r="A325" t="str">
            <v>9001-2211-DS-0010-01-WM70</v>
          </cell>
          <cell r="B325" t="str">
            <v>9001-2211-DS-0010-01-WM</v>
          </cell>
          <cell r="C325">
            <v>70</v>
          </cell>
          <cell r="E325" t="str">
            <v>DV</v>
          </cell>
          <cell r="F325" t="str">
            <v>100%MT &amp; UT</v>
          </cell>
          <cell r="G325" t="str">
            <v>D</v>
          </cell>
          <cell r="H325">
            <v>4785.3600000000006</v>
          </cell>
          <cell r="I325">
            <v>55</v>
          </cell>
          <cell r="K325" t="str">
            <v>WPS-TNHA-S03</v>
          </cell>
          <cell r="L325" t="str">
            <v>ST-02</v>
          </cell>
          <cell r="M325" t="str">
            <v xml:space="preserve">HIẾU </v>
          </cell>
          <cell r="N325">
            <v>45922</v>
          </cell>
          <cell r="O325" t="str">
            <v>F-028</v>
          </cell>
          <cell r="P325" t="str">
            <v>31/10/2025</v>
          </cell>
          <cell r="Q325" t="str">
            <v>BGT-0015;BGT-0016;GTC-10</v>
          </cell>
          <cell r="R325" t="str">
            <v>TUÂN</v>
          </cell>
          <cell r="S325">
            <v>45966</v>
          </cell>
          <cell r="T325" t="str">
            <v>V-058</v>
          </cell>
          <cell r="U325">
            <v>45959</v>
          </cell>
          <cell r="V325" t="str">
            <v>BG-061</v>
          </cell>
          <cell r="Y325" t="str">
            <v>FINISH</v>
          </cell>
          <cell r="Z325" t="str">
            <v>ACC</v>
          </cell>
          <cell r="AA325" t="str">
            <v>ACC</v>
          </cell>
          <cell r="AB325" t="str">
            <v>MT-2211-ST-02-0015</v>
          </cell>
          <cell r="AC325" t="str">
            <v>ACC</v>
          </cell>
          <cell r="AD325" t="str">
            <v>UT-2211-ST-02-0023</v>
          </cell>
          <cell r="AJ325" t="str">
            <v>XX/12/2025</v>
          </cell>
          <cell r="AK325" t="str">
            <v>FINAL-V-156</v>
          </cell>
          <cell r="AL325" t="str">
            <v>XX/12/2025</v>
          </cell>
          <cell r="AM325" t="str">
            <v>IRN-2211-ST-02-0004</v>
          </cell>
          <cell r="AN325" t="str">
            <v>B</v>
          </cell>
          <cell r="AP325" t="str">
            <v>12/11/2025</v>
          </cell>
        </row>
        <row r="326">
          <cell r="A326" t="str">
            <v>9001-2211-DS-0010-01-WM71</v>
          </cell>
          <cell r="B326" t="str">
            <v>9001-2211-DS-0010-01-WM</v>
          </cell>
          <cell r="C326">
            <v>71</v>
          </cell>
          <cell r="E326" t="str">
            <v>DV</v>
          </cell>
          <cell r="F326" t="str">
            <v>100%MT &amp; UT</v>
          </cell>
          <cell r="G326" t="str">
            <v>D</v>
          </cell>
          <cell r="H326">
            <v>4785.3600000000006</v>
          </cell>
          <cell r="I326" t="str">
            <v>25/55</v>
          </cell>
          <cell r="K326" t="str">
            <v>WPS-TNHA-S01</v>
          </cell>
          <cell r="L326" t="str">
            <v>ST-02</v>
          </cell>
          <cell r="M326" t="str">
            <v xml:space="preserve">HIẾU </v>
          </cell>
          <cell r="N326">
            <v>45922</v>
          </cell>
          <cell r="O326" t="str">
            <v>F-028</v>
          </cell>
          <cell r="P326" t="str">
            <v>31/10/2025</v>
          </cell>
          <cell r="Q326" t="str">
            <v>BGT-0015;BGT-0016;GTC-10</v>
          </cell>
          <cell r="R326" t="str">
            <v>TUÂN</v>
          </cell>
          <cell r="S326">
            <v>45966</v>
          </cell>
          <cell r="T326" t="str">
            <v>V-058</v>
          </cell>
          <cell r="U326">
            <v>45961</v>
          </cell>
          <cell r="V326" t="str">
            <v>BG-063</v>
          </cell>
          <cell r="Y326" t="str">
            <v>FINISH</v>
          </cell>
          <cell r="Z326" t="str">
            <v>ACC</v>
          </cell>
          <cell r="AA326" t="str">
            <v>ACC</v>
          </cell>
          <cell r="AB326" t="str">
            <v>MT-2211-ST-02-0016</v>
          </cell>
          <cell r="AC326" t="str">
            <v>ACC</v>
          </cell>
          <cell r="AD326" t="str">
            <v>UT-2211-ST-02-0023</v>
          </cell>
          <cell r="AJ326" t="str">
            <v>XX/12/2025</v>
          </cell>
          <cell r="AK326" t="str">
            <v>FINAL-V-156</v>
          </cell>
          <cell r="AL326" t="str">
            <v>XX/12/2025</v>
          </cell>
          <cell r="AM326" t="str">
            <v>IRN-2211-ST-02-0004</v>
          </cell>
          <cell r="AN326" t="str">
            <v>B</v>
          </cell>
          <cell r="AP326" t="str">
            <v>12/11/2025</v>
          </cell>
        </row>
        <row r="327">
          <cell r="A327" t="str">
            <v>9001-2211-DS-0010-01-WM72</v>
          </cell>
          <cell r="B327" t="str">
            <v>9001-2211-DS-0010-01-WM</v>
          </cell>
          <cell r="C327">
            <v>72</v>
          </cell>
          <cell r="E327" t="str">
            <v>SV</v>
          </cell>
          <cell r="F327" t="str">
            <v>100%MT &amp; UT</v>
          </cell>
          <cell r="G327" t="str">
            <v>D</v>
          </cell>
          <cell r="H327">
            <v>4785.3600000000006</v>
          </cell>
          <cell r="I327">
            <v>25</v>
          </cell>
          <cell r="K327" t="str">
            <v>WPS-TNHA-S06</v>
          </cell>
          <cell r="L327" t="str">
            <v>ST-02</v>
          </cell>
          <cell r="M327" t="str">
            <v>THÁI</v>
          </cell>
          <cell r="N327">
            <v>46005</v>
          </cell>
          <cell r="O327" t="str">
            <v>F-133</v>
          </cell>
          <cell r="P327" t="str">
            <v>14/12/2025</v>
          </cell>
          <cell r="Q327" t="str">
            <v>BGT-0008;BGT-0013;GTC-07</v>
          </cell>
          <cell r="R327" t="str">
            <v>THÁI</v>
          </cell>
          <cell r="S327">
            <v>46009</v>
          </cell>
          <cell r="T327" t="str">
            <v>V-146</v>
          </cell>
          <cell r="Y327" t="str">
            <v>REJ</v>
          </cell>
          <cell r="Z327" t="str">
            <v>REJ</v>
          </cell>
          <cell r="AA327" t="str">
            <v>ACC</v>
          </cell>
          <cell r="AB327" t="str">
            <v>MT-2211-ST-02-0039</v>
          </cell>
          <cell r="AC327" t="str">
            <v>REJ</v>
          </cell>
          <cell r="AD327" t="str">
            <v>UT-2211-ST-02-0045</v>
          </cell>
          <cell r="AH327">
            <v>40</v>
          </cell>
          <cell r="AJ327" t="str">
            <v>XX/12/2025</v>
          </cell>
          <cell r="AK327" t="str">
            <v>FINAL-V-156</v>
          </cell>
          <cell r="AL327" t="str">
            <v>XX/12/2025</v>
          </cell>
          <cell r="AM327" t="str">
            <v>IRN-2211-ST-02-0004</v>
          </cell>
          <cell r="AN327" t="str">
            <v>B</v>
          </cell>
          <cell r="AP327" t="str">
            <v>23/12/2025</v>
          </cell>
        </row>
        <row r="328">
          <cell r="A328" t="str">
            <v>9001-2211-DS-0010-01-WM72R1</v>
          </cell>
          <cell r="B328" t="str">
            <v>9001-2211-DS-0010-01-WM</v>
          </cell>
          <cell r="C328" t="str">
            <v>72R1</v>
          </cell>
          <cell r="E328" t="str">
            <v>SV</v>
          </cell>
          <cell r="F328" t="str">
            <v>100%MT &amp; UT</v>
          </cell>
          <cell r="G328" t="str">
            <v>L</v>
          </cell>
          <cell r="H328">
            <v>340</v>
          </cell>
          <cell r="I328">
            <v>25</v>
          </cell>
          <cell r="K328" t="str">
            <v>WPS-TNHA-S06</v>
          </cell>
          <cell r="L328" t="str">
            <v>ST-02</v>
          </cell>
          <cell r="M328" t="str">
            <v>NA</v>
          </cell>
          <cell r="N328" t="str">
            <v>NA</v>
          </cell>
          <cell r="O328" t="str">
            <v>NA</v>
          </cell>
          <cell r="P328" t="str">
            <v>19/12/2025</v>
          </cell>
          <cell r="Q328" t="str">
            <v>BGT-0013</v>
          </cell>
          <cell r="R328" t="str">
            <v>THÁI</v>
          </cell>
          <cell r="S328">
            <v>46012</v>
          </cell>
          <cell r="T328" t="str">
            <v>V-151</v>
          </cell>
          <cell r="U328">
            <v>46010</v>
          </cell>
          <cell r="V328" t="str">
            <v>BG-115</v>
          </cell>
          <cell r="Y328" t="str">
            <v>FINISH</v>
          </cell>
          <cell r="Z328" t="str">
            <v>ACC</v>
          </cell>
          <cell r="AA328" t="str">
            <v>ACC</v>
          </cell>
          <cell r="AB328" t="str">
            <v>MT-2211-ST-02-0039R1</v>
          </cell>
          <cell r="AC328" t="str">
            <v>ACC</v>
          </cell>
          <cell r="AD328" t="str">
            <v>UT-2211-ST-02-0045R1</v>
          </cell>
          <cell r="AI328">
            <v>140</v>
          </cell>
          <cell r="AJ328" t="str">
            <v>XX/12/2025</v>
          </cell>
          <cell r="AK328" t="str">
            <v>FINAL-V-156</v>
          </cell>
          <cell r="AL328" t="str">
            <v>XX/12/2025</v>
          </cell>
          <cell r="AM328" t="str">
            <v>IRN-2211-ST-02-0004</v>
          </cell>
          <cell r="AN328" t="str">
            <v>B</v>
          </cell>
          <cell r="AP328" t="str">
            <v>23/12/2025</v>
          </cell>
        </row>
        <row r="329">
          <cell r="A329" t="str">
            <v>9001-2211-DS-0010-01-WM73</v>
          </cell>
          <cell r="B329" t="str">
            <v>9001-2211-DS-0010-01-WM</v>
          </cell>
          <cell r="C329">
            <v>73</v>
          </cell>
          <cell r="E329" t="str">
            <v>DV</v>
          </cell>
          <cell r="F329" t="str">
            <v>100%MT &amp; UT</v>
          </cell>
          <cell r="G329" t="str">
            <v>D</v>
          </cell>
          <cell r="H329">
            <v>4785.3600000000006</v>
          </cell>
          <cell r="I329">
            <v>25</v>
          </cell>
          <cell r="K329" t="str">
            <v>WPS-TNHA-S01</v>
          </cell>
          <cell r="L329" t="str">
            <v>ST-02</v>
          </cell>
          <cell r="M329" t="str">
            <v xml:space="preserve">HIẾU </v>
          </cell>
          <cell r="N329">
            <v>45912</v>
          </cell>
          <cell r="O329" t="str">
            <v>F-015</v>
          </cell>
          <cell r="P329" t="str">
            <v>17/10/2025</v>
          </cell>
          <cell r="Q329" t="str">
            <v>BGT-0013;BGT-0022;ND08</v>
          </cell>
          <cell r="R329" t="str">
            <v>XUÂN</v>
          </cell>
          <cell r="S329">
            <v>45957</v>
          </cell>
          <cell r="T329" t="str">
            <v>V-043</v>
          </cell>
          <cell r="U329">
            <v>45943</v>
          </cell>
          <cell r="V329" t="str">
            <v>BG-040</v>
          </cell>
          <cell r="Y329" t="str">
            <v>FINISH</v>
          </cell>
          <cell r="Z329" t="str">
            <v>ACC</v>
          </cell>
          <cell r="AA329" t="str">
            <v>ACC</v>
          </cell>
          <cell r="AB329" t="str">
            <v>MT-2211-ST-02-0011</v>
          </cell>
          <cell r="AC329" t="str">
            <v>ACC</v>
          </cell>
          <cell r="AD329" t="str">
            <v>UT-2211-ST-02-0015</v>
          </cell>
          <cell r="AJ329" t="str">
            <v>9/12/2025</v>
          </cell>
          <cell r="AK329" t="str">
            <v>FINAL V-124</v>
          </cell>
          <cell r="AL329" t="str">
            <v>XX/12/2025</v>
          </cell>
          <cell r="AM329" t="str">
            <v>IRN-2211-ST-02-0004</v>
          </cell>
          <cell r="AN329" t="str">
            <v>B</v>
          </cell>
          <cell r="AP329" t="str">
            <v>29/10/2025</v>
          </cell>
        </row>
        <row r="330">
          <cell r="A330" t="str">
            <v>9001-2211-DS-0010-01-WM74</v>
          </cell>
          <cell r="B330" t="str">
            <v>9001-2211-DS-0010-01-WM</v>
          </cell>
          <cell r="C330">
            <v>74</v>
          </cell>
          <cell r="E330" t="str">
            <v>DV</v>
          </cell>
          <cell r="F330" t="str">
            <v>100%MT &amp; UT</v>
          </cell>
          <cell r="G330" t="str">
            <v>D</v>
          </cell>
          <cell r="H330">
            <v>4785.3600000000006</v>
          </cell>
          <cell r="I330">
            <v>25</v>
          </cell>
          <cell r="K330" t="str">
            <v>WPS-TNHA-S01</v>
          </cell>
          <cell r="L330" t="str">
            <v>ST-02</v>
          </cell>
          <cell r="M330" t="str">
            <v xml:space="preserve">HIẾU </v>
          </cell>
          <cell r="N330">
            <v>45912</v>
          </cell>
          <cell r="O330" t="str">
            <v>F-015</v>
          </cell>
          <cell r="P330" t="str">
            <v>17/10/2025</v>
          </cell>
          <cell r="Q330" t="str">
            <v>BGT-0008;BGT0017;ND08</v>
          </cell>
          <cell r="R330" t="str">
            <v>XUÂN</v>
          </cell>
          <cell r="S330">
            <v>45957</v>
          </cell>
          <cell r="T330" t="str">
            <v>V-043</v>
          </cell>
          <cell r="U330">
            <v>45940</v>
          </cell>
          <cell r="V330" t="str">
            <v>BG-035</v>
          </cell>
          <cell r="Y330" t="str">
            <v>FINISH</v>
          </cell>
          <cell r="Z330" t="str">
            <v>ACC</v>
          </cell>
          <cell r="AA330" t="str">
            <v>ACC</v>
          </cell>
          <cell r="AB330" t="str">
            <v>MT-2211-ST-02-0011</v>
          </cell>
          <cell r="AC330" t="str">
            <v>ACC</v>
          </cell>
          <cell r="AD330" t="str">
            <v>UT-2211-ST-02-0016</v>
          </cell>
          <cell r="AJ330" t="str">
            <v>9/12/2025</v>
          </cell>
          <cell r="AK330" t="str">
            <v>FINAL V-124</v>
          </cell>
          <cell r="AL330" t="str">
            <v>XX/12/2025</v>
          </cell>
          <cell r="AM330" t="str">
            <v>IRN-2211-ST-02-0004</v>
          </cell>
          <cell r="AN330" t="str">
            <v>B</v>
          </cell>
          <cell r="AP330" t="str">
            <v>29/10/2025</v>
          </cell>
        </row>
        <row r="331">
          <cell r="A331" t="str">
            <v>9001-2211-DS-0010-01-WM75</v>
          </cell>
          <cell r="B331" t="str">
            <v>9001-2211-DS-0010-01-WM</v>
          </cell>
          <cell r="C331">
            <v>75</v>
          </cell>
          <cell r="E331" t="str">
            <v>DV</v>
          </cell>
          <cell r="F331" t="str">
            <v>100%MT &amp; UT</v>
          </cell>
          <cell r="G331" t="str">
            <v>D</v>
          </cell>
          <cell r="H331">
            <v>4785.3600000000006</v>
          </cell>
          <cell r="I331">
            <v>25</v>
          </cell>
          <cell r="K331" t="str">
            <v>WPS-TNHA-S01</v>
          </cell>
          <cell r="L331" t="str">
            <v>ST-02</v>
          </cell>
          <cell r="M331" t="str">
            <v xml:space="preserve">HIẾU </v>
          </cell>
          <cell r="N331">
            <v>45912</v>
          </cell>
          <cell r="O331" t="str">
            <v>F-015</v>
          </cell>
          <cell r="P331" t="str">
            <v>17/10/2025</v>
          </cell>
          <cell r="Q331" t="str">
            <v>BGT-0013;BGT-0022;GTC-10</v>
          </cell>
          <cell r="R331" t="str">
            <v>XUÂN</v>
          </cell>
          <cell r="S331">
            <v>45957</v>
          </cell>
          <cell r="T331" t="str">
            <v>V-043</v>
          </cell>
          <cell r="U331">
            <v>45940</v>
          </cell>
          <cell r="V331" t="str">
            <v>BG-035</v>
          </cell>
          <cell r="Y331" t="str">
            <v>REJ</v>
          </cell>
          <cell r="Z331" t="str">
            <v>REJ</v>
          </cell>
          <cell r="AA331" t="str">
            <v>ACC</v>
          </cell>
          <cell r="AB331" t="str">
            <v>MT-2211-ST-02-0011</v>
          </cell>
          <cell r="AC331" t="str">
            <v>REJ</v>
          </cell>
          <cell r="AD331" t="str">
            <v>UT-2211-ST-02-0017</v>
          </cell>
          <cell r="AH331">
            <v>20</v>
          </cell>
          <cell r="AJ331" t="str">
            <v>9/12/2025</v>
          </cell>
          <cell r="AK331" t="str">
            <v>FINAL V-124</v>
          </cell>
          <cell r="AL331" t="str">
            <v>XX/12/2025</v>
          </cell>
          <cell r="AM331" t="str">
            <v>IRN-2211-ST-02-0004</v>
          </cell>
          <cell r="AN331" t="str">
            <v>B</v>
          </cell>
          <cell r="AP331" t="str">
            <v>29/10/2025</v>
          </cell>
        </row>
        <row r="332">
          <cell r="A332" t="str">
            <v>9001-2211-DS-0010-01-WM75R1</v>
          </cell>
          <cell r="B332" t="str">
            <v>9001-2211-DS-0010-01-WM</v>
          </cell>
          <cell r="C332" t="str">
            <v>75R1</v>
          </cell>
          <cell r="E332" t="str">
            <v>DV</v>
          </cell>
          <cell r="F332" t="str">
            <v>100%MT &amp; UT</v>
          </cell>
          <cell r="G332" t="str">
            <v>L</v>
          </cell>
          <cell r="H332">
            <v>270</v>
          </cell>
          <cell r="I332">
            <v>25</v>
          </cell>
          <cell r="K332" t="str">
            <v>WPS-TNHA-S02</v>
          </cell>
          <cell r="L332" t="str">
            <v>ST-02</v>
          </cell>
          <cell r="M332" t="str">
            <v>NA</v>
          </cell>
          <cell r="N332" t="str">
            <v>NA</v>
          </cell>
          <cell r="O332" t="str">
            <v>NA</v>
          </cell>
          <cell r="P332" t="str">
            <v>30/10/2025</v>
          </cell>
          <cell r="Q332" t="str">
            <v>BGT0019</v>
          </cell>
          <cell r="R332" t="str">
            <v>HIẾU</v>
          </cell>
          <cell r="S332">
            <v>45961</v>
          </cell>
          <cell r="T332" t="str">
            <v>V-049</v>
          </cell>
          <cell r="U332">
            <v>45961</v>
          </cell>
          <cell r="V332" t="str">
            <v>BG-064</v>
          </cell>
          <cell r="Y332" t="str">
            <v>FINISH</v>
          </cell>
          <cell r="Z332" t="str">
            <v>ACC</v>
          </cell>
          <cell r="AA332" t="str">
            <v>ACC</v>
          </cell>
          <cell r="AB332" t="str">
            <v>MT-2211-ST-02-0011R1</v>
          </cell>
          <cell r="AC332" t="str">
            <v>ACC</v>
          </cell>
          <cell r="AD332" t="str">
            <v>UT-2211-ST-02-0017R1</v>
          </cell>
          <cell r="AI332">
            <v>70</v>
          </cell>
          <cell r="AJ332" t="str">
            <v>9/12/2025</v>
          </cell>
          <cell r="AK332" t="str">
            <v>FINAL V-124</v>
          </cell>
          <cell r="AL332" t="str">
            <v>XX/12/2025</v>
          </cell>
          <cell r="AM332" t="str">
            <v>IRN-2211-ST-02-0004</v>
          </cell>
          <cell r="AN332" t="str">
            <v>B</v>
          </cell>
          <cell r="AP332" t="str">
            <v>5/11/2025</v>
          </cell>
        </row>
        <row r="333">
          <cell r="A333" t="str">
            <v>9001-2211-DS-0010-01-WM76</v>
          </cell>
          <cell r="B333" t="str">
            <v>9001-2211-DS-0010-01-WM</v>
          </cell>
          <cell r="C333">
            <v>76</v>
          </cell>
          <cell r="E333" t="str">
            <v>DV</v>
          </cell>
          <cell r="F333" t="str">
            <v>100%MT &amp; UT</v>
          </cell>
          <cell r="G333" t="str">
            <v>D</v>
          </cell>
          <cell r="H333">
            <v>4785.3600000000006</v>
          </cell>
          <cell r="I333">
            <v>25</v>
          </cell>
          <cell r="K333" t="str">
            <v>WPS-TNHA-S01</v>
          </cell>
          <cell r="L333" t="str">
            <v>ST-02</v>
          </cell>
          <cell r="M333" t="str">
            <v xml:space="preserve">HIẾU </v>
          </cell>
          <cell r="N333">
            <v>45912</v>
          </cell>
          <cell r="O333" t="str">
            <v>F-015</v>
          </cell>
          <cell r="P333" t="str">
            <v>17/10/2025</v>
          </cell>
          <cell r="Q333" t="str">
            <v>BGT-0018;BGT-0020;GTC-10</v>
          </cell>
          <cell r="R333" t="str">
            <v>XUÂN</v>
          </cell>
          <cell r="S333">
            <v>45957</v>
          </cell>
          <cell r="T333" t="str">
            <v>V-043</v>
          </cell>
          <cell r="U333">
            <v>45940</v>
          </cell>
          <cell r="V333" t="str">
            <v>BG-035</v>
          </cell>
          <cell r="Y333" t="str">
            <v>FINISH</v>
          </cell>
          <cell r="Z333" t="str">
            <v>ACC</v>
          </cell>
          <cell r="AA333" t="str">
            <v>ACC</v>
          </cell>
          <cell r="AB333" t="str">
            <v>MT-2211-ST-02-0011</v>
          </cell>
          <cell r="AC333" t="str">
            <v>ACC</v>
          </cell>
          <cell r="AD333" t="str">
            <v>UT-2211-ST-02-0015</v>
          </cell>
          <cell r="AJ333" t="str">
            <v>9/12/2025</v>
          </cell>
          <cell r="AK333" t="str">
            <v>FINAL V-124</v>
          </cell>
          <cell r="AL333" t="str">
            <v>XX/12/2025</v>
          </cell>
          <cell r="AM333" t="str">
            <v>IRN-2211-ST-02-0004</v>
          </cell>
          <cell r="AN333" t="str">
            <v>B</v>
          </cell>
          <cell r="AP333" t="str">
            <v>29/10/2025</v>
          </cell>
        </row>
        <row r="334">
          <cell r="A334" t="str">
            <v>9001-2211-DS-0010-01-WM77</v>
          </cell>
          <cell r="B334" t="str">
            <v>9001-2211-DS-0010-01-WM</v>
          </cell>
          <cell r="C334">
            <v>77</v>
          </cell>
          <cell r="E334" t="str">
            <v>DV</v>
          </cell>
          <cell r="F334" t="str">
            <v>100%MT &amp; UT</v>
          </cell>
          <cell r="G334" t="str">
            <v>D</v>
          </cell>
          <cell r="H334">
            <v>4785.3600000000006</v>
          </cell>
          <cell r="I334" t="str">
            <v>25/50</v>
          </cell>
          <cell r="K334" t="str">
            <v>WPS-TNHA-S01</v>
          </cell>
          <cell r="L334" t="str">
            <v>ST-02</v>
          </cell>
          <cell r="M334" t="str">
            <v>THÁI</v>
          </cell>
          <cell r="N334">
            <v>45980</v>
          </cell>
          <cell r="O334" t="str">
            <v>F-091</v>
          </cell>
          <cell r="P334" t="str">
            <v>27/11/2025</v>
          </cell>
          <cell r="Q334" t="str">
            <v>BGT-0030;BGT-0036;GTC-10</v>
          </cell>
          <cell r="R334" t="str">
            <v>THÁI</v>
          </cell>
          <cell r="S334">
            <v>45998</v>
          </cell>
          <cell r="T334" t="str">
            <v>V-120</v>
          </cell>
          <cell r="U334">
            <v>45992</v>
          </cell>
          <cell r="V334" t="str">
            <v>BG-101</v>
          </cell>
          <cell r="Y334" t="str">
            <v>FINISH</v>
          </cell>
          <cell r="Z334" t="str">
            <v>ACC</v>
          </cell>
          <cell r="AA334" t="str">
            <v>ACC</v>
          </cell>
          <cell r="AB334" t="str">
            <v>MT-2211-ST-02-0030</v>
          </cell>
          <cell r="AC334" t="str">
            <v>ACC</v>
          </cell>
          <cell r="AD334" t="str">
            <v>UT-2211-ST-02-0034</v>
          </cell>
          <cell r="AJ334" t="str">
            <v>9/12/2025</v>
          </cell>
          <cell r="AK334" t="str">
            <v>FINAL V-124</v>
          </cell>
          <cell r="AL334" t="str">
            <v>XX/12/2025</v>
          </cell>
          <cell r="AM334" t="str">
            <v>IRN-2211-ST-02-0004</v>
          </cell>
          <cell r="AN334" t="str">
            <v>B</v>
          </cell>
          <cell r="AP334" t="str">
            <v>10/12/2025</v>
          </cell>
        </row>
        <row r="335">
          <cell r="A335" t="str">
            <v>9001-2211-DS-0010-01-WM78</v>
          </cell>
          <cell r="B335" t="str">
            <v>9001-2211-DS-0010-01-WM</v>
          </cell>
          <cell r="C335">
            <v>78</v>
          </cell>
          <cell r="E335" t="str">
            <v>DV</v>
          </cell>
          <cell r="F335" t="str">
            <v>100%MT &amp; UT</v>
          </cell>
          <cell r="G335" t="str">
            <v>D</v>
          </cell>
          <cell r="H335">
            <v>4785.3600000000006</v>
          </cell>
          <cell r="I335">
            <v>50</v>
          </cell>
          <cell r="K335" t="str">
            <v>WPS-TNHA-S01</v>
          </cell>
          <cell r="L335" t="str">
            <v>ST-02</v>
          </cell>
          <cell r="M335" t="str">
            <v xml:space="preserve">HIẾU </v>
          </cell>
          <cell r="N335">
            <v>45918</v>
          </cell>
          <cell r="O335" t="str">
            <v>F-023</v>
          </cell>
          <cell r="P335" t="str">
            <v>16/10/2025</v>
          </cell>
          <cell r="Q335" t="str">
            <v>BGT-0008;BGT0017;ND08</v>
          </cell>
          <cell r="R335" t="str">
            <v>HIẾU</v>
          </cell>
          <cell r="S335">
            <v>45951</v>
          </cell>
          <cell r="T335" t="str">
            <v>V-038</v>
          </cell>
          <cell r="U335" t="str">
            <v>15/10/2025</v>
          </cell>
          <cell r="V335" t="str">
            <v>BG-043</v>
          </cell>
          <cell r="Y335" t="str">
            <v>FINISH</v>
          </cell>
          <cell r="Z335" t="str">
            <v>ACC</v>
          </cell>
          <cell r="AA335" t="str">
            <v>ACC</v>
          </cell>
          <cell r="AB335" t="str">
            <v>MT-2211-ST-02-0008</v>
          </cell>
          <cell r="AC335" t="str">
            <v>ACC</v>
          </cell>
          <cell r="AD335" t="str">
            <v>UT-2211-ST-02-0009</v>
          </cell>
          <cell r="AJ335" t="str">
            <v>9/12/2025</v>
          </cell>
          <cell r="AK335" t="str">
            <v>FINAL V-124</v>
          </cell>
          <cell r="AL335" t="str">
            <v>XX/12/2025</v>
          </cell>
          <cell r="AM335" t="str">
            <v>IRN-2211-ST-02-0004</v>
          </cell>
          <cell r="AN335" t="str">
            <v>B</v>
          </cell>
          <cell r="AP335" t="str">
            <v>22/10/2025</v>
          </cell>
        </row>
        <row r="336">
          <cell r="A336" t="str">
            <v>9001-2211-DS-0010-01-WM79</v>
          </cell>
          <cell r="B336" t="str">
            <v>9001-2211-DS-0010-01-WM</v>
          </cell>
          <cell r="C336">
            <v>79</v>
          </cell>
          <cell r="E336" t="str">
            <v>DV</v>
          </cell>
          <cell r="F336" t="str">
            <v>100%MT &amp; UT</v>
          </cell>
          <cell r="G336" t="str">
            <v>D</v>
          </cell>
          <cell r="H336">
            <v>4785.3600000000006</v>
          </cell>
          <cell r="I336">
            <v>50</v>
          </cell>
          <cell r="K336" t="str">
            <v>WPS-TNHA-S01</v>
          </cell>
          <cell r="L336" t="str">
            <v>ST-02</v>
          </cell>
          <cell r="M336" t="str">
            <v xml:space="preserve">HIẾU </v>
          </cell>
          <cell r="N336">
            <v>45918</v>
          </cell>
          <cell r="O336" t="str">
            <v>F-023</v>
          </cell>
          <cell r="P336" t="str">
            <v>16/10/2025</v>
          </cell>
          <cell r="Q336" t="str">
            <v>BGT-0008;BGT-0013;ND08</v>
          </cell>
          <cell r="R336" t="str">
            <v>HIẾU</v>
          </cell>
          <cell r="S336">
            <v>45951</v>
          </cell>
          <cell r="T336" t="str">
            <v>V-038</v>
          </cell>
          <cell r="U336">
            <v>45944</v>
          </cell>
          <cell r="V336" t="str">
            <v>BG-042</v>
          </cell>
          <cell r="Y336" t="str">
            <v>FINISH</v>
          </cell>
          <cell r="Z336" t="str">
            <v>ACC</v>
          </cell>
          <cell r="AA336" t="str">
            <v>ACC</v>
          </cell>
          <cell r="AB336" t="str">
            <v>MT-2211-ST-02-0008</v>
          </cell>
          <cell r="AC336" t="str">
            <v>ACC</v>
          </cell>
          <cell r="AD336" t="str">
            <v>UT-2211-ST-02-0009</v>
          </cell>
          <cell r="AJ336" t="str">
            <v>9/12/2025</v>
          </cell>
          <cell r="AK336" t="str">
            <v>FINAL V-124</v>
          </cell>
          <cell r="AL336" t="str">
            <v>XX/12/2025</v>
          </cell>
          <cell r="AM336" t="str">
            <v>IRN-2211-ST-02-0004</v>
          </cell>
          <cell r="AN336" t="str">
            <v>B</v>
          </cell>
          <cell r="AP336" t="str">
            <v>22/10/2025</v>
          </cell>
        </row>
        <row r="337">
          <cell r="A337" t="str">
            <v>9001-2211-DS-0010-01-WM80</v>
          </cell>
          <cell r="B337" t="str">
            <v>9001-2211-DS-0010-01-WM</v>
          </cell>
          <cell r="C337">
            <v>80</v>
          </cell>
          <cell r="E337" t="str">
            <v>DV</v>
          </cell>
          <cell r="F337" t="str">
            <v>100%MT &amp; UT</v>
          </cell>
          <cell r="G337" t="str">
            <v>D</v>
          </cell>
          <cell r="H337">
            <v>4785.3600000000006</v>
          </cell>
          <cell r="I337" t="str">
            <v>30/50</v>
          </cell>
          <cell r="K337" t="str">
            <v>WPS-TNHA-S01</v>
          </cell>
          <cell r="L337" t="str">
            <v>ST-02</v>
          </cell>
          <cell r="M337" t="str">
            <v>THÁI</v>
          </cell>
          <cell r="N337">
            <v>45980</v>
          </cell>
          <cell r="O337" t="str">
            <v>F-091</v>
          </cell>
          <cell r="P337" t="str">
            <v>27/11/2025</v>
          </cell>
          <cell r="Q337" t="str">
            <v>BGT-0030;BGT-0036;GTC-10</v>
          </cell>
          <cell r="R337" t="str">
            <v>THÁI</v>
          </cell>
          <cell r="S337">
            <v>45998</v>
          </cell>
          <cell r="T337" t="str">
            <v>V-120</v>
          </cell>
          <cell r="U337">
            <v>45992</v>
          </cell>
          <cell r="V337" t="str">
            <v>BG-100</v>
          </cell>
          <cell r="Y337" t="str">
            <v>FINISH</v>
          </cell>
          <cell r="Z337" t="str">
            <v>ACC</v>
          </cell>
          <cell r="AA337" t="str">
            <v>ACC</v>
          </cell>
          <cell r="AB337" t="str">
            <v>MT-2211-ST-02-0030</v>
          </cell>
          <cell r="AC337" t="str">
            <v>ACC</v>
          </cell>
          <cell r="AD337" t="str">
            <v>UT-2211-ST-02-0034</v>
          </cell>
          <cell r="AJ337" t="str">
            <v>9/12/2025</v>
          </cell>
          <cell r="AK337" t="str">
            <v>FINAL V-124</v>
          </cell>
          <cell r="AL337" t="str">
            <v>XX/12/2025</v>
          </cell>
          <cell r="AM337" t="str">
            <v>IRN-2211-ST-02-0004</v>
          </cell>
          <cell r="AN337" t="str">
            <v>B</v>
          </cell>
          <cell r="AP337" t="str">
            <v>10/12/2025</v>
          </cell>
        </row>
        <row r="338">
          <cell r="A338" t="str">
            <v>9001-2211-DS-0010-01-WM81</v>
          </cell>
          <cell r="B338" t="str">
            <v>9001-2211-DS-0010-01-WM</v>
          </cell>
          <cell r="C338">
            <v>81</v>
          </cell>
          <cell r="E338" t="str">
            <v>DV</v>
          </cell>
          <cell r="F338" t="str">
            <v>100%MT &amp; UT</v>
          </cell>
          <cell r="G338" t="str">
            <v>D</v>
          </cell>
          <cell r="H338">
            <v>4785.3600000000006</v>
          </cell>
          <cell r="I338">
            <v>30</v>
          </cell>
          <cell r="K338" t="str">
            <v>WPS-TNHA-S01</v>
          </cell>
          <cell r="L338" t="str">
            <v>ST-02</v>
          </cell>
          <cell r="M338" t="str">
            <v xml:space="preserve">HIẾU </v>
          </cell>
          <cell r="N338">
            <v>45925</v>
          </cell>
          <cell r="O338" t="str">
            <v>F-029</v>
          </cell>
          <cell r="P338" t="str">
            <v>27/11/2025</v>
          </cell>
          <cell r="Q338" t="str">
            <v>BGT-0002;BGT-0018;GTC-10</v>
          </cell>
          <cell r="R338" t="str">
            <v>THÁI</v>
          </cell>
          <cell r="S338">
            <v>45998</v>
          </cell>
          <cell r="T338" t="str">
            <v>V-120</v>
          </cell>
          <cell r="U338">
            <v>45992</v>
          </cell>
          <cell r="V338" t="str">
            <v>BG-102</v>
          </cell>
          <cell r="Y338" t="str">
            <v>FINISH</v>
          </cell>
          <cell r="Z338" t="str">
            <v>ACC</v>
          </cell>
          <cell r="AA338" t="str">
            <v>ACC</v>
          </cell>
          <cell r="AB338" t="str">
            <v>MT-2211-ST-02-0030</v>
          </cell>
          <cell r="AC338" t="str">
            <v>ACC</v>
          </cell>
          <cell r="AD338" t="str">
            <v>UT-2211-ST-02-0034</v>
          </cell>
          <cell r="AJ338" t="str">
            <v>9/12/2025</v>
          </cell>
          <cell r="AK338" t="str">
            <v>FINAL V-124</v>
          </cell>
          <cell r="AL338" t="str">
            <v>XX/12/2025</v>
          </cell>
          <cell r="AM338" t="str">
            <v>IRN-2211-ST-02-0004</v>
          </cell>
          <cell r="AN338" t="str">
            <v>B</v>
          </cell>
          <cell r="AP338" t="str">
            <v>10/12/2025</v>
          </cell>
        </row>
        <row r="339">
          <cell r="A339" t="str">
            <v>9001-2211-DS-0010-01-WM82</v>
          </cell>
          <cell r="B339" t="str">
            <v>9001-2211-DS-0010-01-WM</v>
          </cell>
          <cell r="C339">
            <v>82</v>
          </cell>
          <cell r="E339" t="str">
            <v>DV</v>
          </cell>
          <cell r="F339" t="str">
            <v>100%MT &amp; UT</v>
          </cell>
          <cell r="G339" t="str">
            <v>D</v>
          </cell>
          <cell r="H339">
            <v>4785.3600000000006</v>
          </cell>
          <cell r="I339">
            <v>30</v>
          </cell>
          <cell r="K339" t="str">
            <v>WPS-TNHA-S01</v>
          </cell>
          <cell r="L339" t="str">
            <v>ST-02</v>
          </cell>
          <cell r="M339" t="str">
            <v xml:space="preserve">HIẾU </v>
          </cell>
          <cell r="N339">
            <v>45925</v>
          </cell>
          <cell r="O339" t="str">
            <v>F-029</v>
          </cell>
          <cell r="P339" t="str">
            <v>27/11/2025</v>
          </cell>
          <cell r="Q339" t="str">
            <v>BGT-0002;BGT-0018;GTC-10</v>
          </cell>
          <cell r="R339" t="str">
            <v>THÁI</v>
          </cell>
          <cell r="S339">
            <v>45998</v>
          </cell>
          <cell r="T339" t="str">
            <v>V-120</v>
          </cell>
          <cell r="U339">
            <v>45987</v>
          </cell>
          <cell r="V339" t="str">
            <v>BG-094</v>
          </cell>
          <cell r="Y339" t="str">
            <v>FINISH</v>
          </cell>
          <cell r="Z339" t="str">
            <v>ACC</v>
          </cell>
          <cell r="AA339" t="str">
            <v>ACC</v>
          </cell>
          <cell r="AB339" t="str">
            <v>MT-2211-ST-02-0030</v>
          </cell>
          <cell r="AC339" t="str">
            <v>ACC</v>
          </cell>
          <cell r="AD339" t="str">
            <v>UT-2211-ST-02-0034</v>
          </cell>
          <cell r="AJ339" t="str">
            <v>9/12/2025</v>
          </cell>
          <cell r="AK339" t="str">
            <v>FINAL V-124</v>
          </cell>
          <cell r="AL339" t="str">
            <v>XX/12/2025</v>
          </cell>
          <cell r="AM339" t="str">
            <v>IRN-2211-ST-02-0004</v>
          </cell>
          <cell r="AN339" t="str">
            <v>B</v>
          </cell>
          <cell r="AP339" t="str">
            <v>10/12/2025</v>
          </cell>
        </row>
        <row r="340">
          <cell r="A340" t="str">
            <v>9001-2211-DS-0010-01-WM83</v>
          </cell>
          <cell r="B340" t="str">
            <v>9001-2211-DS-0010-01-WM</v>
          </cell>
          <cell r="C340">
            <v>83</v>
          </cell>
          <cell r="E340" t="str">
            <v>DV</v>
          </cell>
          <cell r="F340" t="str">
            <v>100%MT &amp; UT</v>
          </cell>
          <cell r="G340" t="str">
            <v>D</v>
          </cell>
          <cell r="H340">
            <v>4785.3600000000006</v>
          </cell>
          <cell r="I340">
            <v>30</v>
          </cell>
          <cell r="K340" t="str">
            <v>WPS-TNHA-S01</v>
          </cell>
          <cell r="L340" t="str">
            <v>ST-02</v>
          </cell>
          <cell r="M340" t="str">
            <v xml:space="preserve">HIẾU </v>
          </cell>
          <cell r="N340">
            <v>45925</v>
          </cell>
          <cell r="O340" t="str">
            <v>F-029</v>
          </cell>
          <cell r="P340" t="str">
            <v>15h 01/12/2025</v>
          </cell>
          <cell r="Q340" t="str">
            <v>BGT-0018;BGT-0013;GTC-10</v>
          </cell>
          <cell r="R340" t="str">
            <v>THÁI</v>
          </cell>
          <cell r="S340">
            <v>45995</v>
          </cell>
          <cell r="T340" t="str">
            <v>V-113</v>
          </cell>
          <cell r="U340">
            <v>45992</v>
          </cell>
          <cell r="V340" t="str">
            <v>BG-102</v>
          </cell>
          <cell r="Y340" t="str">
            <v>FINISH</v>
          </cell>
          <cell r="Z340" t="str">
            <v>ACC</v>
          </cell>
          <cell r="AA340" t="str">
            <v>ACC</v>
          </cell>
          <cell r="AB340" t="str">
            <v>MT-2211-ST-02-0028</v>
          </cell>
          <cell r="AC340" t="str">
            <v>ACC</v>
          </cell>
          <cell r="AD340" t="str">
            <v>UT-2211-ST-02-0031</v>
          </cell>
          <cell r="AJ340" t="str">
            <v>9/12/2025</v>
          </cell>
          <cell r="AK340" t="str">
            <v>FINAL V-124</v>
          </cell>
          <cell r="AL340" t="str">
            <v>XX/12/2025</v>
          </cell>
          <cell r="AM340" t="str">
            <v>IRN-2211-ST-02-0004</v>
          </cell>
          <cell r="AN340" t="str">
            <v>B</v>
          </cell>
          <cell r="AP340" t="str">
            <v>10/12/2025</v>
          </cell>
        </row>
        <row r="341">
          <cell r="A341" t="str">
            <v>9001-2211-DS-0010-01-WM84</v>
          </cell>
          <cell r="B341" t="str">
            <v>9001-2211-DS-0010-01-WM</v>
          </cell>
          <cell r="C341">
            <v>84</v>
          </cell>
          <cell r="E341" t="str">
            <v>DV</v>
          </cell>
          <cell r="F341" t="str">
            <v>100%MT &amp; UT</v>
          </cell>
          <cell r="G341" t="str">
            <v>D</v>
          </cell>
          <cell r="H341">
            <v>4785.3600000000006</v>
          </cell>
          <cell r="I341">
            <v>30</v>
          </cell>
          <cell r="K341" t="str">
            <v>WPS-TNHA-S01</v>
          </cell>
          <cell r="L341" t="str">
            <v>ST-02</v>
          </cell>
          <cell r="M341" t="str">
            <v xml:space="preserve">HIẾU </v>
          </cell>
          <cell r="N341">
            <v>45925</v>
          </cell>
          <cell r="O341" t="str">
            <v>F-029</v>
          </cell>
          <cell r="P341" t="str">
            <v>15h 01/12/2025</v>
          </cell>
          <cell r="Q341" t="str">
            <v>BGT-0018;BGT-0012;GTC-10</v>
          </cell>
          <cell r="R341" t="str">
            <v>THÁI</v>
          </cell>
          <cell r="S341">
            <v>45995</v>
          </cell>
          <cell r="T341" t="str">
            <v>V-113</v>
          </cell>
          <cell r="U341">
            <v>45990</v>
          </cell>
          <cell r="V341" t="str">
            <v>BG-098</v>
          </cell>
          <cell r="Y341" t="str">
            <v>FINISH</v>
          </cell>
          <cell r="Z341" t="str">
            <v>ACC</v>
          </cell>
          <cell r="AA341" t="str">
            <v>ACC</v>
          </cell>
          <cell r="AB341" t="str">
            <v>MT-2211-ST-02-0028</v>
          </cell>
          <cell r="AC341" t="str">
            <v>ACC</v>
          </cell>
          <cell r="AD341" t="str">
            <v>UT-2211-ST-02-0031</v>
          </cell>
          <cell r="AJ341" t="str">
            <v>9/12/2025</v>
          </cell>
          <cell r="AK341" t="str">
            <v>FINAL V-124</v>
          </cell>
          <cell r="AL341" t="str">
            <v>XX/12/2025</v>
          </cell>
          <cell r="AM341" t="str">
            <v>IRN-2211-ST-02-0004</v>
          </cell>
          <cell r="AN341" t="str">
            <v>B</v>
          </cell>
          <cell r="AP341" t="str">
            <v>10/12/2025</v>
          </cell>
        </row>
        <row r="342">
          <cell r="A342" t="str">
            <v>9001-2211-DS-0010-01-WM85</v>
          </cell>
          <cell r="B342" t="str">
            <v>9001-2211-DS-0010-01-WM</v>
          </cell>
          <cell r="C342">
            <v>85</v>
          </cell>
          <cell r="E342" t="str">
            <v>SV</v>
          </cell>
          <cell r="F342" t="str">
            <v>100%MT &amp; UT</v>
          </cell>
          <cell r="G342" t="str">
            <v>D</v>
          </cell>
          <cell r="H342">
            <v>4785.3600000000006</v>
          </cell>
          <cell r="I342">
            <v>30</v>
          </cell>
          <cell r="K342" t="str">
            <v>WPS-TNHA-S06</v>
          </cell>
          <cell r="L342" t="str">
            <v>ST-02</v>
          </cell>
          <cell r="M342" t="str">
            <v>THÁI</v>
          </cell>
          <cell r="N342">
            <v>46005</v>
          </cell>
          <cell r="O342" t="str">
            <v>F-133</v>
          </cell>
          <cell r="P342" t="str">
            <v>15h 16/12/2025</v>
          </cell>
          <cell r="Q342" t="str">
            <v>BGT-0006;BGT-0013;BGT-0015</v>
          </cell>
          <cell r="R342" t="str">
            <v>THÁI</v>
          </cell>
          <cell r="S342">
            <v>46008</v>
          </cell>
          <cell r="T342" t="str">
            <v>V-144</v>
          </cell>
          <cell r="Y342" t="str">
            <v>FINISH</v>
          </cell>
          <cell r="Z342" t="str">
            <v>ACC</v>
          </cell>
          <cell r="AA342" t="str">
            <v>ACC</v>
          </cell>
          <cell r="AB342" t="str">
            <v>MT-2211-ST-02-0037</v>
          </cell>
          <cell r="AC342" t="str">
            <v>ACC</v>
          </cell>
          <cell r="AD342" t="str">
            <v>UT-2211-ST-02-0046</v>
          </cell>
          <cell r="AJ342" t="str">
            <v>XX/12/2025</v>
          </cell>
          <cell r="AK342" t="str">
            <v>FINAL-V-156</v>
          </cell>
          <cell r="AL342" t="str">
            <v>XX/12/2025</v>
          </cell>
          <cell r="AM342" t="str">
            <v>IRN-2211-ST-02-0004</v>
          </cell>
          <cell r="AN342" t="str">
            <v>B</v>
          </cell>
          <cell r="AP342" t="str">
            <v>23/12/2025</v>
          </cell>
        </row>
        <row r="343">
          <cell r="A343" t="str">
            <v>9001-2211-DS-0010-01-WM86</v>
          </cell>
          <cell r="B343" t="str">
            <v>9001-2211-DS-0010-01-WM</v>
          </cell>
          <cell r="C343">
            <v>86</v>
          </cell>
          <cell r="E343" t="str">
            <v>DV</v>
          </cell>
          <cell r="F343" t="str">
            <v>100%MT &amp; UT</v>
          </cell>
          <cell r="G343" t="str">
            <v>D</v>
          </cell>
          <cell r="H343">
            <v>4785.3600000000006</v>
          </cell>
          <cell r="I343">
            <v>30</v>
          </cell>
          <cell r="K343" t="str">
            <v>WPS-TNHA-S06</v>
          </cell>
          <cell r="L343" t="str">
            <v>ST-02</v>
          </cell>
          <cell r="M343" t="str">
            <v xml:space="preserve">HIẾU </v>
          </cell>
          <cell r="N343">
            <v>45911</v>
          </cell>
          <cell r="O343" t="str">
            <v>F-013</v>
          </cell>
          <cell r="P343" t="str">
            <v>4/11/2025</v>
          </cell>
          <cell r="Q343" t="str">
            <v>BGT-0013;BGT-0022;GTC-10</v>
          </cell>
          <cell r="R343" t="str">
            <v>THÁI</v>
          </cell>
          <cell r="S343">
            <v>45972</v>
          </cell>
          <cell r="T343" t="str">
            <v>V-067</v>
          </cell>
          <cell r="U343">
            <v>45965</v>
          </cell>
          <cell r="V343" t="str">
            <v>BG-071</v>
          </cell>
          <cell r="Y343" t="str">
            <v>FINISH</v>
          </cell>
          <cell r="Z343" t="str">
            <v>ACC</v>
          </cell>
          <cell r="AA343" t="str">
            <v>ACC</v>
          </cell>
          <cell r="AB343" t="str">
            <v>MT-2211-ST-02-0018</v>
          </cell>
          <cell r="AC343" t="str">
            <v>ACC</v>
          </cell>
          <cell r="AD343" t="str">
            <v>UT-2211-ST-02-0024</v>
          </cell>
          <cell r="AJ343" t="str">
            <v>XX/12/2025</v>
          </cell>
          <cell r="AK343" t="str">
            <v>FINAL-V-156</v>
          </cell>
          <cell r="AL343" t="str">
            <v>XX/12/2025</v>
          </cell>
          <cell r="AM343" t="str">
            <v>IRN-2211-ST-02-0004</v>
          </cell>
          <cell r="AN343" t="str">
            <v>B</v>
          </cell>
          <cell r="AP343" t="str">
            <v>19/11/2025</v>
          </cell>
        </row>
        <row r="344">
          <cell r="A344" t="str">
            <v>9001-2211-DS-0010-01-WM87</v>
          </cell>
          <cell r="B344" t="str">
            <v>9001-2211-DS-0010-01-WM</v>
          </cell>
          <cell r="C344">
            <v>87</v>
          </cell>
          <cell r="E344" t="str">
            <v>DV</v>
          </cell>
          <cell r="F344" t="str">
            <v>100%MT &amp; UT</v>
          </cell>
          <cell r="G344" t="str">
            <v>D</v>
          </cell>
          <cell r="H344">
            <v>4785.3600000000006</v>
          </cell>
          <cell r="I344">
            <v>30</v>
          </cell>
          <cell r="K344" t="str">
            <v>WPS-TNHA-S06</v>
          </cell>
          <cell r="L344" t="str">
            <v>ST-02</v>
          </cell>
          <cell r="M344" t="str">
            <v>THÁI</v>
          </cell>
          <cell r="N344">
            <v>45995</v>
          </cell>
          <cell r="O344" t="str">
            <v>F-112</v>
          </cell>
          <cell r="P344" t="str">
            <v>7/12/2025</v>
          </cell>
          <cell r="Q344" t="str">
            <v>BGT-0015;GTC-12;BGT0019</v>
          </cell>
          <cell r="R344" t="str">
            <v>THÁI</v>
          </cell>
          <cell r="S344">
            <v>46001</v>
          </cell>
          <cell r="T344" t="str">
            <v>V-126</v>
          </cell>
          <cell r="U344">
            <v>45997</v>
          </cell>
          <cell r="V344" t="str">
            <v>BG-107</v>
          </cell>
          <cell r="Y344" t="str">
            <v>FINISH</v>
          </cell>
          <cell r="Z344" t="str">
            <v>ACC</v>
          </cell>
          <cell r="AA344" t="str">
            <v>ACC</v>
          </cell>
          <cell r="AB344" t="str">
            <v>MT-2211-ST-02-0032</v>
          </cell>
          <cell r="AC344" t="str">
            <v>ACC</v>
          </cell>
          <cell r="AD344" t="str">
            <v>UT-2211-ST-02-0035</v>
          </cell>
          <cell r="AJ344" t="str">
            <v>XX/12/2025</v>
          </cell>
          <cell r="AK344" t="str">
            <v>FINAL-V-156</v>
          </cell>
          <cell r="AL344" t="str">
            <v>XX/12/2025</v>
          </cell>
          <cell r="AM344" t="str">
            <v>IRN-2211-ST-02-0004</v>
          </cell>
          <cell r="AN344" t="str">
            <v>B</v>
          </cell>
          <cell r="AP344" t="str">
            <v>16/12/2025</v>
          </cell>
        </row>
        <row r="345">
          <cell r="A345" t="str">
            <v>9001-2211-DS-0010-01-WM88</v>
          </cell>
          <cell r="B345" t="str">
            <v>9001-2211-DS-0010-01-WM</v>
          </cell>
          <cell r="C345">
            <v>88</v>
          </cell>
          <cell r="E345" t="str">
            <v>DV</v>
          </cell>
          <cell r="F345" t="str">
            <v>100%MT &amp; UT</v>
          </cell>
          <cell r="G345" t="str">
            <v>D</v>
          </cell>
          <cell r="H345">
            <v>5981.7</v>
          </cell>
          <cell r="I345" t="str">
            <v>30/65</v>
          </cell>
          <cell r="K345" t="str">
            <v>WPS-TNHA-S06</v>
          </cell>
          <cell r="L345" t="str">
            <v>ST-02</v>
          </cell>
          <cell r="M345" t="str">
            <v>THÁI</v>
          </cell>
          <cell r="N345">
            <v>45995</v>
          </cell>
          <cell r="O345" t="str">
            <v>F-112</v>
          </cell>
          <cell r="P345" t="str">
            <v>7/12/2025</v>
          </cell>
          <cell r="Q345" t="str">
            <v>BGT-0015;GTC-12;BGT0019</v>
          </cell>
          <cell r="R345" t="str">
            <v>THÁI</v>
          </cell>
          <cell r="S345">
            <v>46001</v>
          </cell>
          <cell r="T345" t="str">
            <v>V-126</v>
          </cell>
          <cell r="U345">
            <v>45997</v>
          </cell>
          <cell r="V345" t="str">
            <v>BG-107</v>
          </cell>
          <cell r="Y345" t="str">
            <v>FINISH</v>
          </cell>
          <cell r="Z345" t="str">
            <v>ACC</v>
          </cell>
          <cell r="AA345" t="str">
            <v>ACC</v>
          </cell>
          <cell r="AB345" t="str">
            <v>MT-2211-ST-02-0032</v>
          </cell>
          <cell r="AC345" t="str">
            <v>ACC</v>
          </cell>
          <cell r="AD345" t="str">
            <v>UT-2211-ST-02-0035</v>
          </cell>
          <cell r="AJ345" t="str">
            <v>XX/12/2025</v>
          </cell>
          <cell r="AK345" t="str">
            <v>FINAL-V-156</v>
          </cell>
          <cell r="AL345" t="str">
            <v>XX/12/2025</v>
          </cell>
          <cell r="AM345" t="str">
            <v>IRN-2211-ST-02-0004</v>
          </cell>
          <cell r="AN345" t="str">
            <v>B</v>
          </cell>
          <cell r="AP345" t="str">
            <v>16/12/2025</v>
          </cell>
        </row>
        <row r="346">
          <cell r="A346" t="str">
            <v>9001-2211-DS-0010-01-WM89</v>
          </cell>
          <cell r="B346" t="str">
            <v>9001-2211-DS-0010-01-WM</v>
          </cell>
          <cell r="C346">
            <v>89</v>
          </cell>
          <cell r="E346" t="str">
            <v>DV</v>
          </cell>
          <cell r="F346" t="str">
            <v>100%MT &amp; UT</v>
          </cell>
          <cell r="G346" t="str">
            <v>D</v>
          </cell>
          <cell r="H346">
            <v>5981.7</v>
          </cell>
          <cell r="I346">
            <v>65</v>
          </cell>
          <cell r="K346" t="str">
            <v>WPS-TNHA-S03</v>
          </cell>
          <cell r="L346" t="str">
            <v>ST-02</v>
          </cell>
          <cell r="M346" t="str">
            <v>TUÂN</v>
          </cell>
          <cell r="N346">
            <v>45917</v>
          </cell>
          <cell r="O346" t="str">
            <v>F-021</v>
          </cell>
          <cell r="P346" t="str">
            <v>19h 05/10/2025</v>
          </cell>
          <cell r="Q346" t="str">
            <v>BGT-0018;BGT-0022;GTC-10</v>
          </cell>
          <cell r="R346" t="str">
            <v>HIẾU</v>
          </cell>
          <cell r="S346">
            <v>45945</v>
          </cell>
          <cell r="T346" t="str">
            <v>V-031</v>
          </cell>
          <cell r="U346">
            <v>45936</v>
          </cell>
          <cell r="V346" t="str">
            <v>BG-033</v>
          </cell>
          <cell r="Y346" t="str">
            <v>FINISH</v>
          </cell>
          <cell r="Z346" t="str">
            <v>ACC</v>
          </cell>
          <cell r="AA346" t="str">
            <v>ACC</v>
          </cell>
          <cell r="AB346" t="str">
            <v>MT-2211-ST-02-0004</v>
          </cell>
          <cell r="AC346" t="str">
            <v>ACC</v>
          </cell>
          <cell r="AD346" t="str">
            <v>UT-2211-ST-02-0005</v>
          </cell>
          <cell r="AJ346" t="str">
            <v>XX/12/2025</v>
          </cell>
          <cell r="AK346" t="str">
            <v>FINAL-V-156</v>
          </cell>
          <cell r="AL346" t="str">
            <v>XX/12/2025</v>
          </cell>
          <cell r="AM346" t="str">
            <v>IRN-2211-ST-02-0004</v>
          </cell>
          <cell r="AN346" t="str">
            <v>B</v>
          </cell>
          <cell r="AP346" t="str">
            <v>22/10/2025</v>
          </cell>
        </row>
        <row r="347">
          <cell r="A347" t="str">
            <v>9001-2211-DS-0010-01-WM90</v>
          </cell>
          <cell r="B347" t="str">
            <v>9001-2211-DS-0010-01-WM</v>
          </cell>
          <cell r="C347">
            <v>90</v>
          </cell>
          <cell r="E347" t="str">
            <v>DV</v>
          </cell>
          <cell r="F347" t="str">
            <v>100%MT &amp; UT</v>
          </cell>
          <cell r="G347" t="str">
            <v>D</v>
          </cell>
          <cell r="H347">
            <v>5981.7</v>
          </cell>
          <cell r="I347">
            <v>65</v>
          </cell>
          <cell r="K347" t="str">
            <v>WPS-TNHA-S03</v>
          </cell>
          <cell r="L347" t="str">
            <v>ST-02</v>
          </cell>
          <cell r="M347" t="str">
            <v>TUÂN</v>
          </cell>
          <cell r="N347">
            <v>45917</v>
          </cell>
          <cell r="O347" t="str">
            <v>F-021</v>
          </cell>
          <cell r="P347" t="str">
            <v>19h 05/10/2025</v>
          </cell>
          <cell r="Q347" t="str">
            <v>BGT-0022;BGT-0013;GTC-10</v>
          </cell>
          <cell r="R347" t="str">
            <v>HIẾU</v>
          </cell>
          <cell r="S347">
            <v>45945</v>
          </cell>
          <cell r="T347" t="str">
            <v>V-031</v>
          </cell>
          <cell r="U347">
            <v>45934</v>
          </cell>
          <cell r="V347" t="str">
            <v>BG-032</v>
          </cell>
          <cell r="Y347" t="str">
            <v>FINISH</v>
          </cell>
          <cell r="Z347" t="str">
            <v>ACC</v>
          </cell>
          <cell r="AA347" t="str">
            <v>ACC</v>
          </cell>
          <cell r="AB347" t="str">
            <v>MT-2211-ST-02-0004</v>
          </cell>
          <cell r="AC347" t="str">
            <v>ACC</v>
          </cell>
          <cell r="AD347" t="str">
            <v>UT-2211-ST-02-0005</v>
          </cell>
          <cell r="AJ347" t="str">
            <v>XX/12/2025</v>
          </cell>
          <cell r="AK347" t="str">
            <v>FINAL-V-156</v>
          </cell>
          <cell r="AL347" t="str">
            <v>XX/12/2025</v>
          </cell>
          <cell r="AM347" t="str">
            <v>IRN-2211-ST-02-0004</v>
          </cell>
          <cell r="AN347" t="str">
            <v>B</v>
          </cell>
          <cell r="AP347" t="str">
            <v>22/10/2025</v>
          </cell>
        </row>
        <row r="348">
          <cell r="A348" t="str">
            <v>9001-2211-DS-0010-01-WM91</v>
          </cell>
          <cell r="B348" t="str">
            <v>9001-2211-DS-0010-01-WM</v>
          </cell>
          <cell r="C348">
            <v>91</v>
          </cell>
          <cell r="E348" t="str">
            <v>DV</v>
          </cell>
          <cell r="F348" t="str">
            <v>100%MT &amp; UT</v>
          </cell>
          <cell r="G348" t="str">
            <v>D</v>
          </cell>
          <cell r="H348">
            <v>5981.7</v>
          </cell>
          <cell r="I348">
            <v>65</v>
          </cell>
          <cell r="K348" t="str">
            <v>WPS-TNHA-S03</v>
          </cell>
          <cell r="L348" t="str">
            <v>ST-02</v>
          </cell>
          <cell r="M348" t="str">
            <v>TUÂN</v>
          </cell>
          <cell r="N348">
            <v>45917</v>
          </cell>
          <cell r="O348" t="str">
            <v>F-021</v>
          </cell>
          <cell r="P348" t="str">
            <v>19h 05/10/2025</v>
          </cell>
          <cell r="Q348" t="str">
            <v>BGT-0013;BGT-0014;ND08</v>
          </cell>
          <cell r="R348" t="str">
            <v>HIẾU</v>
          </cell>
          <cell r="S348">
            <v>45945</v>
          </cell>
          <cell r="T348" t="str">
            <v>V-031</v>
          </cell>
          <cell r="U348">
            <v>45934</v>
          </cell>
          <cell r="V348" t="str">
            <v>BG-031</v>
          </cell>
          <cell r="Y348" t="str">
            <v>FINISH</v>
          </cell>
          <cell r="Z348" t="str">
            <v>ACC</v>
          </cell>
          <cell r="AA348" t="str">
            <v>ACC</v>
          </cell>
          <cell r="AB348" t="str">
            <v>MT-2211-ST-02-0004</v>
          </cell>
          <cell r="AC348" t="str">
            <v>ACC</v>
          </cell>
          <cell r="AD348" t="str">
            <v>UT-2211-ST-02-0005</v>
          </cell>
          <cell r="AJ348" t="str">
            <v>XX/12/2025</v>
          </cell>
          <cell r="AK348" t="str">
            <v>FINAL-V-156</v>
          </cell>
          <cell r="AL348" t="str">
            <v>XX/12/2025</v>
          </cell>
          <cell r="AM348" t="str">
            <v>IRN-2211-ST-02-0004</v>
          </cell>
          <cell r="AN348" t="str">
            <v>B</v>
          </cell>
          <cell r="AP348" t="str">
            <v>22/10/2025</v>
          </cell>
        </row>
        <row r="349">
          <cell r="A349" t="str">
            <v>9001-2211-DS-0010-01-WM92</v>
          </cell>
          <cell r="B349" t="str">
            <v>9001-2211-DS-0010-01-WM</v>
          </cell>
          <cell r="C349">
            <v>92</v>
          </cell>
          <cell r="E349" t="str">
            <v>DV</v>
          </cell>
          <cell r="F349" t="str">
            <v>100%MT &amp; UT</v>
          </cell>
          <cell r="G349" t="str">
            <v>D</v>
          </cell>
          <cell r="H349">
            <v>5981.7</v>
          </cell>
          <cell r="I349" t="str">
            <v>35/65</v>
          </cell>
          <cell r="K349" t="str">
            <v>WPS-TNHA-S01</v>
          </cell>
          <cell r="L349" t="str">
            <v>ST-02</v>
          </cell>
          <cell r="M349" t="str">
            <v xml:space="preserve">HIẾU </v>
          </cell>
          <cell r="N349">
            <v>45946</v>
          </cell>
          <cell r="O349" t="str">
            <v>F-049</v>
          </cell>
          <cell r="P349" t="str">
            <v>15/11/2025</v>
          </cell>
          <cell r="Q349" t="str">
            <v>BGT-0032;ND-01;GTC-10</v>
          </cell>
          <cell r="R349" t="str">
            <v>THÁI</v>
          </cell>
          <cell r="S349">
            <v>46004</v>
          </cell>
          <cell r="T349" t="str">
            <v>V-135</v>
          </cell>
          <cell r="U349">
            <v>45976</v>
          </cell>
          <cell r="V349" t="str">
            <v>BG-083</v>
          </cell>
          <cell r="Y349" t="str">
            <v>FINISH</v>
          </cell>
          <cell r="Z349" t="str">
            <v>ACC</v>
          </cell>
          <cell r="AA349" t="str">
            <v>ACC</v>
          </cell>
          <cell r="AB349" t="str">
            <v>MT-2211-ST-02-0034</v>
          </cell>
          <cell r="AC349" t="str">
            <v>ACC</v>
          </cell>
          <cell r="AD349" t="str">
            <v>UT-2211-ST-02-0037</v>
          </cell>
          <cell r="AJ349" t="str">
            <v>XX/12/2025</v>
          </cell>
          <cell r="AK349" t="str">
            <v>FINAL-V-156</v>
          </cell>
          <cell r="AL349" t="str">
            <v>XX/12/2025</v>
          </cell>
          <cell r="AM349" t="str">
            <v>IRN-2211-ST-02-0004</v>
          </cell>
          <cell r="AN349" t="str">
            <v>B</v>
          </cell>
          <cell r="AP349" t="str">
            <v>16/12/2025</v>
          </cell>
        </row>
        <row r="350">
          <cell r="A350" t="str">
            <v>9001-2211-DS-0010-01-WM93</v>
          </cell>
          <cell r="B350" t="str">
            <v>9001-2211-DS-0010-01-WM</v>
          </cell>
          <cell r="C350">
            <v>93</v>
          </cell>
          <cell r="E350" t="str">
            <v>DV</v>
          </cell>
          <cell r="F350" t="str">
            <v>100%MT &amp; UT</v>
          </cell>
          <cell r="G350" t="str">
            <v>D</v>
          </cell>
          <cell r="H350">
            <v>5981.7</v>
          </cell>
          <cell r="I350">
            <v>35</v>
          </cell>
          <cell r="K350" t="str">
            <v>WPS-TNHA-S01</v>
          </cell>
          <cell r="L350" t="str">
            <v>ST-02</v>
          </cell>
          <cell r="M350" t="str">
            <v xml:space="preserve">HIẾU </v>
          </cell>
          <cell r="N350">
            <v>45922</v>
          </cell>
          <cell r="O350" t="str">
            <v>F-028</v>
          </cell>
          <cell r="P350" t="str">
            <v>14h 4/10/2025</v>
          </cell>
          <cell r="Q350" t="str">
            <v>BGT-0018;BGT-0022;GTC-10</v>
          </cell>
          <cell r="R350" t="str">
            <v>HIẾU</v>
          </cell>
          <cell r="S350">
            <v>45938</v>
          </cell>
          <cell r="T350" t="str">
            <v>V-026</v>
          </cell>
          <cell r="U350">
            <v>45932</v>
          </cell>
          <cell r="V350" t="str">
            <v>BG-029</v>
          </cell>
          <cell r="Y350" t="str">
            <v>REJ</v>
          </cell>
          <cell r="Z350" t="str">
            <v>REJ</v>
          </cell>
          <cell r="AA350" t="str">
            <v>ACC</v>
          </cell>
          <cell r="AB350" t="str">
            <v>MT-2211-ST-02-0001</v>
          </cell>
          <cell r="AC350" t="str">
            <v>REJ</v>
          </cell>
          <cell r="AD350" t="str">
            <v>UT-2211-ST-02-0001</v>
          </cell>
          <cell r="AH350">
            <v>20</v>
          </cell>
          <cell r="AJ350" t="str">
            <v>XX/12/2025</v>
          </cell>
          <cell r="AK350" t="str">
            <v>FINAL-V-156</v>
          </cell>
          <cell r="AL350" t="str">
            <v>XX/12/2025</v>
          </cell>
          <cell r="AM350" t="str">
            <v>IRN-2211-ST-02-0004</v>
          </cell>
          <cell r="AN350" t="str">
            <v>B</v>
          </cell>
          <cell r="AP350" t="str">
            <v>14/10/2025</v>
          </cell>
        </row>
        <row r="351">
          <cell r="A351" t="str">
            <v>9001-2211-DS-0010-01-WM93R1</v>
          </cell>
          <cell r="B351" t="str">
            <v>9001-2211-DS-0010-01-WM</v>
          </cell>
          <cell r="C351" t="str">
            <v>93R1</v>
          </cell>
          <cell r="E351" t="str">
            <v>DV</v>
          </cell>
          <cell r="F351" t="str">
            <v>100%MT &amp; UT</v>
          </cell>
          <cell r="G351" t="str">
            <v>L</v>
          </cell>
          <cell r="H351">
            <v>260</v>
          </cell>
          <cell r="I351">
            <v>35</v>
          </cell>
          <cell r="K351" t="str">
            <v>WPS-TNHA-S02</v>
          </cell>
          <cell r="L351" t="str">
            <v>ST-02</v>
          </cell>
          <cell r="M351" t="str">
            <v>NA</v>
          </cell>
          <cell r="N351" t="str">
            <v>NA</v>
          </cell>
          <cell r="O351" t="str">
            <v>NA</v>
          </cell>
          <cell r="P351" t="str">
            <v>18/10/2025</v>
          </cell>
          <cell r="Q351" t="str">
            <v>BGT-0032</v>
          </cell>
          <cell r="R351" t="str">
            <v>HIẾU</v>
          </cell>
          <cell r="S351">
            <v>45952</v>
          </cell>
          <cell r="T351" t="str">
            <v>V-039</v>
          </cell>
          <cell r="U351">
            <v>45948</v>
          </cell>
          <cell r="V351" t="str">
            <v>BG-047</v>
          </cell>
          <cell r="Y351" t="str">
            <v>FINISH</v>
          </cell>
          <cell r="Z351" t="str">
            <v>ACC</v>
          </cell>
          <cell r="AA351" t="str">
            <v>ACC</v>
          </cell>
          <cell r="AB351" t="str">
            <v>MT-2211-ST-02-0001R1</v>
          </cell>
          <cell r="AC351" t="str">
            <v>ACC</v>
          </cell>
          <cell r="AD351" t="str">
            <v>UT-2211-ST-02-0001R1</v>
          </cell>
          <cell r="AI351">
            <v>60</v>
          </cell>
          <cell r="AJ351" t="str">
            <v>XX/12/2025</v>
          </cell>
          <cell r="AK351" t="str">
            <v>FINAL-V-156</v>
          </cell>
          <cell r="AL351" t="str">
            <v>XX/12/2025</v>
          </cell>
          <cell r="AM351" t="str">
            <v>IRN-2211-ST-02-0004</v>
          </cell>
          <cell r="AN351" t="str">
            <v>B</v>
          </cell>
          <cell r="AP351" t="str">
            <v>29/10/2025</v>
          </cell>
        </row>
        <row r="352">
          <cell r="A352" t="str">
            <v>9001-2211-DS-0010-01-WM94</v>
          </cell>
          <cell r="B352" t="str">
            <v>9001-2211-DS-0010-01-WM</v>
          </cell>
          <cell r="C352">
            <v>94</v>
          </cell>
          <cell r="E352" t="str">
            <v>DV</v>
          </cell>
          <cell r="F352" t="str">
            <v>100%MT &amp; UT</v>
          </cell>
          <cell r="G352" t="str">
            <v>D</v>
          </cell>
          <cell r="H352">
            <v>5981.7</v>
          </cell>
          <cell r="I352">
            <v>35</v>
          </cell>
          <cell r="K352" t="str">
            <v>WPS-TNHA-S01</v>
          </cell>
          <cell r="L352" t="str">
            <v>ST-02</v>
          </cell>
          <cell r="M352" t="str">
            <v xml:space="preserve">HIẾU </v>
          </cell>
          <cell r="N352">
            <v>45922</v>
          </cell>
          <cell r="O352" t="str">
            <v>F-028</v>
          </cell>
          <cell r="P352" t="str">
            <v>14h 4/10/2025</v>
          </cell>
          <cell r="Q352" t="str">
            <v>BGT-0018;BGT-0022;GTC-10</v>
          </cell>
          <cell r="R352" t="str">
            <v>HIẾU</v>
          </cell>
          <cell r="S352">
            <v>45938</v>
          </cell>
          <cell r="T352" t="str">
            <v>V-026</v>
          </cell>
          <cell r="U352">
            <v>45932</v>
          </cell>
          <cell r="V352" t="str">
            <v>BG-029</v>
          </cell>
          <cell r="Y352" t="str">
            <v>FINISH</v>
          </cell>
          <cell r="Z352" t="str">
            <v>ACC</v>
          </cell>
          <cell r="AA352" t="str">
            <v>ACC</v>
          </cell>
          <cell r="AB352" t="str">
            <v>MT-2211-ST-02-0001</v>
          </cell>
          <cell r="AC352" t="str">
            <v>ACC</v>
          </cell>
          <cell r="AD352" t="str">
            <v>UT-2211-ST-02-0002</v>
          </cell>
          <cell r="AJ352" t="str">
            <v>XX/12/2025</v>
          </cell>
          <cell r="AK352" t="str">
            <v>FINAL-V-156</v>
          </cell>
          <cell r="AL352" t="str">
            <v>XX/12/2025</v>
          </cell>
          <cell r="AM352" t="str">
            <v>IRN-2211-ST-02-0004</v>
          </cell>
          <cell r="AN352" t="str">
            <v>B</v>
          </cell>
          <cell r="AP352" t="str">
            <v>14/10/2025</v>
          </cell>
        </row>
        <row r="353">
          <cell r="A353" t="str">
            <v>9001-2211-DS-0010-01-WM95</v>
          </cell>
          <cell r="B353" t="str">
            <v>9001-2211-DS-0010-01-WM</v>
          </cell>
          <cell r="C353">
            <v>95</v>
          </cell>
          <cell r="E353" t="str">
            <v>DV</v>
          </cell>
          <cell r="F353" t="str">
            <v>100%MT &amp; UT</v>
          </cell>
          <cell r="G353" t="str">
            <v>D</v>
          </cell>
          <cell r="H353">
            <v>5981.7</v>
          </cell>
          <cell r="I353">
            <v>35</v>
          </cell>
          <cell r="K353" t="str">
            <v>WPS-TNHA-S01</v>
          </cell>
          <cell r="L353" t="str">
            <v>ST-02</v>
          </cell>
          <cell r="M353" t="str">
            <v xml:space="preserve">HIẾU </v>
          </cell>
          <cell r="N353">
            <v>45922</v>
          </cell>
          <cell r="O353" t="str">
            <v>F-028</v>
          </cell>
          <cell r="P353" t="str">
            <v>14h 4/10/2025</v>
          </cell>
          <cell r="Q353" t="str">
            <v>BGT-0018;BGT-0022;GTC-10</v>
          </cell>
          <cell r="R353" t="str">
            <v>HIẾU</v>
          </cell>
          <cell r="S353">
            <v>45938</v>
          </cell>
          <cell r="T353" t="str">
            <v>V-026</v>
          </cell>
          <cell r="U353">
            <v>45932</v>
          </cell>
          <cell r="V353" t="str">
            <v>BG-029</v>
          </cell>
          <cell r="Y353" t="str">
            <v>FINISH</v>
          </cell>
          <cell r="Z353" t="str">
            <v>ACC</v>
          </cell>
          <cell r="AA353" t="str">
            <v>ACC</v>
          </cell>
          <cell r="AB353" t="str">
            <v>MT-2211-ST-02-0001</v>
          </cell>
          <cell r="AC353" t="str">
            <v>ACC</v>
          </cell>
          <cell r="AD353" t="str">
            <v>UT-2211-ST-02-0002</v>
          </cell>
          <cell r="AJ353" t="str">
            <v>XX/12/2025</v>
          </cell>
          <cell r="AK353" t="str">
            <v>FINAL-V-156</v>
          </cell>
          <cell r="AL353" t="str">
            <v>XX/12/2025</v>
          </cell>
          <cell r="AM353" t="str">
            <v>IRN-2211-ST-02-0004</v>
          </cell>
          <cell r="AN353" t="str">
            <v>B</v>
          </cell>
          <cell r="AP353" t="str">
            <v>14/10/2025</v>
          </cell>
        </row>
        <row r="354">
          <cell r="A354" t="str">
            <v>9001-2211-DS-0010-01-WM96</v>
          </cell>
          <cell r="B354" t="str">
            <v>9001-2211-DS-0010-01-WM</v>
          </cell>
          <cell r="C354">
            <v>96</v>
          </cell>
          <cell r="E354" t="str">
            <v>DV</v>
          </cell>
          <cell r="F354" t="str">
            <v>100%MT &amp; UT</v>
          </cell>
          <cell r="G354" t="str">
            <v>D</v>
          </cell>
          <cell r="H354">
            <v>5981.7</v>
          </cell>
          <cell r="I354" t="str">
            <v>35/65</v>
          </cell>
          <cell r="K354" t="str">
            <v>WPS-TNHA-S01</v>
          </cell>
          <cell r="L354" t="str">
            <v>ST-02</v>
          </cell>
          <cell r="M354" t="str">
            <v xml:space="preserve">HIẾU </v>
          </cell>
          <cell r="N354">
            <v>45946</v>
          </cell>
          <cell r="O354" t="str">
            <v>F-049</v>
          </cell>
          <cell r="P354" t="str">
            <v>15/11/2025</v>
          </cell>
          <cell r="Q354" t="str">
            <v>BGT-0032;ND-01;ND08</v>
          </cell>
          <cell r="R354" t="str">
            <v>THÁI</v>
          </cell>
          <cell r="S354">
            <v>46004</v>
          </cell>
          <cell r="T354" t="str">
            <v>V-135</v>
          </cell>
          <cell r="U354">
            <v>45977</v>
          </cell>
          <cell r="V354" t="str">
            <v>BG-084</v>
          </cell>
          <cell r="Y354" t="str">
            <v>FINISH</v>
          </cell>
          <cell r="Z354" t="str">
            <v>ACC</v>
          </cell>
          <cell r="AA354" t="str">
            <v>ACC</v>
          </cell>
          <cell r="AB354" t="str">
            <v>MT-2211-ST-02-0034</v>
          </cell>
          <cell r="AC354" t="str">
            <v>ACC</v>
          </cell>
          <cell r="AD354" t="str">
            <v>UT-2211-ST-02-0037</v>
          </cell>
          <cell r="AJ354" t="str">
            <v>XX/12/2025</v>
          </cell>
          <cell r="AK354" t="str">
            <v>FINAL-V-156</v>
          </cell>
          <cell r="AL354" t="str">
            <v>XX/12/2025</v>
          </cell>
          <cell r="AM354" t="str">
            <v>IRN-2211-ST-02-0004</v>
          </cell>
          <cell r="AN354" t="str">
            <v>B</v>
          </cell>
          <cell r="AP354" t="str">
            <v>16/12/2025</v>
          </cell>
        </row>
        <row r="355">
          <cell r="A355" t="str">
            <v>9001-2211-DS-0010-01-WM97</v>
          </cell>
          <cell r="B355" t="str">
            <v>9001-2211-DS-0010-01-WM</v>
          </cell>
          <cell r="C355">
            <v>97</v>
          </cell>
          <cell r="E355" t="str">
            <v>DV</v>
          </cell>
          <cell r="F355" t="str">
            <v>100%MT &amp; UT</v>
          </cell>
          <cell r="G355" t="str">
            <v>D</v>
          </cell>
          <cell r="H355">
            <v>5981.7</v>
          </cell>
          <cell r="I355">
            <v>65</v>
          </cell>
          <cell r="K355" t="str">
            <v>WPS-TNHA-S03</v>
          </cell>
          <cell r="L355" t="str">
            <v>ST-02</v>
          </cell>
          <cell r="M355" t="str">
            <v xml:space="preserve">HIẾU </v>
          </cell>
          <cell r="N355">
            <v>45921</v>
          </cell>
          <cell r="O355" t="str">
            <v>F-027</v>
          </cell>
          <cell r="P355" t="str">
            <v>15/11/2025</v>
          </cell>
          <cell r="Q355" t="str">
            <v>BGT-0015;BGT-0016;GTC-10</v>
          </cell>
          <cell r="R355" t="str">
            <v>THÁI</v>
          </cell>
          <cell r="S355">
            <v>45986</v>
          </cell>
          <cell r="T355" t="str">
            <v>V-091</v>
          </cell>
          <cell r="U355">
            <v>45976</v>
          </cell>
          <cell r="V355" t="str">
            <v>BG-082</v>
          </cell>
          <cell r="Y355" t="str">
            <v>FINISH</v>
          </cell>
          <cell r="Z355" t="str">
            <v>ACC</v>
          </cell>
          <cell r="AA355" t="str">
            <v>ACC</v>
          </cell>
          <cell r="AB355" t="str">
            <v>MT-2211-ST-02-0022</v>
          </cell>
          <cell r="AC355" t="str">
            <v>ACC</v>
          </cell>
          <cell r="AD355" t="str">
            <v>UT-2211-ST-02-0028</v>
          </cell>
          <cell r="AJ355" t="str">
            <v>XX/12/2025</v>
          </cell>
          <cell r="AK355" t="str">
            <v>FINAL-V-156</v>
          </cell>
          <cell r="AL355" t="str">
            <v>XX/12/2025</v>
          </cell>
          <cell r="AM355" t="str">
            <v>IRN-2211-ST-02-0004</v>
          </cell>
          <cell r="AN355" t="str">
            <v>B</v>
          </cell>
          <cell r="AP355" t="str">
            <v>26/11/2025</v>
          </cell>
        </row>
        <row r="356">
          <cell r="A356" t="str">
            <v>9001-2211-DS-0010-01-WM98</v>
          </cell>
          <cell r="B356" t="str">
            <v>9001-2211-DS-0010-01-WM</v>
          </cell>
          <cell r="C356">
            <v>98</v>
          </cell>
          <cell r="E356" t="str">
            <v>DV</v>
          </cell>
          <cell r="F356" t="str">
            <v>100%MT &amp; UT</v>
          </cell>
          <cell r="G356" t="str">
            <v>L</v>
          </cell>
          <cell r="H356">
            <v>3000</v>
          </cell>
          <cell r="I356">
            <v>30</v>
          </cell>
          <cell r="K356" t="str">
            <v>WPS-TNHA-S06</v>
          </cell>
          <cell r="L356" t="str">
            <v>ST-02</v>
          </cell>
          <cell r="M356" t="str">
            <v>THÁI</v>
          </cell>
          <cell r="N356">
            <v>45982</v>
          </cell>
          <cell r="O356" t="str">
            <v>F-095</v>
          </cell>
          <cell r="P356" t="str">
            <v>26/11/2025</v>
          </cell>
          <cell r="Q356" t="str">
            <v>BGT-0005;BGT-0015;BGT-0013</v>
          </cell>
          <cell r="R356" t="str">
            <v>THÁI</v>
          </cell>
          <cell r="S356">
            <v>45989</v>
          </cell>
          <cell r="T356" t="str">
            <v>V-099</v>
          </cell>
          <cell r="U356" t="str">
            <v>24/11/2025</v>
          </cell>
          <cell r="V356" t="str">
            <v>BG-092</v>
          </cell>
          <cell r="Y356" t="str">
            <v>REJ</v>
          </cell>
          <cell r="Z356" t="str">
            <v>REJ</v>
          </cell>
          <cell r="AA356" t="str">
            <v>ACC</v>
          </cell>
          <cell r="AB356" t="str">
            <v>MT-2211-ST-02-0025</v>
          </cell>
          <cell r="AC356" t="str">
            <v>REJ</v>
          </cell>
          <cell r="AD356" t="str">
            <v>UT-2211-ST-02-0029</v>
          </cell>
          <cell r="AH356">
            <v>75</v>
          </cell>
          <cell r="AJ356" t="str">
            <v>XX/12/2025</v>
          </cell>
          <cell r="AK356" t="str">
            <v>FINAL-V-156</v>
          </cell>
          <cell r="AL356" t="str">
            <v>XX/12/2025</v>
          </cell>
          <cell r="AM356" t="str">
            <v>IRN-2211-ST-02-0004</v>
          </cell>
          <cell r="AN356" t="str">
            <v>B</v>
          </cell>
          <cell r="AP356" t="str">
            <v>2/12/2025</v>
          </cell>
        </row>
        <row r="357">
          <cell r="A357" t="str">
            <v>9001-2211-DS-0010-01-WM98R1</v>
          </cell>
          <cell r="B357" t="str">
            <v>9001-2211-DS-0010-01-WM</v>
          </cell>
          <cell r="C357" t="str">
            <v>98R1</v>
          </cell>
          <cell r="E357" t="str">
            <v>DV</v>
          </cell>
          <cell r="F357" t="str">
            <v>100%MT &amp; UT</v>
          </cell>
          <cell r="G357" t="str">
            <v>L</v>
          </cell>
          <cell r="H357">
            <v>375</v>
          </cell>
          <cell r="I357">
            <v>30</v>
          </cell>
          <cell r="K357" t="str">
            <v>WPS-TNHA-S06</v>
          </cell>
          <cell r="L357" t="str">
            <v>ST-02</v>
          </cell>
          <cell r="M357" t="str">
            <v>NA</v>
          </cell>
          <cell r="N357" t="str">
            <v>NA</v>
          </cell>
          <cell r="O357" t="str">
            <v>NA</v>
          </cell>
          <cell r="P357" t="str">
            <v>29/11/2025</v>
          </cell>
          <cell r="Q357" t="str">
            <v>GTC-07</v>
          </cell>
          <cell r="R357" t="str">
            <v>THÁI</v>
          </cell>
          <cell r="S357">
            <v>45993</v>
          </cell>
          <cell r="T357" t="str">
            <v>V-107</v>
          </cell>
          <cell r="U357">
            <v>45990</v>
          </cell>
          <cell r="V357" t="str">
            <v>BG-099</v>
          </cell>
          <cell r="Y357" t="str">
            <v>FINISH</v>
          </cell>
          <cell r="Z357" t="str">
            <v>ACC</v>
          </cell>
          <cell r="AA357" t="str">
            <v>ACC</v>
          </cell>
          <cell r="AB357" t="str">
            <v>MT-2211-ST-02-0025R1</v>
          </cell>
          <cell r="AC357" t="str">
            <v>ACC</v>
          </cell>
          <cell r="AD357" t="str">
            <v>UT-2211-ST-02-0029R1</v>
          </cell>
          <cell r="AI357">
            <v>175</v>
          </cell>
          <cell r="AJ357" t="str">
            <v>XX/12/2025</v>
          </cell>
          <cell r="AK357" t="str">
            <v>FINAL-V-156</v>
          </cell>
          <cell r="AL357" t="str">
            <v>XX/12/2025</v>
          </cell>
          <cell r="AM357" t="str">
            <v>IRN-2211-ST-02-0004</v>
          </cell>
          <cell r="AN357" t="str">
            <v>B</v>
          </cell>
          <cell r="AP357" t="str">
            <v>10/12/2025</v>
          </cell>
        </row>
        <row r="358">
          <cell r="A358" t="str">
            <v>9001-2211-DS-0010-01-WM99</v>
          </cell>
          <cell r="B358" t="str">
            <v>9001-2211-DS-0010-01-WM</v>
          </cell>
          <cell r="C358">
            <v>99</v>
          </cell>
          <cell r="E358" t="str">
            <v>DV</v>
          </cell>
          <cell r="F358" t="str">
            <v>100%MT &amp; UT</v>
          </cell>
          <cell r="G358" t="str">
            <v>L</v>
          </cell>
          <cell r="H358">
            <v>3000</v>
          </cell>
          <cell r="I358">
            <v>30</v>
          </cell>
          <cell r="K358" t="str">
            <v>WPS-TNHA-S06</v>
          </cell>
          <cell r="L358" t="str">
            <v>ST-02</v>
          </cell>
          <cell r="M358" t="str">
            <v>THÁI</v>
          </cell>
          <cell r="N358">
            <v>45982</v>
          </cell>
          <cell r="O358" t="str">
            <v>F-095</v>
          </cell>
          <cell r="P358" t="str">
            <v>26/11/2025</v>
          </cell>
          <cell r="Q358" t="str">
            <v>BGT-0005;BGT-0015;BGT-0013</v>
          </cell>
          <cell r="R358" t="str">
            <v>THÁI</v>
          </cell>
          <cell r="S358">
            <v>45989</v>
          </cell>
          <cell r="T358" t="str">
            <v>V-099</v>
          </cell>
          <cell r="U358" t="str">
            <v>24/11/2025</v>
          </cell>
          <cell r="V358" t="str">
            <v>BG-092</v>
          </cell>
          <cell r="Y358" t="str">
            <v>FINISH</v>
          </cell>
          <cell r="Z358" t="str">
            <v>ACC</v>
          </cell>
          <cell r="AA358" t="str">
            <v>ACC</v>
          </cell>
          <cell r="AB358" t="str">
            <v>MT-2211-ST-02-0025</v>
          </cell>
          <cell r="AC358" t="str">
            <v>ACC</v>
          </cell>
          <cell r="AD358" t="str">
            <v>UT-2211-ST-02-0030</v>
          </cell>
          <cell r="AJ358" t="str">
            <v>XX/12/2025</v>
          </cell>
          <cell r="AK358" t="str">
            <v>FINAL-V-155</v>
          </cell>
          <cell r="AL358" t="str">
            <v>xx/12/2025</v>
          </cell>
          <cell r="AM358" t="str">
            <v>IRN-2211-ST-02-0003</v>
          </cell>
          <cell r="AN358" t="str">
            <v>a</v>
          </cell>
          <cell r="AP358" t="str">
            <v>2/12/2025</v>
          </cell>
        </row>
        <row r="359">
          <cell r="A359" t="str">
            <v>9001-2211-DS-0010-01-WM100</v>
          </cell>
          <cell r="B359" t="str">
            <v>9001-2211-DS-0010-01-WM</v>
          </cell>
          <cell r="C359">
            <v>100</v>
          </cell>
          <cell r="E359" t="str">
            <v>DV</v>
          </cell>
          <cell r="F359" t="str">
            <v>100%MT &amp; UT</v>
          </cell>
          <cell r="G359" t="str">
            <v>D</v>
          </cell>
          <cell r="H359">
            <v>5981.7</v>
          </cell>
          <cell r="I359">
            <v>65</v>
          </cell>
          <cell r="K359" t="str">
            <v>WPS-TNHA-S03</v>
          </cell>
          <cell r="L359" t="str">
            <v>ST-02</v>
          </cell>
          <cell r="M359" t="str">
            <v>TUÂN</v>
          </cell>
          <cell r="N359">
            <v>45926</v>
          </cell>
          <cell r="O359" t="str">
            <v>F-030</v>
          </cell>
          <cell r="P359" t="str">
            <v>17/10/2025</v>
          </cell>
          <cell r="Q359" t="str">
            <v>BGT-0032;BGT-0002;GTC-10</v>
          </cell>
          <cell r="R359" t="str">
            <v>HIẾU</v>
          </cell>
          <cell r="S359">
            <v>45953</v>
          </cell>
          <cell r="T359" t="str">
            <v>V-040</v>
          </cell>
          <cell r="U359">
            <v>45943</v>
          </cell>
          <cell r="V359" t="str">
            <v>BG-040</v>
          </cell>
          <cell r="Y359" t="str">
            <v>FINISH</v>
          </cell>
          <cell r="Z359" t="str">
            <v>ACC</v>
          </cell>
          <cell r="AA359" t="str">
            <v>ACC</v>
          </cell>
          <cell r="AB359" t="str">
            <v>MT-2211-ST-02-0009</v>
          </cell>
          <cell r="AC359" t="str">
            <v>ACC</v>
          </cell>
          <cell r="AD359" t="str">
            <v>UT-2211-ST-02-0012</v>
          </cell>
          <cell r="AJ359" t="str">
            <v>XX/12/2025</v>
          </cell>
          <cell r="AK359" t="str">
            <v>FINAL-V-155</v>
          </cell>
          <cell r="AL359" t="str">
            <v>xx/12/2025</v>
          </cell>
          <cell r="AM359" t="str">
            <v>IRN-2211-ST-02-0003</v>
          </cell>
          <cell r="AN359" t="str">
            <v>a</v>
          </cell>
          <cell r="AP359" t="str">
            <v>29/10/2025</v>
          </cell>
        </row>
        <row r="360">
          <cell r="A360" t="str">
            <v>9001-2211-DL-0003-01-WM1</v>
          </cell>
          <cell r="B360" t="str">
            <v>9001-2211-DL-0003-01-WM</v>
          </cell>
          <cell r="C360">
            <v>1</v>
          </cell>
          <cell r="E360" t="str">
            <v>F</v>
          </cell>
          <cell r="F360" t="str">
            <v>10%MT</v>
          </cell>
          <cell r="G360" t="str">
            <v>L</v>
          </cell>
          <cell r="H360">
            <v>5260</v>
          </cell>
          <cell r="K360" t="str">
            <v>WPS-TNHA-S10</v>
          </cell>
          <cell r="L360" t="str">
            <v>ST-01</v>
          </cell>
          <cell r="M360" t="str">
            <v>THÁI</v>
          </cell>
          <cell r="N360">
            <v>45971</v>
          </cell>
          <cell r="O360" t="str">
            <v>F-080</v>
          </cell>
          <cell r="P360" t="str">
            <v>15/11/2025</v>
          </cell>
          <cell r="Q360" t="str">
            <v>BGT0017;BGT-0032</v>
          </cell>
          <cell r="R360" t="str">
            <v>THÁI</v>
          </cell>
          <cell r="S360">
            <v>45992</v>
          </cell>
          <cell r="T360" t="str">
            <v>V-106</v>
          </cell>
          <cell r="Y360" t="str">
            <v>FINISH</v>
          </cell>
          <cell r="Z360" t="str">
            <v>ACC</v>
          </cell>
          <cell r="AA360" t="str">
            <v>ACC</v>
          </cell>
          <cell r="AB360" t="str">
            <v>MT-2211-ST-01-0052</v>
          </cell>
          <cell r="AC360" t="str">
            <v/>
          </cell>
          <cell r="AD360" t="str">
            <v/>
          </cell>
          <cell r="AJ360">
            <v>45993</v>
          </cell>
          <cell r="AK360" t="str">
            <v>FINAL-V-108</v>
          </cell>
        </row>
        <row r="361">
          <cell r="A361" t="str">
            <v>9001-2211-DL-0003-01-WM2</v>
          </cell>
          <cell r="B361" t="str">
            <v>9001-2211-DL-0003-01-WM</v>
          </cell>
          <cell r="C361">
            <v>2</v>
          </cell>
          <cell r="E361" t="str">
            <v>F</v>
          </cell>
          <cell r="F361" t="str">
            <v>10%MT</v>
          </cell>
          <cell r="G361" t="str">
            <v>L</v>
          </cell>
          <cell r="H361">
            <v>5260</v>
          </cell>
          <cell r="K361" t="str">
            <v>WPS-TNHA-S10</v>
          </cell>
          <cell r="L361" t="str">
            <v>ST-01</v>
          </cell>
          <cell r="M361" t="str">
            <v>THÁI</v>
          </cell>
          <cell r="N361">
            <v>45971</v>
          </cell>
          <cell r="O361" t="str">
            <v>F-080</v>
          </cell>
          <cell r="P361" t="str">
            <v>15/11/2025</v>
          </cell>
          <cell r="Q361" t="str">
            <v>BGT0017;BGT-0032</v>
          </cell>
          <cell r="R361" t="str">
            <v>THÁI</v>
          </cell>
          <cell r="S361">
            <v>45992</v>
          </cell>
          <cell r="T361" t="str">
            <v>V-106</v>
          </cell>
          <cell r="Y361" t="str">
            <v>FINISH</v>
          </cell>
          <cell r="Z361" t="str">
            <v>ACC</v>
          </cell>
          <cell r="AA361" t="str">
            <v>ACC</v>
          </cell>
          <cell r="AB361" t="str">
            <v>MT-2211-ST-01-0052</v>
          </cell>
          <cell r="AC361" t="str">
            <v/>
          </cell>
          <cell r="AD361" t="str">
            <v/>
          </cell>
          <cell r="AJ361">
            <v>45993</v>
          </cell>
          <cell r="AK361" t="str">
            <v>FINAL-V-108</v>
          </cell>
        </row>
        <row r="362">
          <cell r="A362" t="str">
            <v>9001-2211-DL-0003-01-WM3</v>
          </cell>
          <cell r="B362" t="str">
            <v>9001-2211-DL-0003-01-WM</v>
          </cell>
          <cell r="C362">
            <v>3</v>
          </cell>
          <cell r="E362" t="str">
            <v>F</v>
          </cell>
          <cell r="F362" t="str">
            <v>10%MT</v>
          </cell>
          <cell r="G362" t="str">
            <v>L</v>
          </cell>
          <cell r="H362">
            <v>5260</v>
          </cell>
          <cell r="K362" t="str">
            <v>WPS-TNHA-S10</v>
          </cell>
          <cell r="L362" t="str">
            <v>ST-01</v>
          </cell>
          <cell r="M362" t="str">
            <v>THÁI</v>
          </cell>
          <cell r="N362">
            <v>45971</v>
          </cell>
          <cell r="O362" t="str">
            <v>F-080</v>
          </cell>
          <cell r="P362" t="str">
            <v>15/11/2025</v>
          </cell>
          <cell r="Q362" t="str">
            <v>BGT0017;BGT-0032</v>
          </cell>
          <cell r="R362" t="str">
            <v>THÁI</v>
          </cell>
          <cell r="S362">
            <v>45992</v>
          </cell>
          <cell r="T362" t="str">
            <v>V-106</v>
          </cell>
          <cell r="Y362" t="str">
            <v>FINISH</v>
          </cell>
          <cell r="Z362" t="str">
            <v>ACC</v>
          </cell>
          <cell r="AA362" t="str">
            <v>ACC</v>
          </cell>
          <cell r="AB362" t="str">
            <v>MT-2211-ST-01-0052</v>
          </cell>
          <cell r="AC362" t="str">
            <v/>
          </cell>
          <cell r="AD362" t="str">
            <v/>
          </cell>
          <cell r="AJ362">
            <v>45993</v>
          </cell>
          <cell r="AK362" t="str">
            <v>FINAL-V-108</v>
          </cell>
        </row>
        <row r="363">
          <cell r="A363" t="str">
            <v>9001-2211-DL-0003-01-WM4</v>
          </cell>
          <cell r="B363" t="str">
            <v>9001-2211-DL-0003-01-WM</v>
          </cell>
          <cell r="C363">
            <v>4</v>
          </cell>
          <cell r="E363" t="str">
            <v>F</v>
          </cell>
          <cell r="F363" t="str">
            <v>10%MT</v>
          </cell>
          <cell r="G363" t="str">
            <v>L</v>
          </cell>
          <cell r="H363">
            <v>5260</v>
          </cell>
          <cell r="K363" t="str">
            <v>WPS-TNHA-S10</v>
          </cell>
          <cell r="L363" t="str">
            <v>ST-01</v>
          </cell>
          <cell r="M363" t="str">
            <v>THÁI</v>
          </cell>
          <cell r="N363">
            <v>45971</v>
          </cell>
          <cell r="O363" t="str">
            <v>F-080</v>
          </cell>
          <cell r="P363" t="str">
            <v>15/11/2025</v>
          </cell>
          <cell r="Q363" t="str">
            <v>BGT0017;BGT-0032</v>
          </cell>
          <cell r="R363" t="str">
            <v>THÁI</v>
          </cell>
          <cell r="S363">
            <v>45992</v>
          </cell>
          <cell r="T363" t="str">
            <v>V-106</v>
          </cell>
          <cell r="Y363" t="str">
            <v>FINISH</v>
          </cell>
          <cell r="Z363" t="str">
            <v>ACC</v>
          </cell>
          <cell r="AA363" t="str">
            <v>ACC</v>
          </cell>
          <cell r="AB363" t="str">
            <v>MT-2211-ST-01-0052</v>
          </cell>
          <cell r="AC363" t="str">
            <v/>
          </cell>
          <cell r="AD363" t="str">
            <v/>
          </cell>
          <cell r="AJ363">
            <v>45993</v>
          </cell>
          <cell r="AK363" t="str">
            <v>FINAL-V-108</v>
          </cell>
        </row>
        <row r="364">
          <cell r="A364" t="str">
            <v>9001-2211-DL-0003-01-WM5</v>
          </cell>
          <cell r="B364" t="str">
            <v>9001-2211-DL-0003-01-WM</v>
          </cell>
          <cell r="C364">
            <v>5</v>
          </cell>
          <cell r="E364" t="str">
            <v>F</v>
          </cell>
          <cell r="F364" t="str">
            <v>10%MT</v>
          </cell>
          <cell r="G364" t="str">
            <v>L</v>
          </cell>
          <cell r="H364">
            <v>5260</v>
          </cell>
          <cell r="K364" t="str">
            <v>WPS-TNHA-S10</v>
          </cell>
          <cell r="L364" t="str">
            <v>ST-01</v>
          </cell>
          <cell r="M364" t="str">
            <v>THÁI</v>
          </cell>
          <cell r="N364">
            <v>45971</v>
          </cell>
          <cell r="O364" t="str">
            <v>F-080</v>
          </cell>
          <cell r="P364" t="str">
            <v>15/11/2025</v>
          </cell>
          <cell r="Q364" t="str">
            <v>BGT0017;BGT-0032</v>
          </cell>
          <cell r="R364" t="str">
            <v>THÁI</v>
          </cell>
          <cell r="S364">
            <v>45992</v>
          </cell>
          <cell r="T364" t="str">
            <v>V-106</v>
          </cell>
          <cell r="Y364" t="str">
            <v>FINISH</v>
          </cell>
          <cell r="Z364" t="str">
            <v>ACC</v>
          </cell>
          <cell r="AA364" t="str">
            <v>ACC</v>
          </cell>
          <cell r="AB364" t="str">
            <v>MT-2211-ST-01-0052</v>
          </cell>
          <cell r="AC364" t="str">
            <v/>
          </cell>
          <cell r="AD364" t="str">
            <v/>
          </cell>
          <cell r="AJ364">
            <v>45993</v>
          </cell>
          <cell r="AK364" t="str">
            <v>FINAL-V-108</v>
          </cell>
        </row>
        <row r="365">
          <cell r="A365" t="str">
            <v>9001-2211-DL-0003-01-WM6</v>
          </cell>
          <cell r="B365" t="str">
            <v>9001-2211-DL-0003-01-WM</v>
          </cell>
          <cell r="C365">
            <v>6</v>
          </cell>
          <cell r="E365" t="str">
            <v>F</v>
          </cell>
          <cell r="F365" t="str">
            <v>10%MT</v>
          </cell>
          <cell r="G365" t="str">
            <v>L</v>
          </cell>
          <cell r="H365">
            <v>5260</v>
          </cell>
          <cell r="K365" t="str">
            <v>WPS-TNHA-S10</v>
          </cell>
          <cell r="L365" t="str">
            <v>ST-01</v>
          </cell>
          <cell r="M365" t="str">
            <v>THÁI</v>
          </cell>
          <cell r="N365">
            <v>45971</v>
          </cell>
          <cell r="O365" t="str">
            <v>F-080</v>
          </cell>
          <cell r="P365" t="str">
            <v>15/11/2025</v>
          </cell>
          <cell r="Q365" t="str">
            <v>BGT0017;BGT-0032</v>
          </cell>
          <cell r="R365" t="str">
            <v>THÁI</v>
          </cell>
          <cell r="S365">
            <v>45992</v>
          </cell>
          <cell r="T365" t="str">
            <v>V-106</v>
          </cell>
          <cell r="Y365" t="str">
            <v>FINISH</v>
          </cell>
          <cell r="Z365" t="str">
            <v>ACC</v>
          </cell>
          <cell r="AA365" t="str">
            <v>ACC</v>
          </cell>
          <cell r="AB365" t="str">
            <v>MT-2211-ST-01-0052</v>
          </cell>
          <cell r="AC365" t="str">
            <v/>
          </cell>
          <cell r="AD365" t="str">
            <v/>
          </cell>
          <cell r="AJ365">
            <v>45993</v>
          </cell>
          <cell r="AK365" t="str">
            <v>FINAL-V-108</v>
          </cell>
        </row>
        <row r="366">
          <cell r="A366" t="str">
            <v>9001-2211-DL-0003-01-WM7</v>
          </cell>
          <cell r="B366" t="str">
            <v>9001-2211-DL-0003-01-WM</v>
          </cell>
          <cell r="C366">
            <v>7</v>
          </cell>
          <cell r="E366" t="str">
            <v>F</v>
          </cell>
          <cell r="F366" t="str">
            <v>10%MT</v>
          </cell>
          <cell r="G366" t="str">
            <v>L</v>
          </cell>
          <cell r="H366">
            <v>5260</v>
          </cell>
          <cell r="K366" t="str">
            <v>WPS-TNHA-S10</v>
          </cell>
          <cell r="L366" t="str">
            <v>ST-01</v>
          </cell>
          <cell r="M366" t="str">
            <v>THÁI</v>
          </cell>
          <cell r="N366">
            <v>45971</v>
          </cell>
          <cell r="O366" t="str">
            <v>F-080</v>
          </cell>
          <cell r="P366" t="str">
            <v>15/11/2025</v>
          </cell>
          <cell r="Q366" t="str">
            <v>BGT0017;BGT-0032</v>
          </cell>
          <cell r="R366" t="str">
            <v>THÁI</v>
          </cell>
          <cell r="S366">
            <v>45992</v>
          </cell>
          <cell r="T366" t="str">
            <v>V-106</v>
          </cell>
          <cell r="Y366" t="str">
            <v>FINISH</v>
          </cell>
          <cell r="Z366" t="str">
            <v>ACC</v>
          </cell>
          <cell r="AA366" t="str">
            <v>ACC</v>
          </cell>
          <cell r="AB366" t="str">
            <v>MT-2211-ST-01-0052</v>
          </cell>
          <cell r="AC366" t="str">
            <v/>
          </cell>
          <cell r="AD366" t="str">
            <v/>
          </cell>
          <cell r="AJ366">
            <v>45993</v>
          </cell>
          <cell r="AK366" t="str">
            <v>FINAL-V-108</v>
          </cell>
        </row>
        <row r="367">
          <cell r="A367" t="str">
            <v>9001-2211-DL-0003-01-WM8</v>
          </cell>
          <cell r="B367" t="str">
            <v>9001-2211-DL-0003-01-WM</v>
          </cell>
          <cell r="C367">
            <v>8</v>
          </cell>
          <cell r="E367" t="str">
            <v>F</v>
          </cell>
          <cell r="F367" t="str">
            <v>10%MT</v>
          </cell>
          <cell r="G367" t="str">
            <v>L</v>
          </cell>
          <cell r="H367">
            <v>5260</v>
          </cell>
          <cell r="K367" t="str">
            <v>WPS-TNHA-S10</v>
          </cell>
          <cell r="L367" t="str">
            <v>ST-01</v>
          </cell>
          <cell r="M367" t="str">
            <v>THÁI</v>
          </cell>
          <cell r="N367">
            <v>45971</v>
          </cell>
          <cell r="O367" t="str">
            <v>F-080</v>
          </cell>
          <cell r="P367" t="str">
            <v>15/11/2025</v>
          </cell>
          <cell r="Q367" t="str">
            <v>BGT0017;BGT-0032</v>
          </cell>
          <cell r="R367" t="str">
            <v>THÁI</v>
          </cell>
          <cell r="S367">
            <v>45992</v>
          </cell>
          <cell r="T367" t="str">
            <v>V-106</v>
          </cell>
          <cell r="Y367" t="str">
            <v>FINISH</v>
          </cell>
          <cell r="Z367" t="str">
            <v>ACC</v>
          </cell>
          <cell r="AA367" t="str">
            <v>ACC</v>
          </cell>
          <cell r="AB367" t="str">
            <v>MT-2211-ST-01-0052</v>
          </cell>
          <cell r="AC367" t="str">
            <v/>
          </cell>
          <cell r="AD367" t="str">
            <v/>
          </cell>
          <cell r="AJ367">
            <v>45993</v>
          </cell>
          <cell r="AK367" t="str">
            <v>FINAL-V-108</v>
          </cell>
        </row>
        <row r="368">
          <cell r="A368" t="str">
            <v>9001-2211-DL-0003-01-WM9</v>
          </cell>
          <cell r="B368" t="str">
            <v>9001-2211-DL-0003-01-WM</v>
          </cell>
          <cell r="C368">
            <v>9</v>
          </cell>
          <cell r="E368" t="str">
            <v>F</v>
          </cell>
          <cell r="F368" t="str">
            <v>10%MT</v>
          </cell>
          <cell r="G368" t="str">
            <v>L</v>
          </cell>
          <cell r="H368">
            <v>5260</v>
          </cell>
          <cell r="K368" t="str">
            <v>WPS-TNHA-S10</v>
          </cell>
          <cell r="L368" t="str">
            <v>ST-01</v>
          </cell>
          <cell r="M368" t="str">
            <v>HIẾU</v>
          </cell>
          <cell r="N368">
            <v>45959</v>
          </cell>
          <cell r="O368" t="str">
            <v>F-065</v>
          </cell>
          <cell r="P368" t="str">
            <v>12/11/2025</v>
          </cell>
          <cell r="Q368" t="str">
            <v>BGT0017;BGT-0032</v>
          </cell>
          <cell r="R368" t="str">
            <v>THÁI</v>
          </cell>
          <cell r="S368">
            <v>45982</v>
          </cell>
          <cell r="T368" t="str">
            <v>V-086</v>
          </cell>
          <cell r="Y368" t="str">
            <v>FINISH</v>
          </cell>
          <cell r="Z368" t="str">
            <v>ACC</v>
          </cell>
          <cell r="AA368" t="str">
            <v>ACC</v>
          </cell>
          <cell r="AB368" t="str">
            <v>MT-2211-ST-01-0047</v>
          </cell>
          <cell r="AC368" t="str">
            <v/>
          </cell>
          <cell r="AD368" t="str">
            <v/>
          </cell>
        </row>
        <row r="369">
          <cell r="A369" t="str">
            <v>9001-2211-DL-0003-01-WM10</v>
          </cell>
          <cell r="B369" t="str">
            <v>9001-2211-DL-0003-01-WM</v>
          </cell>
          <cell r="C369">
            <v>10</v>
          </cell>
          <cell r="E369" t="str">
            <v>F</v>
          </cell>
          <cell r="F369" t="str">
            <v>10%MT</v>
          </cell>
          <cell r="G369" t="str">
            <v>L</v>
          </cell>
          <cell r="H369">
            <v>5260</v>
          </cell>
          <cell r="K369" t="str">
            <v>WPS-TNHA-S10</v>
          </cell>
          <cell r="L369" t="str">
            <v>ST-01</v>
          </cell>
          <cell r="M369" t="str">
            <v>HIẾU</v>
          </cell>
          <cell r="N369">
            <v>45959</v>
          </cell>
          <cell r="O369" t="str">
            <v>F-065</v>
          </cell>
          <cell r="P369" t="str">
            <v>12/11/2025</v>
          </cell>
          <cell r="Q369" t="str">
            <v>BGT0017;BGT-0032</v>
          </cell>
          <cell r="R369" t="str">
            <v>THÁI</v>
          </cell>
          <cell r="S369">
            <v>45982</v>
          </cell>
          <cell r="T369" t="str">
            <v>V-086</v>
          </cell>
          <cell r="Y369" t="str">
            <v>FINISH</v>
          </cell>
          <cell r="Z369" t="str">
            <v>ACC</v>
          </cell>
          <cell r="AA369" t="str">
            <v>ACC</v>
          </cell>
          <cell r="AB369" t="str">
            <v>MT-2211-ST-01-0047</v>
          </cell>
          <cell r="AC369" t="str">
            <v/>
          </cell>
          <cell r="AD369" t="str">
            <v/>
          </cell>
        </row>
        <row r="370">
          <cell r="A370" t="str">
            <v>9001-2211-DL-0003-01-WM11</v>
          </cell>
          <cell r="B370" t="str">
            <v>9001-2211-DL-0003-01-WM</v>
          </cell>
          <cell r="C370">
            <v>11</v>
          </cell>
          <cell r="E370" t="str">
            <v>F</v>
          </cell>
          <cell r="F370" t="str">
            <v>10%MT</v>
          </cell>
          <cell r="G370" t="str">
            <v>L</v>
          </cell>
          <cell r="H370">
            <v>5260</v>
          </cell>
          <cell r="K370" t="str">
            <v>WPS-TNHA-S10</v>
          </cell>
          <cell r="L370" t="str">
            <v>ST-01</v>
          </cell>
          <cell r="M370" t="str">
            <v>HIẾU</v>
          </cell>
          <cell r="N370">
            <v>45959</v>
          </cell>
          <cell r="O370" t="str">
            <v>F-065</v>
          </cell>
          <cell r="P370" t="str">
            <v>12/11/2025</v>
          </cell>
          <cell r="Q370" t="str">
            <v>BGT0017;BGT-0032</v>
          </cell>
          <cell r="R370" t="str">
            <v>THÁI</v>
          </cell>
          <cell r="S370">
            <v>45982</v>
          </cell>
          <cell r="T370" t="str">
            <v>V-086</v>
          </cell>
          <cell r="Y370" t="str">
            <v>FINISH</v>
          </cell>
          <cell r="Z370" t="str">
            <v>ACC</v>
          </cell>
          <cell r="AA370" t="str">
            <v>ACC</v>
          </cell>
          <cell r="AB370" t="str">
            <v>MT-2211-ST-01-0047</v>
          </cell>
          <cell r="AC370" t="str">
            <v/>
          </cell>
          <cell r="AD370" t="str">
            <v/>
          </cell>
        </row>
        <row r="371">
          <cell r="A371" t="str">
            <v>9001-2211-DL-0003-01-WM12</v>
          </cell>
          <cell r="B371" t="str">
            <v>9001-2211-DL-0003-01-WM</v>
          </cell>
          <cell r="C371">
            <v>12</v>
          </cell>
          <cell r="E371" t="str">
            <v>F</v>
          </cell>
          <cell r="F371" t="str">
            <v>10%MT</v>
          </cell>
          <cell r="G371" t="str">
            <v>L</v>
          </cell>
          <cell r="H371">
            <v>5260</v>
          </cell>
          <cell r="K371" t="str">
            <v>WPS-TNHA-S10</v>
          </cell>
          <cell r="L371" t="str">
            <v>ST-01</v>
          </cell>
          <cell r="M371" t="str">
            <v>HIẾU</v>
          </cell>
          <cell r="N371">
            <v>45959</v>
          </cell>
          <cell r="O371" t="str">
            <v>F-065</v>
          </cell>
          <cell r="P371" t="str">
            <v>12/11/2025</v>
          </cell>
          <cell r="Q371" t="str">
            <v>BGT0017;BGT-0032</v>
          </cell>
          <cell r="R371" t="str">
            <v>THÁI</v>
          </cell>
          <cell r="S371">
            <v>45982</v>
          </cell>
          <cell r="T371" t="str">
            <v>V-086</v>
          </cell>
          <cell r="Y371" t="str">
            <v>FINISH</v>
          </cell>
          <cell r="Z371" t="str">
            <v>ACC</v>
          </cell>
          <cell r="AA371" t="str">
            <v>ACC</v>
          </cell>
          <cell r="AB371" t="str">
            <v>MT-2211-ST-01-0047</v>
          </cell>
          <cell r="AC371" t="str">
            <v/>
          </cell>
          <cell r="AD371" t="str">
            <v/>
          </cell>
        </row>
        <row r="372">
          <cell r="A372" t="str">
            <v>9001-2211-DL-0003-01-WM13</v>
          </cell>
          <cell r="B372" t="str">
            <v>9001-2211-DL-0003-01-WM</v>
          </cell>
          <cell r="C372">
            <v>13</v>
          </cell>
          <cell r="E372" t="str">
            <v>F</v>
          </cell>
          <cell r="F372" t="str">
            <v>10%MT</v>
          </cell>
          <cell r="G372" t="str">
            <v>L</v>
          </cell>
          <cell r="H372">
            <v>5260</v>
          </cell>
          <cell r="K372" t="str">
            <v>WPS-TNHA-S10</v>
          </cell>
          <cell r="L372" t="str">
            <v>ST-01</v>
          </cell>
          <cell r="M372" t="str">
            <v>HIẾU</v>
          </cell>
          <cell r="N372">
            <v>45959</v>
          </cell>
          <cell r="O372" t="str">
            <v>F-065</v>
          </cell>
          <cell r="P372" t="str">
            <v>12/11/2025</v>
          </cell>
          <cell r="Q372" t="str">
            <v>BGT0017;BGT-0032</v>
          </cell>
          <cell r="R372" t="str">
            <v>THÁI</v>
          </cell>
          <cell r="S372">
            <v>45982</v>
          </cell>
          <cell r="T372" t="str">
            <v>V-086</v>
          </cell>
          <cell r="Y372" t="str">
            <v>FINISH</v>
          </cell>
          <cell r="Z372" t="str">
            <v>ACC</v>
          </cell>
          <cell r="AA372" t="str">
            <v>ACC</v>
          </cell>
          <cell r="AB372" t="str">
            <v>MT-2211-ST-01-0047</v>
          </cell>
          <cell r="AC372" t="str">
            <v/>
          </cell>
          <cell r="AD372" t="str">
            <v/>
          </cell>
        </row>
        <row r="373">
          <cell r="A373" t="str">
            <v>9001-2211-DL-0003-01-WM14</v>
          </cell>
          <cell r="B373" t="str">
            <v>9001-2211-DL-0003-01-WM</v>
          </cell>
          <cell r="C373">
            <v>14</v>
          </cell>
          <cell r="E373" t="str">
            <v>F</v>
          </cell>
          <cell r="F373" t="str">
            <v>10%MT</v>
          </cell>
          <cell r="G373" t="str">
            <v>L</v>
          </cell>
          <cell r="H373">
            <v>5260</v>
          </cell>
          <cell r="K373" t="str">
            <v>WPS-TNHA-S10</v>
          </cell>
          <cell r="L373" t="str">
            <v>ST-01</v>
          </cell>
          <cell r="M373" t="str">
            <v>HIẾU</v>
          </cell>
          <cell r="N373">
            <v>45959</v>
          </cell>
          <cell r="O373" t="str">
            <v>F-065</v>
          </cell>
          <cell r="P373" t="str">
            <v>12/11/2025</v>
          </cell>
          <cell r="Q373" t="str">
            <v>BGT0017;BGT-0032</v>
          </cell>
          <cell r="R373" t="str">
            <v>THÁI</v>
          </cell>
          <cell r="S373">
            <v>45982</v>
          </cell>
          <cell r="T373" t="str">
            <v>V-086</v>
          </cell>
          <cell r="Y373" t="str">
            <v>FINISH</v>
          </cell>
          <cell r="Z373" t="str">
            <v>ACC</v>
          </cell>
          <cell r="AA373" t="str">
            <v>ACC</v>
          </cell>
          <cell r="AB373" t="str">
            <v>MT-2211-ST-01-0047</v>
          </cell>
          <cell r="AC373" t="str">
            <v/>
          </cell>
          <cell r="AD373" t="str">
            <v/>
          </cell>
        </row>
        <row r="374">
          <cell r="A374" t="str">
            <v>9001-2211-DL-0003-01-WM15</v>
          </cell>
          <cell r="B374" t="str">
            <v>9001-2211-DL-0003-01-WM</v>
          </cell>
          <cell r="C374">
            <v>15</v>
          </cell>
          <cell r="E374" t="str">
            <v>F</v>
          </cell>
          <cell r="F374" t="str">
            <v>10%MT</v>
          </cell>
          <cell r="G374" t="str">
            <v>L</v>
          </cell>
          <cell r="H374">
            <v>5260</v>
          </cell>
          <cell r="K374" t="str">
            <v>WPS-TNHA-S10</v>
          </cell>
          <cell r="L374" t="str">
            <v>ST-01</v>
          </cell>
          <cell r="M374" t="str">
            <v>HIẾU</v>
          </cell>
          <cell r="N374">
            <v>45959</v>
          </cell>
          <cell r="O374" t="str">
            <v>F-065</v>
          </cell>
          <cell r="P374" t="str">
            <v>12/11/2025</v>
          </cell>
          <cell r="Q374" t="str">
            <v>BGT0017;BGT-0032</v>
          </cell>
          <cell r="R374" t="str">
            <v>THÁI</v>
          </cell>
          <cell r="S374">
            <v>45982</v>
          </cell>
          <cell r="T374" t="str">
            <v>V-086</v>
          </cell>
          <cell r="Y374" t="str">
            <v>FINISH</v>
          </cell>
          <cell r="Z374" t="str">
            <v>ACC</v>
          </cell>
          <cell r="AA374" t="str">
            <v>ACC</v>
          </cell>
          <cell r="AB374" t="str">
            <v>MT-2211-ST-01-0047</v>
          </cell>
          <cell r="AC374" t="str">
            <v/>
          </cell>
          <cell r="AD374" t="str">
            <v/>
          </cell>
        </row>
        <row r="375">
          <cell r="A375" t="str">
            <v>9001-2211-DL-0003-01-WM16</v>
          </cell>
          <cell r="B375" t="str">
            <v>9001-2211-DL-0003-01-WM</v>
          </cell>
          <cell r="C375">
            <v>16</v>
          </cell>
          <cell r="E375" t="str">
            <v>F</v>
          </cell>
          <cell r="F375" t="str">
            <v>10%MT</v>
          </cell>
          <cell r="G375" t="str">
            <v>L</v>
          </cell>
          <cell r="H375">
            <v>5260</v>
          </cell>
          <cell r="K375" t="str">
            <v>WPS-TNHA-S10</v>
          </cell>
          <cell r="L375" t="str">
            <v>ST-01</v>
          </cell>
          <cell r="M375" t="str">
            <v>HIẾU</v>
          </cell>
          <cell r="N375">
            <v>45959</v>
          </cell>
          <cell r="O375" t="str">
            <v>F-065</v>
          </cell>
          <cell r="P375" t="str">
            <v>12/11/2025</v>
          </cell>
          <cell r="Q375" t="str">
            <v>BGT0017;BGT-0032</v>
          </cell>
          <cell r="R375" t="str">
            <v>THÁI</v>
          </cell>
          <cell r="S375">
            <v>45982</v>
          </cell>
          <cell r="T375" t="str">
            <v>V-086</v>
          </cell>
          <cell r="Y375" t="str">
            <v>FINISH</v>
          </cell>
          <cell r="Z375" t="str">
            <v>ACC</v>
          </cell>
          <cell r="AA375" t="str">
            <v>ACC</v>
          </cell>
          <cell r="AB375" t="str">
            <v>MT-2211-ST-01-0047</v>
          </cell>
          <cell r="AC375" t="str">
            <v/>
          </cell>
          <cell r="AD375" t="str">
            <v/>
          </cell>
        </row>
        <row r="376">
          <cell r="A376" t="str">
            <v>9001-2211-DL-0003-01-WM17</v>
          </cell>
          <cell r="B376" t="str">
            <v>9001-2211-DL-0003-01-WM</v>
          </cell>
          <cell r="C376">
            <v>17</v>
          </cell>
          <cell r="E376" t="str">
            <v>F</v>
          </cell>
          <cell r="F376" t="str">
            <v>10%MT</v>
          </cell>
          <cell r="G376" t="str">
            <v>L</v>
          </cell>
          <cell r="H376">
            <v>5260</v>
          </cell>
          <cell r="K376" t="str">
            <v>WPS-TNHA-S10</v>
          </cell>
          <cell r="L376" t="str">
            <v>ST-01</v>
          </cell>
          <cell r="M376" t="str">
            <v>HIẾU</v>
          </cell>
          <cell r="N376">
            <v>45959</v>
          </cell>
          <cell r="O376" t="str">
            <v>F-065</v>
          </cell>
          <cell r="P376" t="str">
            <v>12/11/2025</v>
          </cell>
          <cell r="Q376" t="str">
            <v>BGT0017;BGT-0032</v>
          </cell>
          <cell r="R376" t="str">
            <v>THÁI</v>
          </cell>
          <cell r="S376">
            <v>45982</v>
          </cell>
          <cell r="T376" t="str">
            <v>V-086</v>
          </cell>
          <cell r="Y376" t="str">
            <v>FINISH</v>
          </cell>
          <cell r="Z376" t="str">
            <v>ACC</v>
          </cell>
          <cell r="AA376" t="str">
            <v>ACC</v>
          </cell>
          <cell r="AB376" t="str">
            <v>MT-2211-ST-01-0047</v>
          </cell>
          <cell r="AC376" t="str">
            <v/>
          </cell>
          <cell r="AD376" t="str">
            <v/>
          </cell>
        </row>
        <row r="377">
          <cell r="A377" t="str">
            <v>9001-2211-DL-0003-01-WM18</v>
          </cell>
          <cell r="B377" t="str">
            <v>9001-2211-DL-0003-01-WM</v>
          </cell>
          <cell r="C377">
            <v>18</v>
          </cell>
          <cell r="E377" t="str">
            <v>F</v>
          </cell>
          <cell r="F377" t="str">
            <v>10%MT</v>
          </cell>
          <cell r="G377" t="str">
            <v>L</v>
          </cell>
          <cell r="H377">
            <v>5260</v>
          </cell>
          <cell r="K377" t="str">
            <v>WPS-TNHA-S10</v>
          </cell>
          <cell r="L377" t="str">
            <v>ST-01</v>
          </cell>
          <cell r="M377" t="str">
            <v>HIẾU</v>
          </cell>
          <cell r="N377">
            <v>45959</v>
          </cell>
          <cell r="O377" t="str">
            <v>F-065</v>
          </cell>
          <cell r="P377" t="str">
            <v>12/11/2025</v>
          </cell>
          <cell r="Q377" t="str">
            <v>BGT0017;BGT-0032</v>
          </cell>
          <cell r="R377" t="str">
            <v>THÁI</v>
          </cell>
          <cell r="S377">
            <v>45982</v>
          </cell>
          <cell r="T377" t="str">
            <v>V-086</v>
          </cell>
          <cell r="Y377" t="str">
            <v>FINISH</v>
          </cell>
          <cell r="Z377" t="str">
            <v>ACC</v>
          </cell>
          <cell r="AA377" t="str">
            <v>ACC</v>
          </cell>
          <cell r="AB377" t="str">
            <v>MT-2211-ST-01-0047</v>
          </cell>
          <cell r="AC377" t="str">
            <v/>
          </cell>
          <cell r="AD377" t="str">
            <v/>
          </cell>
        </row>
        <row r="378">
          <cell r="A378" t="str">
            <v>9001-2211-DL-0003-01-WM19</v>
          </cell>
          <cell r="B378" t="str">
            <v>9001-2211-DL-0003-01-WM</v>
          </cell>
          <cell r="C378">
            <v>19</v>
          </cell>
          <cell r="E378" t="str">
            <v>F</v>
          </cell>
          <cell r="F378" t="str">
            <v>10%MT</v>
          </cell>
          <cell r="G378" t="str">
            <v>L</v>
          </cell>
          <cell r="H378">
            <v>5260</v>
          </cell>
          <cell r="K378" t="str">
            <v>WPS-TNHA-S10</v>
          </cell>
          <cell r="L378" t="str">
            <v>ST-01</v>
          </cell>
          <cell r="M378" t="str">
            <v>HIẾU</v>
          </cell>
          <cell r="N378">
            <v>45959</v>
          </cell>
          <cell r="O378" t="str">
            <v>F-065</v>
          </cell>
          <cell r="P378" t="str">
            <v>12/11/2025</v>
          </cell>
          <cell r="Q378" t="str">
            <v>BGT0017;BGT-0032</v>
          </cell>
          <cell r="R378" t="str">
            <v>THÁI</v>
          </cell>
          <cell r="S378">
            <v>45982</v>
          </cell>
          <cell r="T378" t="str">
            <v>V-086</v>
          </cell>
          <cell r="Y378" t="str">
            <v>FINISH</v>
          </cell>
          <cell r="Z378" t="str">
            <v>ACC</v>
          </cell>
          <cell r="AA378" t="str">
            <v>ACC</v>
          </cell>
          <cell r="AB378" t="str">
            <v>MT-2211-ST-01-0047</v>
          </cell>
          <cell r="AC378" t="str">
            <v/>
          </cell>
          <cell r="AD378" t="str">
            <v/>
          </cell>
        </row>
        <row r="379">
          <cell r="A379" t="str">
            <v>9001-2211-DL-0003-01-WM20</v>
          </cell>
          <cell r="B379" t="str">
            <v>9001-2211-DL-0003-01-WM</v>
          </cell>
          <cell r="C379">
            <v>20</v>
          </cell>
          <cell r="E379" t="str">
            <v>F</v>
          </cell>
          <cell r="F379" t="str">
            <v>10%MT</v>
          </cell>
          <cell r="G379" t="str">
            <v>L</v>
          </cell>
          <cell r="H379">
            <v>5260</v>
          </cell>
          <cell r="K379" t="str">
            <v>WPS-TNHA-S10</v>
          </cell>
          <cell r="L379" t="str">
            <v>ST-01</v>
          </cell>
          <cell r="M379" t="str">
            <v>HIẾU</v>
          </cell>
          <cell r="N379">
            <v>45959</v>
          </cell>
          <cell r="O379" t="str">
            <v>F-065</v>
          </cell>
          <cell r="P379" t="str">
            <v>12/11/2025</v>
          </cell>
          <cell r="Q379" t="str">
            <v>BGT0017;BGT-0032</v>
          </cell>
          <cell r="R379" t="str">
            <v>THÁI</v>
          </cell>
          <cell r="S379">
            <v>45982</v>
          </cell>
          <cell r="T379" t="str">
            <v>V-086</v>
          </cell>
          <cell r="Y379" t="str">
            <v>FINISH</v>
          </cell>
          <cell r="Z379" t="str">
            <v>ACC</v>
          </cell>
          <cell r="AA379" t="str">
            <v>ACC</v>
          </cell>
          <cell r="AB379" t="str">
            <v>MT-2211-ST-01-0047</v>
          </cell>
          <cell r="AC379" t="str">
            <v/>
          </cell>
          <cell r="AD379" t="str">
            <v/>
          </cell>
        </row>
        <row r="380">
          <cell r="A380" t="str">
            <v>9001-2211-DL-0003-01-WM21</v>
          </cell>
          <cell r="B380" t="str">
            <v>9001-2211-DL-0003-01-WM</v>
          </cell>
          <cell r="C380">
            <v>21</v>
          </cell>
          <cell r="E380" t="str">
            <v>F</v>
          </cell>
          <cell r="F380" t="str">
            <v>10%MT</v>
          </cell>
          <cell r="G380" t="str">
            <v>L</v>
          </cell>
          <cell r="H380">
            <v>5260</v>
          </cell>
          <cell r="K380" t="str">
            <v>WPS-TNHA-S10</v>
          </cell>
          <cell r="L380" t="str">
            <v>ST-01</v>
          </cell>
          <cell r="M380" t="str">
            <v>XUÂN</v>
          </cell>
          <cell r="N380">
            <v>45949</v>
          </cell>
          <cell r="O380" t="str">
            <v>F-052</v>
          </cell>
          <cell r="Q380" t="str">
            <v>BGT-0005;BGT-0006</v>
          </cell>
          <cell r="R380" t="str">
            <v>THÁI</v>
          </cell>
          <cell r="S380">
            <v>45971</v>
          </cell>
          <cell r="T380" t="str">
            <v>V-064</v>
          </cell>
          <cell r="Y380" t="str">
            <v>FINISH</v>
          </cell>
          <cell r="Z380" t="str">
            <v>ACC</v>
          </cell>
          <cell r="AA380" t="str">
            <v>ACC</v>
          </cell>
          <cell r="AB380" t="str">
            <v>MT-2211-ST-01-0036</v>
          </cell>
          <cell r="AC380" t="str">
            <v/>
          </cell>
          <cell r="AD380" t="str">
            <v/>
          </cell>
        </row>
        <row r="381">
          <cell r="A381" t="str">
            <v>9001-2211-DL-0003-01-WM22</v>
          </cell>
          <cell r="B381" t="str">
            <v>9001-2211-DL-0003-01-WM</v>
          </cell>
          <cell r="C381">
            <v>22</v>
          </cell>
          <cell r="E381" t="str">
            <v>F</v>
          </cell>
          <cell r="F381" t="str">
            <v>10%MT</v>
          </cell>
          <cell r="G381" t="str">
            <v>L</v>
          </cell>
          <cell r="H381">
            <v>5260</v>
          </cell>
          <cell r="K381" t="str">
            <v>WPS-TNHA-S10</v>
          </cell>
          <cell r="L381" t="str">
            <v>ST-01</v>
          </cell>
          <cell r="M381" t="str">
            <v>XUÂN</v>
          </cell>
          <cell r="N381">
            <v>45949</v>
          </cell>
          <cell r="O381" t="str">
            <v>F-052</v>
          </cell>
          <cell r="Q381" t="str">
            <v>BGT-0005;BGT-0006</v>
          </cell>
          <cell r="R381" t="str">
            <v>THÁI</v>
          </cell>
          <cell r="S381">
            <v>45971</v>
          </cell>
          <cell r="T381" t="str">
            <v>V-064</v>
          </cell>
          <cell r="Y381" t="str">
            <v>FINISH</v>
          </cell>
          <cell r="Z381" t="str">
            <v>ACC</v>
          </cell>
          <cell r="AA381" t="str">
            <v>ACC</v>
          </cell>
          <cell r="AB381" t="str">
            <v>MT-2211-ST-01-0036</v>
          </cell>
          <cell r="AC381" t="str">
            <v/>
          </cell>
          <cell r="AD381" t="str">
            <v/>
          </cell>
        </row>
        <row r="382">
          <cell r="A382" t="str">
            <v>9001-2211-DL-0003-01-WM23</v>
          </cell>
          <cell r="B382" t="str">
            <v>9001-2211-DL-0003-01-WM</v>
          </cell>
          <cell r="C382">
            <v>23</v>
          </cell>
          <cell r="E382" t="str">
            <v>F</v>
          </cell>
          <cell r="F382" t="str">
            <v>10%MT</v>
          </cell>
          <cell r="G382" t="str">
            <v>L</v>
          </cell>
          <cell r="H382">
            <v>5260</v>
          </cell>
          <cell r="K382" t="str">
            <v>WPS-TNHA-S10</v>
          </cell>
          <cell r="L382" t="str">
            <v>ST-01</v>
          </cell>
          <cell r="M382" t="str">
            <v>XUÂN</v>
          </cell>
          <cell r="N382">
            <v>45949</v>
          </cell>
          <cell r="O382" t="str">
            <v>F-052</v>
          </cell>
          <cell r="Q382" t="str">
            <v>BGT-0005;BGT-0006</v>
          </cell>
          <cell r="R382" t="str">
            <v>THÁI</v>
          </cell>
          <cell r="S382">
            <v>45971</v>
          </cell>
          <cell r="T382" t="str">
            <v>V-064</v>
          </cell>
          <cell r="Y382" t="str">
            <v>FINISH</v>
          </cell>
          <cell r="Z382" t="str">
            <v>ACC</v>
          </cell>
          <cell r="AA382" t="str">
            <v>ACC</v>
          </cell>
          <cell r="AB382" t="str">
            <v>MT-2211-ST-01-0036</v>
          </cell>
          <cell r="AC382" t="str">
            <v/>
          </cell>
          <cell r="AD382" t="str">
            <v/>
          </cell>
        </row>
        <row r="383">
          <cell r="A383" t="str">
            <v>9001-2211-DL-0003-01-WM24</v>
          </cell>
          <cell r="B383" t="str">
            <v>9001-2211-DL-0003-01-WM</v>
          </cell>
          <cell r="C383">
            <v>24</v>
          </cell>
          <cell r="E383" t="str">
            <v>F</v>
          </cell>
          <cell r="F383" t="str">
            <v>10%MT</v>
          </cell>
          <cell r="G383" t="str">
            <v>L</v>
          </cell>
          <cell r="H383">
            <v>5260</v>
          </cell>
          <cell r="K383" t="str">
            <v>WPS-TNHA-S10</v>
          </cell>
          <cell r="L383" t="str">
            <v>ST-01</v>
          </cell>
          <cell r="M383" t="str">
            <v>XUÂN</v>
          </cell>
          <cell r="N383">
            <v>45949</v>
          </cell>
          <cell r="O383" t="str">
            <v>F-052</v>
          </cell>
          <cell r="Q383" t="str">
            <v>BGT-0005;BGT-0006</v>
          </cell>
          <cell r="R383" t="str">
            <v>THÁI</v>
          </cell>
          <cell r="S383">
            <v>45971</v>
          </cell>
          <cell r="T383" t="str">
            <v>V-064</v>
          </cell>
          <cell r="Y383" t="str">
            <v>FINISH</v>
          </cell>
          <cell r="Z383" t="str">
            <v>ACC</v>
          </cell>
          <cell r="AA383" t="str">
            <v>ACC</v>
          </cell>
          <cell r="AB383" t="str">
            <v>MT-2211-ST-01-0036</v>
          </cell>
          <cell r="AC383" t="str">
            <v/>
          </cell>
          <cell r="AD383" t="str">
            <v/>
          </cell>
        </row>
        <row r="384">
          <cell r="A384" t="str">
            <v>9001-2211-DL-0003-01-WM25</v>
          </cell>
          <cell r="B384" t="str">
            <v>9001-2211-DL-0003-01-WM</v>
          </cell>
          <cell r="C384">
            <v>25</v>
          </cell>
          <cell r="E384" t="str">
            <v>F</v>
          </cell>
          <cell r="F384" t="str">
            <v>10%MT</v>
          </cell>
          <cell r="G384" t="str">
            <v>L</v>
          </cell>
          <cell r="H384">
            <v>5260</v>
          </cell>
          <cell r="K384" t="str">
            <v>WPS-TNHA-S10</v>
          </cell>
          <cell r="L384" t="str">
            <v>ST-01</v>
          </cell>
          <cell r="M384" t="str">
            <v>XUÂN</v>
          </cell>
          <cell r="N384">
            <v>45949</v>
          </cell>
          <cell r="O384" t="str">
            <v>F-052</v>
          </cell>
          <cell r="Q384" t="str">
            <v>BGT-0005;BGT-0006</v>
          </cell>
          <cell r="R384" t="str">
            <v>THÁI</v>
          </cell>
          <cell r="S384">
            <v>45971</v>
          </cell>
          <cell r="T384" t="str">
            <v>V-064</v>
          </cell>
          <cell r="Y384" t="str">
            <v>FINISH</v>
          </cell>
          <cell r="Z384" t="str">
            <v>ACC</v>
          </cell>
          <cell r="AA384" t="str">
            <v>ACC</v>
          </cell>
          <cell r="AB384" t="str">
            <v>MT-2211-ST-01-0036</v>
          </cell>
          <cell r="AC384" t="str">
            <v/>
          </cell>
          <cell r="AD384" t="str">
            <v/>
          </cell>
        </row>
        <row r="385">
          <cell r="A385" t="str">
            <v>9001-2211-DL-0003-01-WM26</v>
          </cell>
          <cell r="B385" t="str">
            <v>9001-2211-DL-0003-01-WM</v>
          </cell>
          <cell r="C385">
            <v>26</v>
          </cell>
          <cell r="E385" t="str">
            <v>F</v>
          </cell>
          <cell r="F385" t="str">
            <v>10%MT</v>
          </cell>
          <cell r="G385" t="str">
            <v>L</v>
          </cell>
          <cell r="H385">
            <v>5260</v>
          </cell>
          <cell r="K385" t="str">
            <v>WPS-TNHA-S10</v>
          </cell>
          <cell r="L385" t="str">
            <v>ST-01</v>
          </cell>
          <cell r="M385" t="str">
            <v>XUÂN</v>
          </cell>
          <cell r="N385">
            <v>45949</v>
          </cell>
          <cell r="O385" t="str">
            <v>F-052</v>
          </cell>
          <cell r="Q385" t="str">
            <v>BGT-0005;BGT-0006</v>
          </cell>
          <cell r="R385" t="str">
            <v>THÁI</v>
          </cell>
          <cell r="S385">
            <v>45971</v>
          </cell>
          <cell r="T385" t="str">
            <v>V-064</v>
          </cell>
          <cell r="Y385" t="str">
            <v>FINISH</v>
          </cell>
          <cell r="Z385" t="str">
            <v>ACC</v>
          </cell>
          <cell r="AA385" t="str">
            <v>ACC</v>
          </cell>
          <cell r="AB385" t="str">
            <v>MT-2211-ST-01-0036</v>
          </cell>
          <cell r="AC385" t="str">
            <v/>
          </cell>
          <cell r="AD385" t="str">
            <v/>
          </cell>
        </row>
        <row r="386">
          <cell r="A386" t="str">
            <v>9001-2211-DL-0003-01-WM27</v>
          </cell>
          <cell r="B386" t="str">
            <v>9001-2211-DL-0003-01-WM</v>
          </cell>
          <cell r="C386">
            <v>27</v>
          </cell>
          <cell r="E386" t="str">
            <v>F</v>
          </cell>
          <cell r="F386" t="str">
            <v>10%MT</v>
          </cell>
          <cell r="G386" t="str">
            <v>L</v>
          </cell>
          <cell r="H386">
            <v>5260</v>
          </cell>
          <cell r="K386" t="str">
            <v>WPS-TNHA-S10</v>
          </cell>
          <cell r="L386" t="str">
            <v>ST-01</v>
          </cell>
          <cell r="M386" t="str">
            <v>XUÂN</v>
          </cell>
          <cell r="N386">
            <v>45949</v>
          </cell>
          <cell r="O386" t="str">
            <v>F-052</v>
          </cell>
          <cell r="Q386" t="str">
            <v>BGT-0005;BGT-0006</v>
          </cell>
          <cell r="R386" t="str">
            <v>THÁI</v>
          </cell>
          <cell r="S386">
            <v>45971</v>
          </cell>
          <cell r="T386" t="str">
            <v>V-064</v>
          </cell>
          <cell r="Y386" t="str">
            <v>FINISH</v>
          </cell>
          <cell r="Z386" t="str">
            <v>ACC</v>
          </cell>
          <cell r="AA386" t="str">
            <v>ACC</v>
          </cell>
          <cell r="AB386" t="str">
            <v>MT-2211-ST-01-0036</v>
          </cell>
          <cell r="AC386" t="str">
            <v/>
          </cell>
          <cell r="AD386" t="str">
            <v/>
          </cell>
        </row>
        <row r="387">
          <cell r="A387" t="str">
            <v>9001-2211-DL-0003-01-WM28</v>
          </cell>
          <cell r="B387" t="str">
            <v>9001-2211-DL-0003-01-WM</v>
          </cell>
          <cell r="C387">
            <v>28</v>
          </cell>
          <cell r="E387" t="str">
            <v>F</v>
          </cell>
          <cell r="F387" t="str">
            <v>10%MT</v>
          </cell>
          <cell r="G387" t="str">
            <v>L</v>
          </cell>
          <cell r="H387">
            <v>5260</v>
          </cell>
          <cell r="K387" t="str">
            <v>WPS-TNHA-S10</v>
          </cell>
          <cell r="L387" t="str">
            <v>ST-01</v>
          </cell>
          <cell r="M387" t="str">
            <v>XUÂN</v>
          </cell>
          <cell r="N387">
            <v>45949</v>
          </cell>
          <cell r="O387" t="str">
            <v>F-052</v>
          </cell>
          <cell r="Q387" t="str">
            <v>BGT-0005;BGT-0006</v>
          </cell>
          <cell r="R387" t="str">
            <v>THÁI</v>
          </cell>
          <cell r="S387">
            <v>45971</v>
          </cell>
          <cell r="T387" t="str">
            <v>V-064</v>
          </cell>
          <cell r="Y387" t="str">
            <v>FINISH</v>
          </cell>
          <cell r="Z387" t="str">
            <v>ACC</v>
          </cell>
          <cell r="AA387" t="str">
            <v>ACC</v>
          </cell>
          <cell r="AB387" t="str">
            <v>MT-2211-ST-01-0036</v>
          </cell>
          <cell r="AC387" t="str">
            <v/>
          </cell>
          <cell r="AD387" t="str">
            <v/>
          </cell>
        </row>
        <row r="388">
          <cell r="A388" t="str">
            <v>9001-2211-DL-0003-01-WM29</v>
          </cell>
          <cell r="B388" t="str">
            <v>9001-2211-DL-0003-01-WM</v>
          </cell>
          <cell r="C388">
            <v>29</v>
          </cell>
          <cell r="E388" t="str">
            <v>F</v>
          </cell>
          <cell r="F388" t="str">
            <v>10%MT</v>
          </cell>
          <cell r="G388" t="str">
            <v>L</v>
          </cell>
          <cell r="H388">
            <v>5260</v>
          </cell>
          <cell r="K388" t="str">
            <v>WPS-TNHA-S10</v>
          </cell>
          <cell r="L388" t="str">
            <v>ST-01</v>
          </cell>
          <cell r="M388" t="str">
            <v>XUÂN</v>
          </cell>
          <cell r="N388">
            <v>45949</v>
          </cell>
          <cell r="O388" t="str">
            <v>F-052</v>
          </cell>
          <cell r="Q388" t="str">
            <v>BGT-0005;BGT-0006</v>
          </cell>
          <cell r="R388" t="str">
            <v>THÁI</v>
          </cell>
          <cell r="S388">
            <v>45971</v>
          </cell>
          <cell r="T388" t="str">
            <v>V-064</v>
          </cell>
          <cell r="Y388" t="str">
            <v>FINISH</v>
          </cell>
          <cell r="Z388" t="str">
            <v>ACC</v>
          </cell>
          <cell r="AA388" t="str">
            <v>ACC</v>
          </cell>
          <cell r="AB388" t="str">
            <v>MT-2211-ST-01-0036</v>
          </cell>
          <cell r="AC388" t="str">
            <v/>
          </cell>
          <cell r="AD388" t="str">
            <v/>
          </cell>
        </row>
        <row r="389">
          <cell r="A389" t="str">
            <v>9001-2211-DL-0003-01-WM30</v>
          </cell>
          <cell r="B389" t="str">
            <v>9001-2211-DL-0003-01-WM</v>
          </cell>
          <cell r="C389">
            <v>30</v>
          </cell>
          <cell r="E389" t="str">
            <v>F</v>
          </cell>
          <cell r="F389" t="str">
            <v>10%MT</v>
          </cell>
          <cell r="G389" t="str">
            <v>L</v>
          </cell>
          <cell r="H389">
            <v>5260</v>
          </cell>
          <cell r="K389" t="str">
            <v>WPS-TNHA-S10</v>
          </cell>
          <cell r="L389" t="str">
            <v>ST-01</v>
          </cell>
          <cell r="M389" t="str">
            <v>XUÂN</v>
          </cell>
          <cell r="N389">
            <v>45949</v>
          </cell>
          <cell r="O389" t="str">
            <v>F-052</v>
          </cell>
          <cell r="Q389" t="str">
            <v>BGT-0005;BGT-0006</v>
          </cell>
          <cell r="R389" t="str">
            <v>THÁI</v>
          </cell>
          <cell r="S389">
            <v>45971</v>
          </cell>
          <cell r="T389" t="str">
            <v>V-064</v>
          </cell>
          <cell r="Y389" t="str">
            <v>FINISH</v>
          </cell>
          <cell r="Z389" t="str">
            <v>ACC</v>
          </cell>
          <cell r="AA389" t="str">
            <v>ACC</v>
          </cell>
          <cell r="AB389" t="str">
            <v>MT-2211-ST-01-0036</v>
          </cell>
          <cell r="AC389" t="str">
            <v/>
          </cell>
          <cell r="AD389" t="str">
            <v/>
          </cell>
        </row>
        <row r="390">
          <cell r="A390" t="str">
            <v>9001-2211-DL-0003-01-WM31</v>
          </cell>
          <cell r="B390" t="str">
            <v>9001-2211-DL-0003-01-WM</v>
          </cell>
          <cell r="C390">
            <v>31</v>
          </cell>
          <cell r="E390" t="str">
            <v>F</v>
          </cell>
          <cell r="F390" t="str">
            <v>10%MT</v>
          </cell>
          <cell r="G390" t="str">
            <v>L</v>
          </cell>
          <cell r="H390">
            <v>5260</v>
          </cell>
          <cell r="K390" t="str">
            <v>WPS-TNHA-S10</v>
          </cell>
          <cell r="L390" t="str">
            <v>ST-01</v>
          </cell>
          <cell r="M390" t="str">
            <v>XUÂN</v>
          </cell>
          <cell r="N390">
            <v>45949</v>
          </cell>
          <cell r="O390" t="str">
            <v>F-052</v>
          </cell>
          <cell r="Q390" t="str">
            <v>BGT-0005;BGT-0006</v>
          </cell>
          <cell r="R390" t="str">
            <v>THÁI</v>
          </cell>
          <cell r="S390">
            <v>45971</v>
          </cell>
          <cell r="T390" t="str">
            <v>V-064</v>
          </cell>
          <cell r="Y390" t="str">
            <v>FINISH</v>
          </cell>
          <cell r="Z390" t="str">
            <v>ACC</v>
          </cell>
          <cell r="AA390" t="str">
            <v>ACC</v>
          </cell>
          <cell r="AB390" t="str">
            <v>MT-2211-ST-01-0037</v>
          </cell>
          <cell r="AC390" t="str">
            <v/>
          </cell>
          <cell r="AD390" t="str">
            <v/>
          </cell>
        </row>
        <row r="391">
          <cell r="A391" t="str">
            <v>9001-2211-DL-0003-01-WM32</v>
          </cell>
          <cell r="B391" t="str">
            <v>9001-2211-DL-0003-01-WM</v>
          </cell>
          <cell r="C391">
            <v>32</v>
          </cell>
          <cell r="E391" t="str">
            <v>F</v>
          </cell>
          <cell r="F391" t="str">
            <v>10%MT</v>
          </cell>
          <cell r="G391" t="str">
            <v>L</v>
          </cell>
          <cell r="H391">
            <v>5260</v>
          </cell>
          <cell r="K391" t="str">
            <v>WPS-TNHA-S10</v>
          </cell>
          <cell r="L391" t="str">
            <v>ST-01</v>
          </cell>
          <cell r="M391" t="str">
            <v>XUÂN</v>
          </cell>
          <cell r="N391">
            <v>45949</v>
          </cell>
          <cell r="O391" t="str">
            <v>F-052</v>
          </cell>
          <cell r="Q391" t="str">
            <v>BGT-0005;BGT-0006</v>
          </cell>
          <cell r="R391" t="str">
            <v>THÁI</v>
          </cell>
          <cell r="S391">
            <v>45971</v>
          </cell>
          <cell r="T391" t="str">
            <v>V-064</v>
          </cell>
          <cell r="Y391" t="str">
            <v>FINISH</v>
          </cell>
          <cell r="Z391" t="str">
            <v>ACC</v>
          </cell>
          <cell r="AA391" t="str">
            <v>ACC</v>
          </cell>
          <cell r="AB391" t="str">
            <v>MT-2211-ST-01-0037</v>
          </cell>
          <cell r="AC391" t="str">
            <v/>
          </cell>
          <cell r="AD391" t="str">
            <v/>
          </cell>
        </row>
        <row r="392">
          <cell r="A392" t="str">
            <v>9001-2211-DS-0030-01-WM1</v>
          </cell>
          <cell r="B392" t="str">
            <v>9001-2211-DS-0030-01-WM</v>
          </cell>
          <cell r="C392">
            <v>1</v>
          </cell>
          <cell r="D392" t="str">
            <v>X1</v>
          </cell>
          <cell r="E392" t="str">
            <v>SB</v>
          </cell>
          <cell r="F392" t="str">
            <v>100%MT &amp; UT</v>
          </cell>
          <cell r="G392" t="str">
            <v>D</v>
          </cell>
          <cell r="H392">
            <v>5573.5</v>
          </cell>
          <cell r="I392">
            <v>25</v>
          </cell>
          <cell r="K392" t="str">
            <v>WPS-TNHA-S06</v>
          </cell>
          <cell r="L392" t="str">
            <v>ST-22</v>
          </cell>
          <cell r="Y392" t="str">
            <v>NOT YET FITUP</v>
          </cell>
          <cell r="AL392" t="str">
            <v>27/11/2025</v>
          </cell>
          <cell r="AM392" t="str">
            <v>IRN-2211-ST-22-0001+PL-2211-ST-22-0001</v>
          </cell>
        </row>
        <row r="393">
          <cell r="A393" t="str">
            <v>9001-2211-DS-0030-01-WM2</v>
          </cell>
          <cell r="B393" t="str">
            <v>9001-2211-DS-0030-01-WM</v>
          </cell>
          <cell r="C393">
            <v>2</v>
          </cell>
          <cell r="D393" t="str">
            <v>X1</v>
          </cell>
          <cell r="E393" t="str">
            <v>SB</v>
          </cell>
          <cell r="F393" t="str">
            <v>100%MT &amp; UT</v>
          </cell>
          <cell r="G393" t="str">
            <v>D</v>
          </cell>
          <cell r="H393">
            <v>5573.5</v>
          </cell>
          <cell r="I393">
            <v>25</v>
          </cell>
          <cell r="K393" t="str">
            <v>WPS-TNHA-S06</v>
          </cell>
          <cell r="L393" t="str">
            <v>ST-22</v>
          </cell>
          <cell r="Y393" t="str">
            <v>NOT YET FITUP</v>
          </cell>
          <cell r="AJ393" t="str">
            <v>XX/12/2025</v>
          </cell>
          <cell r="AK393" t="str">
            <v>FINAL-V-156</v>
          </cell>
          <cell r="AL393" t="str">
            <v>XX/12/2025</v>
          </cell>
          <cell r="AM393" t="str">
            <v>IRN-2211-ST-22-0004+ PL-2211-ST-22-0003</v>
          </cell>
          <cell r="AN393" t="str">
            <v>B</v>
          </cell>
        </row>
        <row r="394">
          <cell r="A394" t="str">
            <v>9001-2211-DS-0030-01-WM3</v>
          </cell>
          <cell r="B394" t="str">
            <v>9001-2211-DS-0030-01-WM</v>
          </cell>
          <cell r="C394">
            <v>3</v>
          </cell>
          <cell r="D394" t="str">
            <v>X1</v>
          </cell>
          <cell r="E394" t="str">
            <v>SB</v>
          </cell>
          <cell r="F394" t="str">
            <v>100%MT &amp; UT</v>
          </cell>
          <cell r="G394" t="str">
            <v>D</v>
          </cell>
          <cell r="H394">
            <v>5573.5</v>
          </cell>
          <cell r="I394">
            <v>25</v>
          </cell>
          <cell r="K394" t="str">
            <v>WPS-TNHA-S06</v>
          </cell>
          <cell r="L394" t="str">
            <v>ST-22</v>
          </cell>
          <cell r="Y394" t="str">
            <v>NOT YET FITUP</v>
          </cell>
          <cell r="AL394" t="str">
            <v>27/11/2025</v>
          </cell>
          <cell r="AM394" t="str">
            <v>IRN-2211-ST-22-0001+PL-2211-ST-22-0001</v>
          </cell>
        </row>
        <row r="395">
          <cell r="A395" t="str">
            <v>9001-2211-DS-0030-01-WM4</v>
          </cell>
          <cell r="B395" t="str">
            <v>9001-2211-DS-0030-01-WM</v>
          </cell>
          <cell r="C395">
            <v>4</v>
          </cell>
          <cell r="D395" t="str">
            <v>X1</v>
          </cell>
          <cell r="E395" t="str">
            <v>SB</v>
          </cell>
          <cell r="F395" t="str">
            <v>100%MT &amp; UT</v>
          </cell>
          <cell r="G395" t="str">
            <v>D</v>
          </cell>
          <cell r="H395">
            <v>5573.5</v>
          </cell>
          <cell r="I395">
            <v>25</v>
          </cell>
          <cell r="K395" t="str">
            <v>WPS-TNHA-S06</v>
          </cell>
          <cell r="L395" t="str">
            <v>ST-22</v>
          </cell>
          <cell r="Y395" t="str">
            <v>NOT YET FITUP</v>
          </cell>
          <cell r="AJ395" t="str">
            <v>XX/12/2025</v>
          </cell>
          <cell r="AK395" t="str">
            <v>FINAL-V-155</v>
          </cell>
          <cell r="AL395" t="str">
            <v>XX/12/2025</v>
          </cell>
          <cell r="AM395" t="str">
            <v>IRN-2211-ST-22-0003+ PL-2211-ST-22-0002</v>
          </cell>
          <cell r="AN395" t="str">
            <v>a</v>
          </cell>
        </row>
        <row r="396">
          <cell r="A396" t="str">
            <v>9001-2211-DS-0030-01-WM5</v>
          </cell>
          <cell r="B396" t="str">
            <v>9001-2211-DS-0030-01-WM</v>
          </cell>
          <cell r="C396">
            <v>5</v>
          </cell>
          <cell r="D396" t="str">
            <v>X2</v>
          </cell>
          <cell r="E396" t="str">
            <v>F</v>
          </cell>
          <cell r="F396" t="str">
            <v>100%MT</v>
          </cell>
          <cell r="G396" t="str">
            <v>L</v>
          </cell>
          <cell r="H396">
            <v>21300</v>
          </cell>
          <cell r="K396" t="str">
            <v>WPS-TNHA-S06</v>
          </cell>
          <cell r="L396" t="str">
            <v>ST-22</v>
          </cell>
          <cell r="M396" t="str">
            <v>BÁCH</v>
          </cell>
          <cell r="N396">
            <v>45983</v>
          </cell>
          <cell r="O396" t="str">
            <v>F-097</v>
          </cell>
          <cell r="Y396" t="str">
            <v>NOT YET VISUAL</v>
          </cell>
          <cell r="AL396" t="str">
            <v>27/11/2025</v>
          </cell>
          <cell r="AM396" t="str">
            <v>IRN-2211-ST-22-0001+PL-2211-ST-22-0001</v>
          </cell>
        </row>
        <row r="397">
          <cell r="A397" t="str">
            <v>9001-2211-DS-0030-01-WM6</v>
          </cell>
          <cell r="B397" t="str">
            <v>9001-2211-DS-0030-01-WM</v>
          </cell>
          <cell r="C397">
            <v>6</v>
          </cell>
          <cell r="D397" t="str">
            <v>X2</v>
          </cell>
          <cell r="E397" t="str">
            <v>F</v>
          </cell>
          <cell r="F397" t="str">
            <v>100%MT</v>
          </cell>
          <cell r="G397" t="str">
            <v>L</v>
          </cell>
          <cell r="H397">
            <v>21300</v>
          </cell>
          <cell r="K397" t="str">
            <v>WPS-TNHA-S06</v>
          </cell>
          <cell r="L397" t="str">
            <v>ST-22</v>
          </cell>
          <cell r="M397" t="str">
            <v>BÁCH</v>
          </cell>
          <cell r="N397">
            <v>45983</v>
          </cell>
          <cell r="O397" t="str">
            <v>F-097</v>
          </cell>
          <cell r="Y397" t="str">
            <v>NOT YET VISUAL</v>
          </cell>
          <cell r="AJ397" t="str">
            <v>XX/12/2025</v>
          </cell>
          <cell r="AK397" t="str">
            <v>FINAL-V-156</v>
          </cell>
          <cell r="AL397" t="str">
            <v>XX/12/2025</v>
          </cell>
          <cell r="AM397" t="str">
            <v>IRN-2211-ST-22-0004+ PL-2211-ST-22-0003</v>
          </cell>
          <cell r="AN397" t="str">
            <v>B</v>
          </cell>
        </row>
        <row r="398">
          <cell r="A398" t="str">
            <v>9001-2211-DS-0030-01-WM7</v>
          </cell>
          <cell r="B398" t="str">
            <v>9001-2211-DS-0030-01-WM</v>
          </cell>
          <cell r="C398">
            <v>7</v>
          </cell>
          <cell r="D398" t="str">
            <v>X2</v>
          </cell>
          <cell r="E398" t="str">
            <v>F</v>
          </cell>
          <cell r="F398" t="str">
            <v>100%MT</v>
          </cell>
          <cell r="G398" t="str">
            <v>L</v>
          </cell>
          <cell r="H398">
            <v>21300</v>
          </cell>
          <cell r="K398" t="str">
            <v>WPS-TNHA-S06</v>
          </cell>
          <cell r="L398" t="str">
            <v>ST-22</v>
          </cell>
          <cell r="M398" t="str">
            <v>BÁCH</v>
          </cell>
          <cell r="N398">
            <v>45983</v>
          </cell>
          <cell r="O398" t="str">
            <v>F-097</v>
          </cell>
          <cell r="Y398" t="str">
            <v>NOT YET VISUAL</v>
          </cell>
          <cell r="AL398" t="str">
            <v>27/11/2025</v>
          </cell>
          <cell r="AM398" t="str">
            <v>IRN-2211-ST-22-0001+PL-2211-ST-22-0001</v>
          </cell>
        </row>
        <row r="399">
          <cell r="A399" t="str">
            <v>9001-2211-DS-0030-01-WM8</v>
          </cell>
          <cell r="B399" t="str">
            <v>9001-2211-DS-0030-01-WM</v>
          </cell>
          <cell r="C399">
            <v>8</v>
          </cell>
          <cell r="D399" t="str">
            <v>X2</v>
          </cell>
          <cell r="E399" t="str">
            <v>F</v>
          </cell>
          <cell r="F399" t="str">
            <v>100%MT</v>
          </cell>
          <cell r="G399" t="str">
            <v>L</v>
          </cell>
          <cell r="H399">
            <v>21300</v>
          </cell>
          <cell r="K399" t="str">
            <v>WPS-TNHA-S06</v>
          </cell>
          <cell r="L399" t="str">
            <v>ST-22</v>
          </cell>
          <cell r="M399" t="str">
            <v>BÁCH</v>
          </cell>
          <cell r="N399">
            <v>45983</v>
          </cell>
          <cell r="O399" t="str">
            <v>F-097</v>
          </cell>
          <cell r="Y399" t="str">
            <v>NOT YET VISUAL</v>
          </cell>
          <cell r="AJ399" t="str">
            <v>XX/12/2025</v>
          </cell>
          <cell r="AK399" t="str">
            <v>FINAL-V-155</v>
          </cell>
          <cell r="AL399" t="str">
            <v>XX/12/2025</v>
          </cell>
          <cell r="AM399" t="str">
            <v>IRN-2211-ST-22-0003+ PL-2211-ST-22-0002</v>
          </cell>
          <cell r="AN399" t="str">
            <v>a</v>
          </cell>
        </row>
        <row r="400">
          <cell r="A400" t="str">
            <v>9001-2211-DS-0030-01-WM9</v>
          </cell>
          <cell r="B400" t="str">
            <v>9001-2211-DS-0030-01-WM</v>
          </cell>
          <cell r="C400">
            <v>9</v>
          </cell>
          <cell r="D400" t="str">
            <v>X3</v>
          </cell>
          <cell r="E400" t="str">
            <v>F</v>
          </cell>
          <cell r="F400" t="str">
            <v>100%MT</v>
          </cell>
          <cell r="G400" t="str">
            <v>L</v>
          </cell>
          <cell r="H400">
            <v>2400</v>
          </cell>
          <cell r="K400" t="str">
            <v>WPS-TNHA-S06</v>
          </cell>
          <cell r="L400" t="str">
            <v>ST-22</v>
          </cell>
          <cell r="Y400" t="str">
            <v>NOT YET FITUP</v>
          </cell>
          <cell r="AL400" t="str">
            <v>27/11/2025</v>
          </cell>
          <cell r="AM400" t="str">
            <v>IRN-2211-ST-22-0001+PL-2211-ST-22-0001</v>
          </cell>
        </row>
        <row r="401">
          <cell r="A401" t="str">
            <v>9001-2211-DS-0030-01-WM10</v>
          </cell>
          <cell r="B401" t="str">
            <v>9001-2211-DS-0030-01-WM</v>
          </cell>
          <cell r="C401">
            <v>10</v>
          </cell>
          <cell r="D401" t="str">
            <v>X3</v>
          </cell>
          <cell r="E401" t="str">
            <v>F</v>
          </cell>
          <cell r="F401" t="str">
            <v>100%MT</v>
          </cell>
          <cell r="G401" t="str">
            <v>L</v>
          </cell>
          <cell r="H401">
            <v>2400</v>
          </cell>
          <cell r="K401" t="str">
            <v>WPS-TNHA-S06</v>
          </cell>
          <cell r="L401" t="str">
            <v>ST-22</v>
          </cell>
          <cell r="Y401" t="str">
            <v>NOT YET FITUP</v>
          </cell>
          <cell r="AJ401" t="str">
            <v>XX/12/2025</v>
          </cell>
          <cell r="AK401" t="str">
            <v>FINAL-V-156</v>
          </cell>
          <cell r="AL401" t="str">
            <v>XX/12/2025</v>
          </cell>
          <cell r="AM401" t="str">
            <v>IRN-2211-ST-22-0004+ PL-2211-ST-22-0003</v>
          </cell>
          <cell r="AN401" t="str">
            <v>B</v>
          </cell>
        </row>
        <row r="402">
          <cell r="A402" t="str">
            <v>9001-2211-DS-0030-01-WM11</v>
          </cell>
          <cell r="B402" t="str">
            <v>9001-2211-DS-0030-01-WM</v>
          </cell>
          <cell r="C402">
            <v>11</v>
          </cell>
          <cell r="D402" t="str">
            <v>X3</v>
          </cell>
          <cell r="E402" t="str">
            <v>F</v>
          </cell>
          <cell r="F402" t="str">
            <v>100%MT</v>
          </cell>
          <cell r="G402" t="str">
            <v>L</v>
          </cell>
          <cell r="H402">
            <v>2400</v>
          </cell>
          <cell r="K402" t="str">
            <v>WPS-TNHA-S06</v>
          </cell>
          <cell r="L402" t="str">
            <v>ST-22</v>
          </cell>
          <cell r="Y402" t="str">
            <v>NOT YET FITUP</v>
          </cell>
          <cell r="AL402" t="str">
            <v>27/11/2025</v>
          </cell>
          <cell r="AM402" t="str">
            <v>IRN-2211-ST-22-0001+PL-2211-ST-22-0001</v>
          </cell>
        </row>
        <row r="403">
          <cell r="A403" t="str">
            <v>9001-2211-DS-0030-01-WM12</v>
          </cell>
          <cell r="B403" t="str">
            <v>9001-2211-DS-0030-01-WM</v>
          </cell>
          <cell r="C403">
            <v>12</v>
          </cell>
          <cell r="D403" t="str">
            <v>X3</v>
          </cell>
          <cell r="E403" t="str">
            <v>F</v>
          </cell>
          <cell r="F403" t="str">
            <v>100%MT</v>
          </cell>
          <cell r="G403" t="str">
            <v>L</v>
          </cell>
          <cell r="H403">
            <v>2400</v>
          </cell>
          <cell r="K403" t="str">
            <v>WPS-TNHA-S06</v>
          </cell>
          <cell r="L403" t="str">
            <v>ST-22</v>
          </cell>
          <cell r="Y403" t="str">
            <v>NOT YET FITUP</v>
          </cell>
          <cell r="AJ403" t="str">
            <v>XX/12/2025</v>
          </cell>
          <cell r="AK403" t="str">
            <v>FINAL-V-155</v>
          </cell>
          <cell r="AL403" t="str">
            <v>XX/12/2025</v>
          </cell>
          <cell r="AM403" t="str">
            <v>IRN-2211-ST-22-0003+ PL-2211-ST-22-0002</v>
          </cell>
          <cell r="AN403" t="str">
            <v>a</v>
          </cell>
        </row>
        <row r="404">
          <cell r="A404" t="str">
            <v>9001-2211-DS-0030-01-WM13</v>
          </cell>
          <cell r="B404" t="str">
            <v>9001-2211-DS-0030-01-WM</v>
          </cell>
          <cell r="C404">
            <v>13</v>
          </cell>
          <cell r="D404" t="str">
            <v>X4</v>
          </cell>
          <cell r="E404" t="str">
            <v>SB</v>
          </cell>
          <cell r="F404" t="str">
            <v>100%MT &amp; UT</v>
          </cell>
          <cell r="G404" t="str">
            <v>L</v>
          </cell>
          <cell r="H404">
            <v>1200</v>
          </cell>
          <cell r="I404">
            <v>20</v>
          </cell>
          <cell r="K404" t="str">
            <v>WPS-TNHA-S06</v>
          </cell>
          <cell r="L404" t="str">
            <v>ST-22</v>
          </cell>
          <cell r="Y404" t="str">
            <v>NOT YET FITUP</v>
          </cell>
          <cell r="AL404" t="str">
            <v>27/11/2025</v>
          </cell>
          <cell r="AM404" t="str">
            <v>IRN-2211-ST-22-0001+PL-2211-ST-22-0001</v>
          </cell>
        </row>
        <row r="405">
          <cell r="A405" t="str">
            <v>9001-2211-DS-0030-01-WM14</v>
          </cell>
          <cell r="B405" t="str">
            <v>9001-2211-DS-0030-01-WM</v>
          </cell>
          <cell r="C405">
            <v>14</v>
          </cell>
          <cell r="D405" t="str">
            <v>X4</v>
          </cell>
          <cell r="E405" t="str">
            <v>SB</v>
          </cell>
          <cell r="F405" t="str">
            <v>100%MT &amp; UT</v>
          </cell>
          <cell r="G405" t="str">
            <v>L</v>
          </cell>
          <cell r="H405">
            <v>1200</v>
          </cell>
          <cell r="I405">
            <v>20</v>
          </cell>
          <cell r="K405" t="str">
            <v>WPS-TNHA-S06</v>
          </cell>
          <cell r="L405" t="str">
            <v>ST-22</v>
          </cell>
          <cell r="Y405" t="str">
            <v>NOT YET FITUP</v>
          </cell>
          <cell r="AJ405" t="str">
            <v>XX/12/2025</v>
          </cell>
          <cell r="AK405" t="str">
            <v>FINAL-V-156</v>
          </cell>
          <cell r="AL405" t="str">
            <v>XX/12/2025</v>
          </cell>
          <cell r="AM405" t="str">
            <v>IRN-2211-ST-22-0004+ PL-2211-ST-22-0003</v>
          </cell>
          <cell r="AN405" t="str">
            <v>B</v>
          </cell>
        </row>
        <row r="406">
          <cell r="A406" t="str">
            <v>9001-2211-DS-0030-01-WM15</v>
          </cell>
          <cell r="B406" t="str">
            <v>9001-2211-DS-0030-01-WM</v>
          </cell>
          <cell r="C406">
            <v>15</v>
          </cell>
          <cell r="D406" t="str">
            <v>X4</v>
          </cell>
          <cell r="E406" t="str">
            <v>SB</v>
          </cell>
          <cell r="F406" t="str">
            <v>100%MT &amp; UT</v>
          </cell>
          <cell r="G406" t="str">
            <v>L</v>
          </cell>
          <cell r="H406">
            <v>1200</v>
          </cell>
          <cell r="I406">
            <v>20</v>
          </cell>
          <cell r="K406" t="str">
            <v>WPS-TNHA-S06</v>
          </cell>
          <cell r="L406" t="str">
            <v>ST-22</v>
          </cell>
          <cell r="Y406" t="str">
            <v>NOT YET FITUP</v>
          </cell>
          <cell r="AL406" t="str">
            <v>27/11/2025</v>
          </cell>
          <cell r="AM406" t="str">
            <v>IRN-2211-ST-22-0001+PL-2211-ST-22-0001</v>
          </cell>
        </row>
        <row r="407">
          <cell r="A407" t="str">
            <v>9001-2211-DS-0030-01-WM16</v>
          </cell>
          <cell r="B407" t="str">
            <v>9001-2211-DS-0030-01-WM</v>
          </cell>
          <cell r="C407">
            <v>16</v>
          </cell>
          <cell r="D407" t="str">
            <v>X4</v>
          </cell>
          <cell r="E407" t="str">
            <v>SB</v>
          </cell>
          <cell r="F407" t="str">
            <v>100%MT &amp; UT</v>
          </cell>
          <cell r="G407" t="str">
            <v>L</v>
          </cell>
          <cell r="H407">
            <v>1200</v>
          </cell>
          <cell r="I407">
            <v>20</v>
          </cell>
          <cell r="K407" t="str">
            <v>WPS-TNHA-S06</v>
          </cell>
          <cell r="L407" t="str">
            <v>ST-22</v>
          </cell>
          <cell r="Y407" t="str">
            <v>NOT YET FITUP</v>
          </cell>
          <cell r="AJ407" t="str">
            <v>XX/12/2025</v>
          </cell>
          <cell r="AK407" t="str">
            <v>FINAL-V-155</v>
          </cell>
          <cell r="AL407" t="str">
            <v>XX/12/2025</v>
          </cell>
          <cell r="AM407" t="str">
            <v>IRN-2211-ST-22-0003+ PL-2211-ST-22-0002</v>
          </cell>
          <cell r="AN407" t="str">
            <v>a</v>
          </cell>
        </row>
        <row r="408">
          <cell r="A408" t="str">
            <v>9001-2211-DS-0030-01-WM17</v>
          </cell>
          <cell r="B408" t="str">
            <v>9001-2211-DS-0030-01-WM</v>
          </cell>
          <cell r="C408">
            <v>17</v>
          </cell>
          <cell r="D408" t="str">
            <v>X5</v>
          </cell>
          <cell r="E408" t="str">
            <v>SB</v>
          </cell>
          <cell r="F408" t="str">
            <v>100%MT &amp; UT</v>
          </cell>
          <cell r="G408" t="str">
            <v>L</v>
          </cell>
          <cell r="H408">
            <v>1200</v>
          </cell>
          <cell r="I408">
            <v>20</v>
          </cell>
          <cell r="K408" t="str">
            <v>WPS-TNHA-S06</v>
          </cell>
          <cell r="L408" t="str">
            <v>ST-22</v>
          </cell>
          <cell r="Y408" t="str">
            <v>NOT YET FITUP</v>
          </cell>
          <cell r="AL408" t="str">
            <v>27/11/2025</v>
          </cell>
          <cell r="AM408" t="str">
            <v>IRN-2211-ST-22-0001+PL-2211-ST-22-0001</v>
          </cell>
        </row>
        <row r="409">
          <cell r="A409" t="str">
            <v>9001-2211-DS-0030-01-WM18</v>
          </cell>
          <cell r="B409" t="str">
            <v>9001-2211-DS-0030-01-WM</v>
          </cell>
          <cell r="C409">
            <v>18</v>
          </cell>
          <cell r="D409" t="str">
            <v>X5</v>
          </cell>
          <cell r="E409" t="str">
            <v>SB</v>
          </cell>
          <cell r="F409" t="str">
            <v>100%MT &amp; UT</v>
          </cell>
          <cell r="G409" t="str">
            <v>L</v>
          </cell>
          <cell r="H409">
            <v>1200</v>
          </cell>
          <cell r="I409">
            <v>20</v>
          </cell>
          <cell r="K409" t="str">
            <v>WPS-TNHA-S06</v>
          </cell>
          <cell r="L409" t="str">
            <v>ST-22</v>
          </cell>
          <cell r="Y409" t="str">
            <v>NOT YET FITUP</v>
          </cell>
          <cell r="AJ409" t="str">
            <v>XX/12/2025</v>
          </cell>
          <cell r="AK409" t="str">
            <v>FINAL-V-156</v>
          </cell>
          <cell r="AL409" t="str">
            <v>XX/12/2025</v>
          </cell>
          <cell r="AM409" t="str">
            <v>IRN-2211-ST-22-0004+ PL-2211-ST-22-0003</v>
          </cell>
          <cell r="AN409" t="str">
            <v>B</v>
          </cell>
        </row>
        <row r="410">
          <cell r="A410" t="str">
            <v>9001-2211-DS-0030-01-WM19</v>
          </cell>
          <cell r="B410" t="str">
            <v>9001-2211-DS-0030-01-WM</v>
          </cell>
          <cell r="C410">
            <v>19</v>
          </cell>
          <cell r="D410" t="str">
            <v>X5</v>
          </cell>
          <cell r="E410" t="str">
            <v>SB</v>
          </cell>
          <cell r="F410" t="str">
            <v>100%MT &amp; UT</v>
          </cell>
          <cell r="G410" t="str">
            <v>L</v>
          </cell>
          <cell r="H410">
            <v>1200</v>
          </cell>
          <cell r="I410">
            <v>20</v>
          </cell>
          <cell r="K410" t="str">
            <v>WPS-TNHA-S06</v>
          </cell>
          <cell r="L410" t="str">
            <v>ST-22</v>
          </cell>
          <cell r="Y410" t="str">
            <v>NOT YET FITUP</v>
          </cell>
          <cell r="AL410" t="str">
            <v>27/11/2025</v>
          </cell>
          <cell r="AM410" t="str">
            <v>IRN-2211-ST-22-0001+PL-2211-ST-22-0001</v>
          </cell>
        </row>
        <row r="411">
          <cell r="A411" t="str">
            <v>9001-2211-DS-0030-01-WM20</v>
          </cell>
          <cell r="B411" t="str">
            <v>9001-2211-DS-0030-01-WM</v>
          </cell>
          <cell r="C411">
            <v>20</v>
          </cell>
          <cell r="D411" t="str">
            <v>X5</v>
          </cell>
          <cell r="E411" t="str">
            <v>SB</v>
          </cell>
          <cell r="F411" t="str">
            <v>100%MT &amp; UT</v>
          </cell>
          <cell r="G411" t="str">
            <v>L</v>
          </cell>
          <cell r="H411">
            <v>1200</v>
          </cell>
          <cell r="I411">
            <v>20</v>
          </cell>
          <cell r="K411" t="str">
            <v>WPS-TNHA-S06</v>
          </cell>
          <cell r="L411" t="str">
            <v>ST-22</v>
          </cell>
          <cell r="Y411" t="str">
            <v>NOT YET FITUP</v>
          </cell>
          <cell r="AJ411" t="str">
            <v>XX/12/2025</v>
          </cell>
          <cell r="AK411" t="str">
            <v>FINAL-V-155</v>
          </cell>
          <cell r="AL411" t="str">
            <v>XX/12/2025</v>
          </cell>
          <cell r="AM411" t="str">
            <v>IRN-2211-ST-22-0003+ PL-2211-ST-22-0002</v>
          </cell>
          <cell r="AN411" t="str">
            <v>a</v>
          </cell>
        </row>
        <row r="412">
          <cell r="A412" t="str">
            <v>9001-2211-DS-0030-01-WM21</v>
          </cell>
          <cell r="B412" t="str">
            <v>9001-2211-DS-0030-01-WM</v>
          </cell>
          <cell r="C412">
            <v>21</v>
          </cell>
          <cell r="D412" t="str">
            <v>X6</v>
          </cell>
          <cell r="E412" t="str">
            <v>SB</v>
          </cell>
          <cell r="F412" t="str">
            <v>100%MT &amp; UT</v>
          </cell>
          <cell r="G412" t="str">
            <v>L</v>
          </cell>
          <cell r="H412">
            <v>1200</v>
          </cell>
          <cell r="I412">
            <v>20</v>
          </cell>
          <cell r="K412" t="str">
            <v>WPS-TNHA-S06</v>
          </cell>
          <cell r="L412" t="str">
            <v>ST-22</v>
          </cell>
          <cell r="Y412" t="str">
            <v>NOT YET FITUP</v>
          </cell>
          <cell r="AL412" t="str">
            <v>27/11/2025</v>
          </cell>
          <cell r="AM412" t="str">
            <v>IRN-2211-ST-22-0001+PL-2211-ST-22-0001</v>
          </cell>
        </row>
        <row r="413">
          <cell r="A413" t="str">
            <v>9001-2211-DS-0030-01-WM22</v>
          </cell>
          <cell r="B413" t="str">
            <v>9001-2211-DS-0030-01-WM</v>
          </cell>
          <cell r="C413">
            <v>22</v>
          </cell>
          <cell r="D413" t="str">
            <v>X6</v>
          </cell>
          <cell r="E413" t="str">
            <v>SB</v>
          </cell>
          <cell r="F413" t="str">
            <v>100%MT &amp; UT</v>
          </cell>
          <cell r="G413" t="str">
            <v>L</v>
          </cell>
          <cell r="H413">
            <v>1200</v>
          </cell>
          <cell r="I413">
            <v>20</v>
          </cell>
          <cell r="K413" t="str">
            <v>WPS-TNHA-S06</v>
          </cell>
          <cell r="L413" t="str">
            <v>ST-22</v>
          </cell>
          <cell r="Y413" t="str">
            <v>NOT YET FITUP</v>
          </cell>
          <cell r="AJ413" t="str">
            <v>XX/12/2025</v>
          </cell>
          <cell r="AK413" t="str">
            <v>FINAL-V-156</v>
          </cell>
          <cell r="AL413" t="str">
            <v>XX/12/2025</v>
          </cell>
          <cell r="AM413" t="str">
            <v>IRN-2211-ST-22-0004+ PL-2211-ST-22-0003</v>
          </cell>
          <cell r="AN413" t="str">
            <v>B</v>
          </cell>
        </row>
        <row r="414">
          <cell r="A414" t="str">
            <v>9001-2211-DS-0030-01-WM23</v>
          </cell>
          <cell r="B414" t="str">
            <v>9001-2211-DS-0030-01-WM</v>
          </cell>
          <cell r="C414">
            <v>23</v>
          </cell>
          <cell r="D414" t="str">
            <v>X6</v>
          </cell>
          <cell r="E414" t="str">
            <v>SB</v>
          </cell>
          <cell r="F414" t="str">
            <v>100%MT &amp; UT</v>
          </cell>
          <cell r="G414" t="str">
            <v>L</v>
          </cell>
          <cell r="H414">
            <v>1200</v>
          </cell>
          <cell r="I414">
            <v>20</v>
          </cell>
          <cell r="K414" t="str">
            <v>WPS-TNHA-S06</v>
          </cell>
          <cell r="L414" t="str">
            <v>ST-22</v>
          </cell>
          <cell r="Y414" t="str">
            <v>NOT YET FITUP</v>
          </cell>
          <cell r="AL414" t="str">
            <v>27/11/2025</v>
          </cell>
          <cell r="AM414" t="str">
            <v>IRN-2211-ST-22-0001+PL-2211-ST-22-0001</v>
          </cell>
        </row>
        <row r="415">
          <cell r="A415" t="str">
            <v>9001-2211-DS-0030-01-WM24</v>
          </cell>
          <cell r="B415" t="str">
            <v>9001-2211-DS-0030-01-WM</v>
          </cell>
          <cell r="C415">
            <v>24</v>
          </cell>
          <cell r="D415" t="str">
            <v>X6</v>
          </cell>
          <cell r="E415" t="str">
            <v>SB</v>
          </cell>
          <cell r="F415" t="str">
            <v>100%MT &amp; UT</v>
          </cell>
          <cell r="G415" t="str">
            <v>L</v>
          </cell>
          <cell r="H415">
            <v>1200</v>
          </cell>
          <cell r="I415">
            <v>20</v>
          </cell>
          <cell r="K415" t="str">
            <v>WPS-TNHA-S06</v>
          </cell>
          <cell r="L415" t="str">
            <v>ST-22</v>
          </cell>
          <cell r="Y415" t="str">
            <v>NOT YET FITUP</v>
          </cell>
          <cell r="AJ415" t="str">
            <v>XX/12/2025</v>
          </cell>
          <cell r="AK415" t="str">
            <v>FINAL-V-155</v>
          </cell>
          <cell r="AL415" t="str">
            <v>XX/12/2025</v>
          </cell>
          <cell r="AM415" t="str">
            <v>IRN-2211-ST-22-0003+ PL-2211-ST-22-0002</v>
          </cell>
          <cell r="AN415" t="str">
            <v>a</v>
          </cell>
        </row>
        <row r="416">
          <cell r="A416" t="str">
            <v>9001-2211-DS-0030-01-WM25</v>
          </cell>
          <cell r="B416" t="str">
            <v>9001-2211-DS-0030-01-WM</v>
          </cell>
          <cell r="C416">
            <v>25</v>
          </cell>
          <cell r="D416" t="str">
            <v>X7</v>
          </cell>
          <cell r="E416" t="str">
            <v>DV</v>
          </cell>
          <cell r="F416" t="str">
            <v>100%MT &amp; UT</v>
          </cell>
          <cell r="G416" t="str">
            <v>L</v>
          </cell>
          <cell r="H416">
            <v>1775</v>
          </cell>
          <cell r="I416">
            <v>25</v>
          </cell>
          <cell r="K416" t="str">
            <v>WPS-TNHA-S06</v>
          </cell>
          <cell r="L416" t="str">
            <v>ST-22</v>
          </cell>
          <cell r="Y416" t="str">
            <v>DELETE</v>
          </cell>
        </row>
        <row r="417">
          <cell r="A417" t="str">
            <v>9001-2211-DS-0030-01-WM26</v>
          </cell>
          <cell r="B417" t="str">
            <v>9001-2211-DS-0030-01-WM</v>
          </cell>
          <cell r="C417">
            <v>26</v>
          </cell>
          <cell r="D417" t="str">
            <v>X7</v>
          </cell>
          <cell r="E417" t="str">
            <v>DV</v>
          </cell>
          <cell r="F417" t="str">
            <v>100%MT &amp; UT</v>
          </cell>
          <cell r="G417" t="str">
            <v>L</v>
          </cell>
          <cell r="H417">
            <v>1775</v>
          </cell>
          <cell r="I417">
            <v>25</v>
          </cell>
          <cell r="K417" t="str">
            <v>WPS-TNHA-S06</v>
          </cell>
          <cell r="L417" t="str">
            <v>ST-22</v>
          </cell>
          <cell r="Y417" t="str">
            <v>DELETE</v>
          </cell>
        </row>
        <row r="418">
          <cell r="A418" t="str">
            <v>9001-2211-DS-0030-01-WM27</v>
          </cell>
          <cell r="B418" t="str">
            <v>9001-2211-DS-0030-01-WM</v>
          </cell>
          <cell r="C418">
            <v>27</v>
          </cell>
          <cell r="D418" t="str">
            <v>X7</v>
          </cell>
          <cell r="E418" t="str">
            <v>DV</v>
          </cell>
          <cell r="F418" t="str">
            <v>100%MT &amp; UT</v>
          </cell>
          <cell r="G418" t="str">
            <v>L</v>
          </cell>
          <cell r="H418">
            <v>1775</v>
          </cell>
          <cell r="I418">
            <v>25</v>
          </cell>
          <cell r="K418" t="str">
            <v>WPS-TNHA-S06</v>
          </cell>
          <cell r="L418" t="str">
            <v>ST-22</v>
          </cell>
          <cell r="Y418" t="str">
            <v>DELETE</v>
          </cell>
        </row>
        <row r="419">
          <cell r="A419" t="str">
            <v>9001-2211-DS-0030-01-WM28</v>
          </cell>
          <cell r="B419" t="str">
            <v>9001-2211-DS-0030-01-WM</v>
          </cell>
          <cell r="C419">
            <v>28</v>
          </cell>
          <cell r="D419" t="str">
            <v>X7</v>
          </cell>
          <cell r="E419" t="str">
            <v>DV</v>
          </cell>
          <cell r="F419" t="str">
            <v>100%MT &amp; UT</v>
          </cell>
          <cell r="G419" t="str">
            <v>L</v>
          </cell>
          <cell r="H419">
            <v>1775</v>
          </cell>
          <cell r="I419">
            <v>25</v>
          </cell>
          <cell r="K419" t="str">
            <v>WPS-TNHA-S06</v>
          </cell>
          <cell r="L419" t="str">
            <v>ST-22</v>
          </cell>
          <cell r="Y419" t="str">
            <v>DELETE</v>
          </cell>
        </row>
        <row r="420">
          <cell r="A420" t="str">
            <v>9001-2211-DS-0030-01-WM29</v>
          </cell>
          <cell r="B420" t="str">
            <v>9001-2211-DS-0030-01-WM</v>
          </cell>
          <cell r="C420">
            <v>29</v>
          </cell>
          <cell r="D420" t="str">
            <v>X8</v>
          </cell>
          <cell r="E420" t="str">
            <v>SB</v>
          </cell>
          <cell r="F420" t="str">
            <v>100%MT &amp; UT</v>
          </cell>
          <cell r="G420" t="str">
            <v>D</v>
          </cell>
          <cell r="H420">
            <v>4785.3600000000006</v>
          </cell>
          <cell r="I420">
            <v>25</v>
          </cell>
          <cell r="K420" t="str">
            <v>WPS-TNHA-S06</v>
          </cell>
          <cell r="L420" t="str">
            <v>ST-22</v>
          </cell>
          <cell r="M420" t="str">
            <v>THÁI</v>
          </cell>
          <cell r="N420">
            <v>45980</v>
          </cell>
          <cell r="O420" t="str">
            <v>F-091</v>
          </cell>
          <cell r="P420" t="str">
            <v>19/11/2025</v>
          </cell>
          <cell r="Q420" t="str">
            <v>BGT-0018;ND-01;BGT-0030</v>
          </cell>
          <cell r="R420" t="str">
            <v>THÁI</v>
          </cell>
          <cell r="S420">
            <v>45983</v>
          </cell>
          <cell r="T420" t="str">
            <v>V-087</v>
          </cell>
          <cell r="Y420" t="str">
            <v>FINISH</v>
          </cell>
          <cell r="Z420" t="str">
            <v>ACC</v>
          </cell>
          <cell r="AA420" t="str">
            <v>ACC</v>
          </cell>
          <cell r="AB420" t="str">
            <v>MT-2211-ST-22-0025</v>
          </cell>
          <cell r="AC420" t="str">
            <v>ACC</v>
          </cell>
          <cell r="AD420" t="str">
            <v>UT-2211-ST-22-0040</v>
          </cell>
          <cell r="AL420" t="str">
            <v>27/11/2025</v>
          </cell>
          <cell r="AM420" t="str">
            <v>IRN-2211-ST-22-0001</v>
          </cell>
          <cell r="AP420" t="str">
            <v>26/11/2025</v>
          </cell>
        </row>
        <row r="421">
          <cell r="A421" t="str">
            <v>9001-2211-DS-0030-01-WM30</v>
          </cell>
          <cell r="B421" t="str">
            <v>9001-2211-DS-0030-01-WM</v>
          </cell>
          <cell r="C421">
            <v>30</v>
          </cell>
          <cell r="D421" t="str">
            <v>X8</v>
          </cell>
          <cell r="E421" t="str">
            <v>SB</v>
          </cell>
          <cell r="F421" t="str">
            <v>100%MT &amp; UT</v>
          </cell>
          <cell r="G421" t="str">
            <v>D</v>
          </cell>
          <cell r="H421">
            <v>4785.3600000000006</v>
          </cell>
          <cell r="I421">
            <v>25</v>
          </cell>
          <cell r="K421" t="str">
            <v>WPS-TNHA-S06</v>
          </cell>
          <cell r="L421" t="str">
            <v>ST-22</v>
          </cell>
          <cell r="M421" t="str">
            <v>BÁCH</v>
          </cell>
          <cell r="N421">
            <v>45984</v>
          </cell>
          <cell r="O421" t="str">
            <v>F-100</v>
          </cell>
          <cell r="P421" t="str">
            <v>14h 27/11/2025</v>
          </cell>
          <cell r="Q421" t="str">
            <v>BGT-0005;BGT-0006</v>
          </cell>
          <cell r="R421" t="str">
            <v>THÁI</v>
          </cell>
          <cell r="S421">
            <v>45995</v>
          </cell>
          <cell r="T421" t="str">
            <v>V-113</v>
          </cell>
          <cell r="Y421" t="str">
            <v>FINISH</v>
          </cell>
          <cell r="Z421" t="str">
            <v>ACC</v>
          </cell>
          <cell r="AA421" t="str">
            <v>ACC</v>
          </cell>
          <cell r="AB421" t="str">
            <v>MT-2211-ST-22-0032</v>
          </cell>
          <cell r="AC421" t="str">
            <v>ACC</v>
          </cell>
          <cell r="AD421" t="str">
            <v>UT-2211-ST-22-0057</v>
          </cell>
          <cell r="AJ421" t="str">
            <v>9/12/2025</v>
          </cell>
          <cell r="AK421" t="str">
            <v>FINAL V-124</v>
          </cell>
          <cell r="AL421" t="str">
            <v>XX/12/2025</v>
          </cell>
          <cell r="AM421" t="str">
            <v>IRN-2211-ST-22-0004</v>
          </cell>
          <cell r="AN421" t="str">
            <v>B</v>
          </cell>
          <cell r="AP421" t="str">
            <v>10/12/2025</v>
          </cell>
        </row>
        <row r="422">
          <cell r="A422" t="str">
            <v>9001-2211-DS-0030-01-WM31</v>
          </cell>
          <cell r="B422" t="str">
            <v>9001-2211-DS-0030-01-WM</v>
          </cell>
          <cell r="C422">
            <v>31</v>
          </cell>
          <cell r="D422" t="str">
            <v>X8</v>
          </cell>
          <cell r="E422" t="str">
            <v>SB</v>
          </cell>
          <cell r="F422" t="str">
            <v>100%MT &amp; UT</v>
          </cell>
          <cell r="G422" t="str">
            <v>D</v>
          </cell>
          <cell r="H422">
            <v>4785.3600000000006</v>
          </cell>
          <cell r="I422">
            <v>25</v>
          </cell>
          <cell r="K422" t="str">
            <v>WPS-TNHA-S06</v>
          </cell>
          <cell r="L422" t="str">
            <v>ST-22</v>
          </cell>
          <cell r="M422" t="str">
            <v>BÁCH</v>
          </cell>
          <cell r="N422">
            <v>45970</v>
          </cell>
          <cell r="O422" t="str">
            <v>F-078</v>
          </cell>
          <cell r="P422" t="str">
            <v>16h 9/11/2025</v>
          </cell>
          <cell r="Q422" t="str">
            <v>BGT-0015;GTC-12</v>
          </cell>
          <cell r="R422" t="str">
            <v>TUÂN</v>
          </cell>
          <cell r="S422">
            <v>45972</v>
          </cell>
          <cell r="T422" t="str">
            <v>V-068</v>
          </cell>
          <cell r="Y422" t="str">
            <v>FINISH</v>
          </cell>
          <cell r="Z422" t="str">
            <v>ACC</v>
          </cell>
          <cell r="AA422" t="str">
            <v>ACC</v>
          </cell>
          <cell r="AB422" t="str">
            <v>MT-2211-ST-22-0019</v>
          </cell>
          <cell r="AC422" t="str">
            <v>ACC</v>
          </cell>
          <cell r="AD422" t="str">
            <v>UT-2211-ST-22-0034</v>
          </cell>
          <cell r="AL422" t="str">
            <v>27/11/2025</v>
          </cell>
          <cell r="AM422" t="str">
            <v>IRN-2211-ST-22-0001</v>
          </cell>
          <cell r="AP422" t="str">
            <v>12/11/2025</v>
          </cell>
        </row>
        <row r="423">
          <cell r="A423" t="str">
            <v>9001-2211-DS-0030-01-WM32</v>
          </cell>
          <cell r="B423" t="str">
            <v>9001-2211-DS-0030-01-WM</v>
          </cell>
          <cell r="C423">
            <v>32</v>
          </cell>
          <cell r="D423" t="str">
            <v>X8</v>
          </cell>
          <cell r="E423" t="str">
            <v>SB</v>
          </cell>
          <cell r="F423" t="str">
            <v>100%MT &amp; UT</v>
          </cell>
          <cell r="G423" t="str">
            <v>D</v>
          </cell>
          <cell r="H423">
            <v>4785.3600000000006</v>
          </cell>
          <cell r="I423">
            <v>25</v>
          </cell>
          <cell r="K423" t="str">
            <v>WPS-TNHA-S06</v>
          </cell>
          <cell r="L423" t="str">
            <v>ST-22</v>
          </cell>
          <cell r="M423" t="str">
            <v>THÁI</v>
          </cell>
          <cell r="N423">
            <v>45972</v>
          </cell>
          <cell r="O423" t="str">
            <v>F-081</v>
          </cell>
          <cell r="P423" t="str">
            <v>11/11/2025</v>
          </cell>
          <cell r="Q423" t="str">
            <v>BGT-0005;BGT-0006</v>
          </cell>
          <cell r="R423" t="str">
            <v>THÁI</v>
          </cell>
          <cell r="S423">
            <v>45974</v>
          </cell>
          <cell r="T423" t="str">
            <v>V-071</v>
          </cell>
          <cell r="Y423" t="str">
            <v>FINISH</v>
          </cell>
          <cell r="Z423" t="str">
            <v>ACC</v>
          </cell>
          <cell r="AA423" t="str">
            <v>ACC</v>
          </cell>
          <cell r="AB423" t="str">
            <v>MT-2211-ST-22-0020</v>
          </cell>
          <cell r="AC423" t="str">
            <v>ACC</v>
          </cell>
          <cell r="AD423" t="str">
            <v>UT-2211-ST-22-0037</v>
          </cell>
          <cell r="AJ423" t="str">
            <v>XX/12/2025</v>
          </cell>
          <cell r="AK423" t="str">
            <v>FINAL-V-155</v>
          </cell>
          <cell r="AL423" t="str">
            <v>XX/12/2025</v>
          </cell>
          <cell r="AM423" t="str">
            <v>IRN-2211-ST-22-0003</v>
          </cell>
          <cell r="AN423" t="str">
            <v>a</v>
          </cell>
          <cell r="AP423" t="str">
            <v>19/11/2025</v>
          </cell>
        </row>
        <row r="424">
          <cell r="A424" t="str">
            <v>9001-2211-DS-0030-01-WM33</v>
          </cell>
          <cell r="B424" t="str">
            <v>9001-2211-DS-0030-01-WM</v>
          </cell>
          <cell r="C424">
            <v>33</v>
          </cell>
          <cell r="D424" t="str">
            <v>X9</v>
          </cell>
          <cell r="E424" t="str">
            <v>F</v>
          </cell>
          <cell r="F424" t="str">
            <v>100%MT</v>
          </cell>
          <cell r="G424" t="str">
            <v>L</v>
          </cell>
          <cell r="H424">
            <v>10592</v>
          </cell>
          <cell r="K424" t="str">
            <v>WPS-TNHA-S06</v>
          </cell>
          <cell r="L424" t="str">
            <v>ST-22</v>
          </cell>
          <cell r="M424" t="str">
            <v>HIẾU</v>
          </cell>
          <cell r="N424">
            <v>45960</v>
          </cell>
          <cell r="O424" t="str">
            <v>F-067</v>
          </cell>
          <cell r="P424" t="str">
            <v>3/11/2025</v>
          </cell>
          <cell r="Q424" t="str">
            <v>GTC-12</v>
          </cell>
          <cell r="R424" t="str">
            <v>TUÂN</v>
          </cell>
          <cell r="S424">
            <v>45967</v>
          </cell>
          <cell r="T424" t="str">
            <v>V-059</v>
          </cell>
          <cell r="Y424" t="str">
            <v>FINISH</v>
          </cell>
          <cell r="Z424" t="str">
            <v>ACC</v>
          </cell>
          <cell r="AA424" t="str">
            <v>ACC</v>
          </cell>
          <cell r="AB424" t="str">
            <v>MT-2211-ST-22-0014</v>
          </cell>
          <cell r="AC424" t="str">
            <v/>
          </cell>
          <cell r="AD424" t="str">
            <v/>
          </cell>
          <cell r="AL424" t="str">
            <v>27/11/2025</v>
          </cell>
          <cell r="AM424" t="str">
            <v>IRN-2211-ST-22-0001</v>
          </cell>
        </row>
        <row r="425">
          <cell r="A425" t="str">
            <v>9001-2211-DS-0030-01-WM34</v>
          </cell>
          <cell r="B425" t="str">
            <v>9001-2211-DS-0030-01-WM</v>
          </cell>
          <cell r="C425">
            <v>34</v>
          </cell>
          <cell r="D425" t="str">
            <v>X9</v>
          </cell>
          <cell r="E425" t="str">
            <v>F</v>
          </cell>
          <cell r="F425" t="str">
            <v>100%MT</v>
          </cell>
          <cell r="G425" t="str">
            <v>L</v>
          </cell>
          <cell r="H425">
            <v>10592</v>
          </cell>
          <cell r="K425" t="str">
            <v>WPS-TNHA-S06</v>
          </cell>
          <cell r="L425" t="str">
            <v>ST-22</v>
          </cell>
          <cell r="M425" t="str">
            <v>TUÂN</v>
          </cell>
          <cell r="N425">
            <v>45970</v>
          </cell>
          <cell r="O425" t="str">
            <v>F-079</v>
          </cell>
          <cell r="P425" t="str">
            <v>16/11/2025</v>
          </cell>
          <cell r="Q425" t="str">
            <v>BGT-0005;BGT-0006</v>
          </cell>
          <cell r="R425" t="str">
            <v>TUÂN</v>
          </cell>
          <cell r="S425">
            <v>45980</v>
          </cell>
          <cell r="T425" t="str">
            <v>V-082</v>
          </cell>
          <cell r="Y425" t="str">
            <v>FINISH</v>
          </cell>
          <cell r="Z425" t="str">
            <v>ACC</v>
          </cell>
          <cell r="AA425" t="str">
            <v>ACC</v>
          </cell>
          <cell r="AB425" t="str">
            <v>MT-2211-ST-22-0023</v>
          </cell>
          <cell r="AC425" t="str">
            <v/>
          </cell>
          <cell r="AD425" t="str">
            <v/>
          </cell>
          <cell r="AJ425" t="str">
            <v>9/12/2025</v>
          </cell>
          <cell r="AK425" t="str">
            <v>FINAL V-124</v>
          </cell>
          <cell r="AL425" t="str">
            <v>XX/12/2025</v>
          </cell>
          <cell r="AM425" t="str">
            <v>IRN-2211-ST-22-0004</v>
          </cell>
          <cell r="AN425" t="str">
            <v>B</v>
          </cell>
        </row>
        <row r="426">
          <cell r="A426" t="str">
            <v>9001-2211-DS-0030-01-WM35</v>
          </cell>
          <cell r="B426" t="str">
            <v>9001-2211-DS-0030-01-WM</v>
          </cell>
          <cell r="C426">
            <v>35</v>
          </cell>
          <cell r="D426" t="str">
            <v>X9</v>
          </cell>
          <cell r="E426" t="str">
            <v>F</v>
          </cell>
          <cell r="F426" t="str">
            <v>100%MT</v>
          </cell>
          <cell r="G426" t="str">
            <v>L</v>
          </cell>
          <cell r="H426">
            <v>10592</v>
          </cell>
          <cell r="K426" t="str">
            <v>WPS-TNHA-S06</v>
          </cell>
          <cell r="L426" t="str">
            <v>ST-22</v>
          </cell>
          <cell r="M426" t="str">
            <v>HIẾU</v>
          </cell>
          <cell r="N426">
            <v>45960</v>
          </cell>
          <cell r="O426" t="str">
            <v>F-067</v>
          </cell>
          <cell r="P426" t="str">
            <v>3/11/2025</v>
          </cell>
          <cell r="Q426" t="str">
            <v>GTC-12</v>
          </cell>
          <cell r="R426" t="str">
            <v>TUÂN</v>
          </cell>
          <cell r="S426">
            <v>45968</v>
          </cell>
          <cell r="T426" t="str">
            <v>V-061</v>
          </cell>
          <cell r="Y426" t="str">
            <v>FINISH</v>
          </cell>
          <cell r="Z426" t="str">
            <v>ACC</v>
          </cell>
          <cell r="AA426" t="str">
            <v>ACC</v>
          </cell>
          <cell r="AB426" t="str">
            <v>MT-2211-ST-22-0015</v>
          </cell>
          <cell r="AC426" t="str">
            <v/>
          </cell>
          <cell r="AD426" t="str">
            <v/>
          </cell>
          <cell r="AL426" t="str">
            <v>27/11/2025</v>
          </cell>
          <cell r="AM426" t="str">
            <v>IRN-2211-ST-22-0001</v>
          </cell>
        </row>
        <row r="427">
          <cell r="A427" t="str">
            <v>9001-2211-DS-0030-01-WM36</v>
          </cell>
          <cell r="B427" t="str">
            <v>9001-2211-DS-0030-01-WM</v>
          </cell>
          <cell r="C427">
            <v>36</v>
          </cell>
          <cell r="D427" t="str">
            <v>X9</v>
          </cell>
          <cell r="E427" t="str">
            <v>F</v>
          </cell>
          <cell r="F427" t="str">
            <v>100%MT</v>
          </cell>
          <cell r="G427" t="str">
            <v>L</v>
          </cell>
          <cell r="H427">
            <v>10592</v>
          </cell>
          <cell r="K427" t="str">
            <v>WPS-TNHA-S06</v>
          </cell>
          <cell r="L427" t="str">
            <v>ST-22</v>
          </cell>
          <cell r="M427" t="str">
            <v>TUÂN</v>
          </cell>
          <cell r="N427">
            <v>45970</v>
          </cell>
          <cell r="O427" t="str">
            <v>F-079</v>
          </cell>
          <cell r="P427" t="str">
            <v>16/11/2025</v>
          </cell>
          <cell r="Q427" t="str">
            <v>BGT-0005;BGT-0006</v>
          </cell>
          <cell r="R427" t="str">
            <v>TUÂN</v>
          </cell>
          <cell r="S427">
            <v>45980</v>
          </cell>
          <cell r="T427" t="str">
            <v>V-082</v>
          </cell>
          <cell r="Y427" t="str">
            <v>FINISH</v>
          </cell>
          <cell r="Z427" t="str">
            <v>ACC</v>
          </cell>
          <cell r="AA427" t="str">
            <v>ACC</v>
          </cell>
          <cell r="AB427" t="str">
            <v>MT-2211-ST-22-0023</v>
          </cell>
          <cell r="AC427" t="str">
            <v/>
          </cell>
          <cell r="AD427" t="str">
            <v/>
          </cell>
          <cell r="AJ427" t="str">
            <v>XX/12/2025</v>
          </cell>
          <cell r="AK427" t="str">
            <v>FINAL-V-155</v>
          </cell>
          <cell r="AL427" t="str">
            <v>XX/12/2025</v>
          </cell>
          <cell r="AM427" t="str">
            <v>IRN-2211-ST-22-0003</v>
          </cell>
          <cell r="AN427" t="str">
            <v>a</v>
          </cell>
        </row>
        <row r="428">
          <cell r="A428" t="str">
            <v>9001-2211-DS-0030-01-WM37</v>
          </cell>
          <cell r="B428" t="str">
            <v>9001-2211-DS-0030-01-WM</v>
          </cell>
          <cell r="C428">
            <v>37</v>
          </cell>
          <cell r="D428" t="str">
            <v>X10</v>
          </cell>
          <cell r="E428" t="str">
            <v>SB</v>
          </cell>
          <cell r="F428" t="str">
            <v>100%MT &amp; UT</v>
          </cell>
          <cell r="G428" t="str">
            <v>L</v>
          </cell>
          <cell r="H428">
            <v>2472</v>
          </cell>
          <cell r="I428">
            <v>23</v>
          </cell>
          <cell r="K428" t="str">
            <v>WPS-TNHA-S06</v>
          </cell>
          <cell r="L428" t="str">
            <v>ST-22</v>
          </cell>
          <cell r="M428" t="str">
            <v>HIẾU</v>
          </cell>
          <cell r="N428">
            <v>45960</v>
          </cell>
          <cell r="O428" t="str">
            <v>F-067</v>
          </cell>
          <cell r="P428" t="str">
            <v>3/11/2025</v>
          </cell>
          <cell r="Q428" t="str">
            <v>GTC-12</v>
          </cell>
          <cell r="R428" t="str">
            <v>TUÂN</v>
          </cell>
          <cell r="S428">
            <v>45967</v>
          </cell>
          <cell r="T428" t="str">
            <v>V-059</v>
          </cell>
          <cell r="Y428" t="str">
            <v>FINISH</v>
          </cell>
          <cell r="Z428" t="str">
            <v>ACC</v>
          </cell>
          <cell r="AA428" t="str">
            <v>ACC</v>
          </cell>
          <cell r="AB428" t="str">
            <v>MT-2211-ST-22-0014</v>
          </cell>
          <cell r="AC428" t="str">
            <v>ACC</v>
          </cell>
          <cell r="AD428" t="str">
            <v>UT-2211-ST-22-0029</v>
          </cell>
          <cell r="AL428" t="str">
            <v>27/11/2025</v>
          </cell>
          <cell r="AM428" t="str">
            <v>IRN-2211-ST-22-0001</v>
          </cell>
          <cell r="AP428" t="str">
            <v>12/11/2025</v>
          </cell>
        </row>
        <row r="429">
          <cell r="A429" t="str">
            <v>9001-2211-DS-0030-01-WM38</v>
          </cell>
          <cell r="B429" t="str">
            <v>9001-2211-DS-0030-01-WM</v>
          </cell>
          <cell r="C429">
            <v>38</v>
          </cell>
          <cell r="D429" t="str">
            <v>X10</v>
          </cell>
          <cell r="E429" t="str">
            <v>SB</v>
          </cell>
          <cell r="F429" t="str">
            <v>100%MT &amp; UT</v>
          </cell>
          <cell r="G429" t="str">
            <v>L</v>
          </cell>
          <cell r="H429">
            <v>2472</v>
          </cell>
          <cell r="I429">
            <v>23</v>
          </cell>
          <cell r="K429" t="str">
            <v>WPS-TNHA-S06</v>
          </cell>
          <cell r="L429" t="str">
            <v>ST-22</v>
          </cell>
          <cell r="M429" t="str">
            <v>TUÂN</v>
          </cell>
          <cell r="N429">
            <v>45970</v>
          </cell>
          <cell r="O429" t="str">
            <v>F-079</v>
          </cell>
          <cell r="P429" t="str">
            <v>11/11/2025</v>
          </cell>
          <cell r="Q429" t="str">
            <v>BGT-0005;BGT-0006</v>
          </cell>
          <cell r="R429" t="str">
            <v>THÁI</v>
          </cell>
          <cell r="S429">
            <v>45976</v>
          </cell>
          <cell r="T429" t="str">
            <v>V-074</v>
          </cell>
          <cell r="Y429" t="str">
            <v>FINISH</v>
          </cell>
          <cell r="Z429" t="str">
            <v>ACC</v>
          </cell>
          <cell r="AA429" t="str">
            <v>ACC</v>
          </cell>
          <cell r="AB429" t="str">
            <v>MT-2211-ST-22-0021</v>
          </cell>
          <cell r="AC429" t="str">
            <v>ACC</v>
          </cell>
          <cell r="AD429" t="str">
            <v>UT-2211-ST-22-0038</v>
          </cell>
          <cell r="AJ429" t="str">
            <v>9/12/2025</v>
          </cell>
          <cell r="AK429" t="str">
            <v>FINAL V-124</v>
          </cell>
          <cell r="AL429" t="str">
            <v>XX/12/2025</v>
          </cell>
          <cell r="AM429" t="str">
            <v>IRN-2211-ST-22-0004</v>
          </cell>
          <cell r="AN429" t="str">
            <v>B</v>
          </cell>
          <cell r="AP429" t="str">
            <v>19/11/2025</v>
          </cell>
        </row>
        <row r="430">
          <cell r="A430" t="str">
            <v>9001-2211-DS-0030-01-WM39</v>
          </cell>
          <cell r="B430" t="str">
            <v>9001-2211-DS-0030-01-WM</v>
          </cell>
          <cell r="C430">
            <v>39</v>
          </cell>
          <cell r="D430" t="str">
            <v>X10</v>
          </cell>
          <cell r="E430" t="str">
            <v>SB</v>
          </cell>
          <cell r="F430" t="str">
            <v>100%MT &amp; UT</v>
          </cell>
          <cell r="G430" t="str">
            <v>L</v>
          </cell>
          <cell r="H430">
            <v>2472</v>
          </cell>
          <cell r="I430">
            <v>23</v>
          </cell>
          <cell r="K430" t="str">
            <v>WPS-TNHA-S06</v>
          </cell>
          <cell r="L430" t="str">
            <v>ST-22</v>
          </cell>
          <cell r="M430" t="str">
            <v>HIẾU</v>
          </cell>
          <cell r="N430">
            <v>45960</v>
          </cell>
          <cell r="O430" t="str">
            <v>F-067</v>
          </cell>
          <cell r="P430" t="str">
            <v>3/11/2025</v>
          </cell>
          <cell r="Q430" t="str">
            <v>GTC-12</v>
          </cell>
          <cell r="R430" t="str">
            <v>TUÂN</v>
          </cell>
          <cell r="S430">
            <v>45968</v>
          </cell>
          <cell r="T430" t="str">
            <v>V-061</v>
          </cell>
          <cell r="Y430" t="str">
            <v>FINISH</v>
          </cell>
          <cell r="Z430" t="str">
            <v>ACC</v>
          </cell>
          <cell r="AA430" t="str">
            <v>ACC</v>
          </cell>
          <cell r="AB430" t="str">
            <v>MT-2211-ST-22-0015</v>
          </cell>
          <cell r="AC430" t="str">
            <v>ACC</v>
          </cell>
          <cell r="AD430" t="str">
            <v>UT-2211-ST-22-0030</v>
          </cell>
          <cell r="AL430" t="str">
            <v>27/11/2025</v>
          </cell>
          <cell r="AM430" t="str">
            <v>IRN-2211-ST-22-0001</v>
          </cell>
          <cell r="AP430" t="str">
            <v>12/11/2025</v>
          </cell>
        </row>
        <row r="431">
          <cell r="A431" t="str">
            <v>9001-2211-DS-0030-01-WM40</v>
          </cell>
          <cell r="B431" t="str">
            <v>9001-2211-DS-0030-01-WM</v>
          </cell>
          <cell r="C431">
            <v>40</v>
          </cell>
          <cell r="D431" t="str">
            <v>X10</v>
          </cell>
          <cell r="E431" t="str">
            <v>SB</v>
          </cell>
          <cell r="F431" t="str">
            <v>100%MT &amp; UT</v>
          </cell>
          <cell r="G431" t="str">
            <v>L</v>
          </cell>
          <cell r="H431">
            <v>2472</v>
          </cell>
          <cell r="I431">
            <v>23</v>
          </cell>
          <cell r="K431" t="str">
            <v>WPS-TNHA-S06</v>
          </cell>
          <cell r="L431" t="str">
            <v>ST-22</v>
          </cell>
          <cell r="M431" t="str">
            <v>TUÂN</v>
          </cell>
          <cell r="N431">
            <v>45970</v>
          </cell>
          <cell r="O431" t="str">
            <v>F-079</v>
          </cell>
          <cell r="P431" t="str">
            <v>11/11/2025</v>
          </cell>
          <cell r="Q431" t="str">
            <v>BGT-0005;BGT-0006</v>
          </cell>
          <cell r="R431" t="str">
            <v>THÁI</v>
          </cell>
          <cell r="S431">
            <v>45976</v>
          </cell>
          <cell r="T431" t="str">
            <v>V-074</v>
          </cell>
          <cell r="Y431" t="str">
            <v>FINISH</v>
          </cell>
          <cell r="Z431" t="str">
            <v>ACC</v>
          </cell>
          <cell r="AA431" t="str">
            <v>ACC</v>
          </cell>
          <cell r="AB431" t="str">
            <v>MT-2211-ST-22-0021</v>
          </cell>
          <cell r="AC431" t="str">
            <v>ACC</v>
          </cell>
          <cell r="AD431" t="str">
            <v>UT-2211-ST-22-0038</v>
          </cell>
          <cell r="AJ431" t="str">
            <v>XX/12/2025</v>
          </cell>
          <cell r="AK431" t="str">
            <v>FINAL-V-155</v>
          </cell>
          <cell r="AL431" t="str">
            <v>XX/12/2025</v>
          </cell>
          <cell r="AM431" t="str">
            <v>IRN-2211-ST-22-0003</v>
          </cell>
          <cell r="AN431" t="str">
            <v>a</v>
          </cell>
          <cell r="AP431" t="str">
            <v>19/11/2025</v>
          </cell>
        </row>
        <row r="432">
          <cell r="A432" t="str">
            <v>9001-2211-DS-0030-01-WM41</v>
          </cell>
          <cell r="B432" t="str">
            <v>9001-2211-DS-0030-01-WM</v>
          </cell>
          <cell r="C432">
            <v>41</v>
          </cell>
          <cell r="D432" t="str">
            <v>X11</v>
          </cell>
          <cell r="E432" t="str">
            <v>SB</v>
          </cell>
          <cell r="F432" t="str">
            <v>100%MT &amp; UT</v>
          </cell>
          <cell r="G432" t="str">
            <v>L</v>
          </cell>
          <cell r="H432">
            <v>2472</v>
          </cell>
          <cell r="I432">
            <v>23</v>
          </cell>
          <cell r="K432" t="str">
            <v>WPS-TNHA-S06</v>
          </cell>
          <cell r="L432" t="str">
            <v>ST-22</v>
          </cell>
          <cell r="M432" t="str">
            <v>HIẾU</v>
          </cell>
          <cell r="N432">
            <v>45960</v>
          </cell>
          <cell r="O432" t="str">
            <v>F-067</v>
          </cell>
          <cell r="P432" t="str">
            <v>3/11/2025</v>
          </cell>
          <cell r="Q432" t="str">
            <v>GTC-12</v>
          </cell>
          <cell r="R432" t="str">
            <v>TUÂN</v>
          </cell>
          <cell r="S432">
            <v>45967</v>
          </cell>
          <cell r="T432" t="str">
            <v>V-059</v>
          </cell>
          <cell r="Y432" t="str">
            <v>FINISH</v>
          </cell>
          <cell r="Z432" t="str">
            <v>ACC</v>
          </cell>
          <cell r="AA432" t="str">
            <v>ACC</v>
          </cell>
          <cell r="AB432" t="str">
            <v>MT-2211-ST-22-0014</v>
          </cell>
          <cell r="AC432" t="str">
            <v>ACC</v>
          </cell>
          <cell r="AD432" t="str">
            <v>UT-2211-ST-22-0029</v>
          </cell>
          <cell r="AL432" t="str">
            <v>27/11/2025</v>
          </cell>
          <cell r="AM432" t="str">
            <v>IRN-2211-ST-22-0001</v>
          </cell>
          <cell r="AP432" t="str">
            <v>12/11/2025</v>
          </cell>
        </row>
        <row r="433">
          <cell r="A433" t="str">
            <v>9001-2211-DS-0030-01-WM42</v>
          </cell>
          <cell r="B433" t="str">
            <v>9001-2211-DS-0030-01-WM</v>
          </cell>
          <cell r="C433">
            <v>42</v>
          </cell>
          <cell r="D433" t="str">
            <v>X11</v>
          </cell>
          <cell r="E433" t="str">
            <v>SB</v>
          </cell>
          <cell r="F433" t="str">
            <v>100%MT &amp; UT</v>
          </cell>
          <cell r="G433" t="str">
            <v>L</v>
          </cell>
          <cell r="H433">
            <v>2472</v>
          </cell>
          <cell r="I433">
            <v>23</v>
          </cell>
          <cell r="K433" t="str">
            <v>WPS-TNHA-S06</v>
          </cell>
          <cell r="L433" t="str">
            <v>ST-22</v>
          </cell>
          <cell r="M433" t="str">
            <v>TUÂN</v>
          </cell>
          <cell r="N433">
            <v>45970</v>
          </cell>
          <cell r="O433" t="str">
            <v>F-079</v>
          </cell>
          <cell r="P433" t="str">
            <v>11/11/2025</v>
          </cell>
          <cell r="Q433" t="str">
            <v>BGT-0005;BGT-0006</v>
          </cell>
          <cell r="R433" t="str">
            <v>THÁI</v>
          </cell>
          <cell r="S433">
            <v>45976</v>
          </cell>
          <cell r="T433" t="str">
            <v>V-074</v>
          </cell>
          <cell r="Y433" t="str">
            <v>FINISH</v>
          </cell>
          <cell r="Z433" t="str">
            <v>ACC</v>
          </cell>
          <cell r="AA433" t="str">
            <v>ACC</v>
          </cell>
          <cell r="AB433" t="str">
            <v>MT-2211-ST-22-0021</v>
          </cell>
          <cell r="AC433" t="str">
            <v>ACC</v>
          </cell>
          <cell r="AD433" t="str">
            <v>UT-2211-ST-22-0038</v>
          </cell>
          <cell r="AJ433" t="str">
            <v>9/12/2025</v>
          </cell>
          <cell r="AK433" t="str">
            <v>FINAL V-124</v>
          </cell>
          <cell r="AL433" t="str">
            <v>XX/12/2025</v>
          </cell>
          <cell r="AM433" t="str">
            <v>IRN-2211-ST-22-0004</v>
          </cell>
          <cell r="AN433" t="str">
            <v>B</v>
          </cell>
          <cell r="AP433" t="str">
            <v>19/11/2025</v>
          </cell>
        </row>
        <row r="434">
          <cell r="A434" t="str">
            <v>9001-2211-DS-0030-01-WM43</v>
          </cell>
          <cell r="B434" t="str">
            <v>9001-2211-DS-0030-01-WM</v>
          </cell>
          <cell r="C434">
            <v>43</v>
          </cell>
          <cell r="D434" t="str">
            <v>X11</v>
          </cell>
          <cell r="E434" t="str">
            <v>SB</v>
          </cell>
          <cell r="F434" t="str">
            <v>100%MT &amp; UT</v>
          </cell>
          <cell r="G434" t="str">
            <v>L</v>
          </cell>
          <cell r="H434">
            <v>2472</v>
          </cell>
          <cell r="I434">
            <v>23</v>
          </cell>
          <cell r="K434" t="str">
            <v>WPS-TNHA-S06</v>
          </cell>
          <cell r="L434" t="str">
            <v>ST-22</v>
          </cell>
          <cell r="M434" t="str">
            <v>HIẾU</v>
          </cell>
          <cell r="N434">
            <v>45960</v>
          </cell>
          <cell r="O434" t="str">
            <v>F-067</v>
          </cell>
          <cell r="P434" t="str">
            <v>3/11/2025</v>
          </cell>
          <cell r="Q434" t="str">
            <v>GTC-12</v>
          </cell>
          <cell r="R434" t="str">
            <v>TUÂN</v>
          </cell>
          <cell r="S434">
            <v>45968</v>
          </cell>
          <cell r="T434" t="str">
            <v>V-061</v>
          </cell>
          <cell r="Y434" t="str">
            <v>FINISH</v>
          </cell>
          <cell r="Z434" t="str">
            <v>ACC</v>
          </cell>
          <cell r="AA434" t="str">
            <v>ACC</v>
          </cell>
          <cell r="AB434" t="str">
            <v>MT-2211-ST-22-0015</v>
          </cell>
          <cell r="AC434" t="str">
            <v>ACC</v>
          </cell>
          <cell r="AD434" t="str">
            <v>UT-2211-ST-22-0030</v>
          </cell>
          <cell r="AL434" t="str">
            <v>27/11/2025</v>
          </cell>
          <cell r="AM434" t="str">
            <v>IRN-2211-ST-22-0001</v>
          </cell>
          <cell r="AP434" t="str">
            <v>12/11/2025</v>
          </cell>
        </row>
        <row r="435">
          <cell r="A435" t="str">
            <v>9001-2211-DS-0030-01-WM44</v>
          </cell>
          <cell r="B435" t="str">
            <v>9001-2211-DS-0030-01-WM</v>
          </cell>
          <cell r="C435">
            <v>44</v>
          </cell>
          <cell r="D435" t="str">
            <v>X11</v>
          </cell>
          <cell r="E435" t="str">
            <v>SB</v>
          </cell>
          <cell r="F435" t="str">
            <v>100%MT &amp; UT</v>
          </cell>
          <cell r="G435" t="str">
            <v>L</v>
          </cell>
          <cell r="H435">
            <v>2472</v>
          </cell>
          <cell r="I435">
            <v>23</v>
          </cell>
          <cell r="K435" t="str">
            <v>WPS-TNHA-S06</v>
          </cell>
          <cell r="L435" t="str">
            <v>ST-22</v>
          </cell>
          <cell r="M435" t="str">
            <v>TUÂN</v>
          </cell>
          <cell r="N435">
            <v>45970</v>
          </cell>
          <cell r="O435" t="str">
            <v>F-079</v>
          </cell>
          <cell r="P435" t="str">
            <v>11/11/2025</v>
          </cell>
          <cell r="Q435" t="str">
            <v>BGT-0005;BGT-0006</v>
          </cell>
          <cell r="R435" t="str">
            <v>THÁI</v>
          </cell>
          <cell r="S435">
            <v>45976</v>
          </cell>
          <cell r="T435" t="str">
            <v>V-074</v>
          </cell>
          <cell r="Y435" t="str">
            <v>FINISH</v>
          </cell>
          <cell r="Z435" t="str">
            <v>ACC</v>
          </cell>
          <cell r="AA435" t="str">
            <v>ACC</v>
          </cell>
          <cell r="AB435" t="str">
            <v>MT-2211-ST-22-0021</v>
          </cell>
          <cell r="AC435" t="str">
            <v>ACC</v>
          </cell>
          <cell r="AD435" t="str">
            <v>UT-2211-ST-22-0038</v>
          </cell>
          <cell r="AJ435" t="str">
            <v>XX/12/2025</v>
          </cell>
          <cell r="AK435" t="str">
            <v>FINAL-V-155</v>
          </cell>
          <cell r="AL435" t="str">
            <v>XX/12/2025</v>
          </cell>
          <cell r="AM435" t="str">
            <v>IRN-2211-ST-22-0003</v>
          </cell>
          <cell r="AN435" t="str">
            <v>a</v>
          </cell>
          <cell r="AP435" t="str">
            <v>19/11/2025</v>
          </cell>
        </row>
        <row r="436">
          <cell r="A436" t="str">
            <v>9001-2211-DS-0014-01-WM1</v>
          </cell>
          <cell r="B436" t="str">
            <v>9001-2211-DS-0014-01-WM</v>
          </cell>
          <cell r="C436">
            <v>1</v>
          </cell>
          <cell r="E436" t="str">
            <v>SB</v>
          </cell>
          <cell r="F436" t="str">
            <v>100%MT &amp; UT</v>
          </cell>
          <cell r="G436" t="str">
            <v>D</v>
          </cell>
          <cell r="H436">
            <v>2232.54</v>
          </cell>
          <cell r="I436">
            <v>15</v>
          </cell>
          <cell r="K436" t="str">
            <v>WPS-TNHA-S07</v>
          </cell>
          <cell r="L436" t="str">
            <v>ST-06</v>
          </cell>
          <cell r="Y436" t="str">
            <v>NOT YET FITUP</v>
          </cell>
        </row>
        <row r="437">
          <cell r="A437" t="str">
            <v>9001-2211-DS-0014-01-WM2</v>
          </cell>
          <cell r="B437" t="str">
            <v>9001-2211-DS-0014-01-WM</v>
          </cell>
          <cell r="C437">
            <v>2</v>
          </cell>
          <cell r="E437" t="str">
            <v>SV</v>
          </cell>
          <cell r="F437" t="str">
            <v>100%MT &amp; UT</v>
          </cell>
          <cell r="G437" t="str">
            <v>D</v>
          </cell>
          <cell r="H437">
            <v>2232.54</v>
          </cell>
          <cell r="I437" t="str">
            <v>15/35</v>
          </cell>
          <cell r="K437" t="str">
            <v>WPS-TNHA-S06</v>
          </cell>
          <cell r="L437" t="str">
            <v>ST-06</v>
          </cell>
          <cell r="M437" t="str">
            <v>BÁCH</v>
          </cell>
          <cell r="N437">
            <v>45966</v>
          </cell>
          <cell r="O437" t="str">
            <v>F-076</v>
          </cell>
          <cell r="P437" t="str">
            <v>20h00 10/11/2025</v>
          </cell>
          <cell r="Q437" t="str">
            <v>DHN-SL-22;DHN-SL-29;DHN-SL-36</v>
          </cell>
          <cell r="R437" t="str">
            <v>THÁI</v>
          </cell>
          <cell r="S437">
            <v>45975</v>
          </cell>
          <cell r="T437" t="str">
            <v>V-072</v>
          </cell>
          <cell r="Y437" t="str">
            <v>FINISH</v>
          </cell>
          <cell r="Z437" t="str">
            <v>ACC</v>
          </cell>
          <cell r="AA437" t="str">
            <v>ACC</v>
          </cell>
          <cell r="AB437" t="str">
            <v>MT-2211-ST-06-0007</v>
          </cell>
          <cell r="AC437" t="str">
            <v>ACC</v>
          </cell>
          <cell r="AD437" t="str">
            <v>UT-2211-ST-06-0007</v>
          </cell>
          <cell r="AP437" t="str">
            <v>19/11/2025</v>
          </cell>
        </row>
        <row r="438">
          <cell r="A438" t="str">
            <v>9001-2211-DS-0014-01-WM3</v>
          </cell>
          <cell r="B438" t="str">
            <v>9001-2211-DS-0014-01-WM</v>
          </cell>
          <cell r="C438">
            <v>3</v>
          </cell>
          <cell r="E438" t="str">
            <v>SB</v>
          </cell>
          <cell r="F438" t="str">
            <v>100%MT &amp; UT</v>
          </cell>
          <cell r="G438" t="str">
            <v>D</v>
          </cell>
          <cell r="H438">
            <v>1595.1200000000001</v>
          </cell>
          <cell r="I438">
            <v>20</v>
          </cell>
          <cell r="K438" t="str">
            <v>WPS-TNHA-S07</v>
          </cell>
          <cell r="L438" t="str">
            <v>ST-06</v>
          </cell>
          <cell r="M438" t="str">
            <v>BÁCH</v>
          </cell>
          <cell r="N438">
            <v>45983</v>
          </cell>
          <cell r="O438" t="str">
            <v>F-098</v>
          </cell>
          <cell r="P438" t="str">
            <v>16h 01/12/2025</v>
          </cell>
          <cell r="Q438" t="str">
            <v>PD-16;PD-20</v>
          </cell>
          <cell r="R438" t="str">
            <v>BÁCH</v>
          </cell>
          <cell r="S438">
            <v>45997</v>
          </cell>
          <cell r="T438" t="str">
            <v>V-119</v>
          </cell>
          <cell r="Y438" t="str">
            <v>FINISH</v>
          </cell>
          <cell r="Z438" t="str">
            <v>ACC</v>
          </cell>
          <cell r="AA438" t="str">
            <v>ACC</v>
          </cell>
          <cell r="AB438" t="str">
            <v>MT-2211-ST-06-0012</v>
          </cell>
          <cell r="AC438" t="str">
            <v>ACC</v>
          </cell>
          <cell r="AD438" t="str">
            <v>UT-2211-ST-06-0010</v>
          </cell>
          <cell r="AP438" t="str">
            <v>10/12/2025</v>
          </cell>
        </row>
        <row r="439">
          <cell r="A439" t="str">
            <v>9001-2211-DS-0014-01-WM4</v>
          </cell>
          <cell r="B439" t="str">
            <v>9001-2211-DS-0014-01-WM</v>
          </cell>
          <cell r="C439">
            <v>4</v>
          </cell>
          <cell r="E439" t="str">
            <v>SB</v>
          </cell>
          <cell r="F439" t="str">
            <v>100%MT &amp; UT</v>
          </cell>
          <cell r="G439" t="str">
            <v>D</v>
          </cell>
          <cell r="H439">
            <v>1595.1200000000001</v>
          </cell>
          <cell r="I439">
            <v>20</v>
          </cell>
          <cell r="K439" t="str">
            <v>WPS-TNHA-S07</v>
          </cell>
          <cell r="L439" t="str">
            <v>ST-06</v>
          </cell>
          <cell r="M439" t="str">
            <v>BÁCH</v>
          </cell>
          <cell r="N439">
            <v>45983</v>
          </cell>
          <cell r="O439" t="str">
            <v>F-098</v>
          </cell>
          <cell r="P439" t="str">
            <v>12h30 01/12/2025</v>
          </cell>
          <cell r="Q439" t="str">
            <v>PD-16;PD-20</v>
          </cell>
          <cell r="R439" t="str">
            <v>BÁCH</v>
          </cell>
          <cell r="S439">
            <v>45997</v>
          </cell>
          <cell r="T439" t="str">
            <v>V-119</v>
          </cell>
          <cell r="Y439" t="str">
            <v>FINISH</v>
          </cell>
          <cell r="Z439" t="str">
            <v>ACC</v>
          </cell>
          <cell r="AA439" t="str">
            <v>ACC</v>
          </cell>
          <cell r="AB439" t="str">
            <v>MT-2211-ST-06-0012</v>
          </cell>
          <cell r="AC439" t="str">
            <v>ACC</v>
          </cell>
          <cell r="AD439" t="str">
            <v>UT-2211-ST-06-0010</v>
          </cell>
          <cell r="AP439" t="str">
            <v>10/12/2025</v>
          </cell>
        </row>
        <row r="440">
          <cell r="A440" t="str">
            <v>9001-2211-DS-0014-01-WM5</v>
          </cell>
          <cell r="B440" t="str">
            <v>9001-2211-DS-0014-01-WM</v>
          </cell>
          <cell r="C440">
            <v>5</v>
          </cell>
          <cell r="E440" t="str">
            <v>SV</v>
          </cell>
          <cell r="F440" t="str">
            <v>100%MT &amp; UT</v>
          </cell>
          <cell r="G440" t="str">
            <v>D</v>
          </cell>
          <cell r="H440">
            <v>2232.54</v>
          </cell>
          <cell r="I440" t="str">
            <v>15/35</v>
          </cell>
          <cell r="K440" t="str">
            <v>WPS-TNHA-S06</v>
          </cell>
          <cell r="L440" t="str">
            <v>ST-06</v>
          </cell>
          <cell r="M440" t="str">
            <v>BÁCH</v>
          </cell>
          <cell r="N440">
            <v>45966</v>
          </cell>
          <cell r="O440" t="str">
            <v>F-076</v>
          </cell>
          <cell r="P440" t="str">
            <v>21h30 10/11/2025</v>
          </cell>
          <cell r="Q440" t="str">
            <v>DHN-SL-27;DHN-SL-29;DHN-SL-36</v>
          </cell>
          <cell r="R440" t="str">
            <v>THÁI</v>
          </cell>
          <cell r="S440">
            <v>45975</v>
          </cell>
          <cell r="T440" t="str">
            <v>V-072</v>
          </cell>
          <cell r="Y440" t="str">
            <v>FINISH</v>
          </cell>
          <cell r="Z440" t="str">
            <v>ACC</v>
          </cell>
          <cell r="AA440" t="str">
            <v>ACC</v>
          </cell>
          <cell r="AB440" t="str">
            <v>MT-2211-ST-06-0007</v>
          </cell>
          <cell r="AC440" t="str">
            <v>ACC</v>
          </cell>
          <cell r="AD440" t="str">
            <v>UT-2211-ST-06-0007</v>
          </cell>
          <cell r="AP440" t="str">
            <v>19/11/2025</v>
          </cell>
        </row>
        <row r="441">
          <cell r="A441" t="str">
            <v>9001-2211-DS-0014-01-WM6</v>
          </cell>
          <cell r="B441" t="str">
            <v>9001-2211-DS-0014-01-WM</v>
          </cell>
          <cell r="C441">
            <v>6</v>
          </cell>
          <cell r="E441" t="str">
            <v>SV</v>
          </cell>
          <cell r="F441" t="str">
            <v>100%MT &amp; UT</v>
          </cell>
          <cell r="G441" t="str">
            <v>D</v>
          </cell>
          <cell r="H441">
            <v>2232.54</v>
          </cell>
          <cell r="I441" t="str">
            <v>15/25</v>
          </cell>
          <cell r="K441" t="str">
            <v>WPS-TNHA-S06</v>
          </cell>
          <cell r="L441" t="str">
            <v>ST-06</v>
          </cell>
          <cell r="M441" t="str">
            <v>BÁCH</v>
          </cell>
          <cell r="N441">
            <v>46000</v>
          </cell>
          <cell r="O441" t="str">
            <v>F-124</v>
          </cell>
          <cell r="P441" t="str">
            <v>17h 9/12/2025</v>
          </cell>
          <cell r="Q441" t="str">
            <v>PD-05;PD-06</v>
          </cell>
          <cell r="R441" t="str">
            <v>BÁCH</v>
          </cell>
          <cell r="S441">
            <v>46003</v>
          </cell>
          <cell r="T441" t="str">
            <v>V-131</v>
          </cell>
          <cell r="Y441" t="str">
            <v>FINISH</v>
          </cell>
          <cell r="Z441" t="str">
            <v>ACC</v>
          </cell>
          <cell r="AA441" t="str">
            <v>ACC</v>
          </cell>
          <cell r="AB441" t="str">
            <v>MT-2211-ST-06-0013</v>
          </cell>
          <cell r="AC441" t="str">
            <v>ACC</v>
          </cell>
          <cell r="AD441" t="str">
            <v>UT-2211-ST-06-0012</v>
          </cell>
          <cell r="AP441" t="str">
            <v>16/12/2025</v>
          </cell>
        </row>
        <row r="442">
          <cell r="A442" t="str">
            <v>9001-2211-DS-0014-01-WM7</v>
          </cell>
          <cell r="B442" t="str">
            <v>9001-2211-DS-0014-01-WM</v>
          </cell>
          <cell r="C442">
            <v>7</v>
          </cell>
          <cell r="E442" t="str">
            <v>SV</v>
          </cell>
          <cell r="F442" t="str">
            <v>100%MT&amp;UT</v>
          </cell>
          <cell r="G442" t="str">
            <v>L</v>
          </cell>
          <cell r="H442">
            <v>1500</v>
          </cell>
          <cell r="I442">
            <v>25</v>
          </cell>
          <cell r="K442" t="str">
            <v>WPS-TNHA-S06</v>
          </cell>
          <cell r="L442" t="str">
            <v>ST-06</v>
          </cell>
          <cell r="M442" t="str">
            <v>BÁCH</v>
          </cell>
          <cell r="N442">
            <v>45986</v>
          </cell>
          <cell r="O442" t="str">
            <v>F-101</v>
          </cell>
          <cell r="P442" t="str">
            <v>30/11/2025</v>
          </cell>
          <cell r="Q442" t="str">
            <v>PD-31</v>
          </cell>
          <cell r="R442" t="str">
            <v>BÁCH</v>
          </cell>
          <cell r="S442">
            <v>45994</v>
          </cell>
          <cell r="T442" t="str">
            <v>V-110</v>
          </cell>
          <cell r="Y442" t="str">
            <v>FINISH</v>
          </cell>
          <cell r="Z442" t="str">
            <v>ACC</v>
          </cell>
          <cell r="AA442" t="str">
            <v>ACC</v>
          </cell>
          <cell r="AB442" t="str">
            <v>MT-2211-ST-06-0010</v>
          </cell>
          <cell r="AC442" t="str">
            <v>ACC</v>
          </cell>
          <cell r="AD442" t="str">
            <v>UT-2211-ST-06-0009</v>
          </cell>
          <cell r="AP442" t="str">
            <v>10/12/2025</v>
          </cell>
        </row>
        <row r="443">
          <cell r="A443" t="str">
            <v>9001-2211-DS-0014-01-WM8</v>
          </cell>
          <cell r="B443" t="str">
            <v>9001-2211-DS-0014-01-WM</v>
          </cell>
          <cell r="C443">
            <v>8</v>
          </cell>
          <cell r="E443" t="str">
            <v>SV</v>
          </cell>
          <cell r="F443" t="str">
            <v>100%MT &amp; UT</v>
          </cell>
          <cell r="G443" t="str">
            <v>D</v>
          </cell>
          <cell r="H443">
            <v>3827.6600000000003</v>
          </cell>
          <cell r="I443">
            <v>25</v>
          </cell>
          <cell r="K443" t="str">
            <v>WPS-TNHA-S06</v>
          </cell>
          <cell r="L443" t="str">
            <v>ST-06</v>
          </cell>
          <cell r="M443" t="str">
            <v>BÁCH</v>
          </cell>
          <cell r="N443">
            <v>46000</v>
          </cell>
          <cell r="O443" t="str">
            <v>F-124</v>
          </cell>
          <cell r="P443" t="str">
            <v>19h15 9/12/2025</v>
          </cell>
          <cell r="Q443" t="str">
            <v>PD-05;PD-06</v>
          </cell>
          <cell r="R443" t="str">
            <v>BÁCH</v>
          </cell>
          <cell r="S443">
            <v>46003</v>
          </cell>
          <cell r="T443" t="str">
            <v>V-131</v>
          </cell>
          <cell r="Y443" t="str">
            <v>FINISH</v>
          </cell>
          <cell r="Z443" t="str">
            <v>ACC</v>
          </cell>
          <cell r="AA443" t="str">
            <v>ACC</v>
          </cell>
          <cell r="AB443" t="str">
            <v>MT-2211-ST-06-0013</v>
          </cell>
          <cell r="AC443" t="str">
            <v>ACC</v>
          </cell>
          <cell r="AD443" t="str">
            <v>UT-2211-ST-06-0013</v>
          </cell>
          <cell r="AP443" t="str">
            <v>16/12/2025</v>
          </cell>
        </row>
        <row r="444">
          <cell r="A444" t="str">
            <v>9001-2211-DS-0014-01-WM9</v>
          </cell>
          <cell r="B444" t="str">
            <v>9001-2211-DS-0014-01-WM</v>
          </cell>
          <cell r="C444">
            <v>9</v>
          </cell>
          <cell r="E444" t="str">
            <v>SB</v>
          </cell>
          <cell r="F444" t="str">
            <v>100%MT &amp; UT</v>
          </cell>
          <cell r="G444" t="str">
            <v>D</v>
          </cell>
          <cell r="H444">
            <v>3827.6600000000003</v>
          </cell>
          <cell r="I444">
            <v>25</v>
          </cell>
          <cell r="K444" t="str">
            <v>WPS-TNHA-S07</v>
          </cell>
          <cell r="L444" t="str">
            <v>ST-06</v>
          </cell>
          <cell r="Y444" t="str">
            <v>NOT YET FITUP</v>
          </cell>
        </row>
        <row r="445">
          <cell r="A445" t="str">
            <v>9001-2211-DS-0014-01-WM10</v>
          </cell>
          <cell r="B445" t="str">
            <v>9001-2211-DS-0014-01-WM</v>
          </cell>
          <cell r="C445">
            <v>10</v>
          </cell>
          <cell r="E445" t="str">
            <v>SB</v>
          </cell>
          <cell r="F445" t="str">
            <v>100%MT &amp; UT</v>
          </cell>
          <cell r="G445" t="str">
            <v>D</v>
          </cell>
          <cell r="H445">
            <v>2232.54</v>
          </cell>
          <cell r="I445">
            <v>25</v>
          </cell>
          <cell r="K445" t="str">
            <v>WPS-TNHA-S07</v>
          </cell>
          <cell r="L445" t="str">
            <v>ST-06</v>
          </cell>
          <cell r="M445" t="str">
            <v>XUÂN</v>
          </cell>
          <cell r="N445">
            <v>46001</v>
          </cell>
          <cell r="O445" t="str">
            <v>F-125</v>
          </cell>
          <cell r="Y445" t="str">
            <v>NOT YET VISUAL</v>
          </cell>
        </row>
        <row r="446">
          <cell r="A446" t="str">
            <v>9001-2211-DS-0014-01-WM11</v>
          </cell>
          <cell r="B446" t="str">
            <v>9001-2211-DS-0014-01-WM</v>
          </cell>
          <cell r="C446">
            <v>11</v>
          </cell>
          <cell r="E446" t="str">
            <v>SV</v>
          </cell>
          <cell r="F446" t="str">
            <v>100%MT &amp; UT</v>
          </cell>
          <cell r="G446" t="str">
            <v>D</v>
          </cell>
          <cell r="H446">
            <v>1595.1200000000001</v>
          </cell>
          <cell r="I446">
            <v>20</v>
          </cell>
          <cell r="K446" t="str">
            <v>WPS-TNHA-S06</v>
          </cell>
          <cell r="L446" t="str">
            <v>ST-06</v>
          </cell>
          <cell r="M446" t="str">
            <v>TUÂN</v>
          </cell>
          <cell r="N446">
            <v>45957</v>
          </cell>
          <cell r="O446" t="str">
            <v>F-063</v>
          </cell>
          <cell r="P446" t="str">
            <v>17h 28/10/2025</v>
          </cell>
          <cell r="Q446" t="str">
            <v>PD-06;DHN-SL-15</v>
          </cell>
          <cell r="R446" t="str">
            <v>THÁI</v>
          </cell>
          <cell r="S446">
            <v>45960</v>
          </cell>
          <cell r="T446" t="str">
            <v>V-047</v>
          </cell>
          <cell r="Y446" t="str">
            <v>FINISH</v>
          </cell>
          <cell r="Z446" t="str">
            <v>ACC</v>
          </cell>
          <cell r="AA446" t="str">
            <v>ACC</v>
          </cell>
          <cell r="AB446" t="str">
            <v>MT-2211-ST-06-0003</v>
          </cell>
          <cell r="AC446" t="str">
            <v>ACC</v>
          </cell>
          <cell r="AD446" t="str">
            <v>UT-2211-ST-06-0003</v>
          </cell>
          <cell r="AP446" t="str">
            <v>5/11/2025</v>
          </cell>
        </row>
        <row r="447">
          <cell r="A447" t="str">
            <v>9001-2211-DS-0014-01-WM12</v>
          </cell>
          <cell r="B447" t="str">
            <v>9001-2211-DS-0014-01-WM</v>
          </cell>
          <cell r="C447">
            <v>12</v>
          </cell>
          <cell r="E447" t="str">
            <v>SV</v>
          </cell>
          <cell r="F447" t="str">
            <v>100%MT &amp; UT</v>
          </cell>
          <cell r="G447" t="str">
            <v>D</v>
          </cell>
          <cell r="H447">
            <v>1595.1200000000001</v>
          </cell>
          <cell r="I447">
            <v>20</v>
          </cell>
          <cell r="K447" t="str">
            <v>WPS-TNHA-S06</v>
          </cell>
          <cell r="L447" t="str">
            <v>ST-06</v>
          </cell>
          <cell r="M447" t="str">
            <v>TUÂN</v>
          </cell>
          <cell r="N447">
            <v>45957</v>
          </cell>
          <cell r="O447" t="str">
            <v>F-063</v>
          </cell>
          <cell r="P447" t="str">
            <v>10h30 28/10/2025</v>
          </cell>
          <cell r="Q447" t="str">
            <v>PD-06;DHN-SL-15</v>
          </cell>
          <cell r="R447" t="str">
            <v>THÁI</v>
          </cell>
          <cell r="S447">
            <v>45960</v>
          </cell>
          <cell r="T447" t="str">
            <v>V-047</v>
          </cell>
          <cell r="Y447" t="str">
            <v>FINISH</v>
          </cell>
          <cell r="Z447" t="str">
            <v>ACC</v>
          </cell>
          <cell r="AA447" t="str">
            <v>ACC</v>
          </cell>
          <cell r="AB447" t="str">
            <v>MT-2211-ST-06-0003</v>
          </cell>
          <cell r="AC447" t="str">
            <v>ACC</v>
          </cell>
          <cell r="AD447" t="str">
            <v>UT-2211-ST-06-0003</v>
          </cell>
          <cell r="AP447" t="str">
            <v>5/11/2025</v>
          </cell>
        </row>
        <row r="448">
          <cell r="A448" t="str">
            <v>9001-2211-DS-0014-01-WM13</v>
          </cell>
          <cell r="B448" t="str">
            <v>9001-2211-DS-0014-01-WM</v>
          </cell>
          <cell r="C448">
            <v>13</v>
          </cell>
          <cell r="E448" t="str">
            <v>SB</v>
          </cell>
          <cell r="F448" t="str">
            <v>100%MT &amp; UT</v>
          </cell>
          <cell r="G448" t="str">
            <v>D</v>
          </cell>
          <cell r="H448">
            <v>2552.8200000000002</v>
          </cell>
          <cell r="I448">
            <v>20</v>
          </cell>
          <cell r="K448" t="str">
            <v>WPS-TNHA-S07</v>
          </cell>
          <cell r="L448" t="str">
            <v>ST-06</v>
          </cell>
          <cell r="Y448" t="str">
            <v>NOT YET FITUP</v>
          </cell>
        </row>
        <row r="449">
          <cell r="A449" t="str">
            <v>9001-2211-DS-0014-01-WM14</v>
          </cell>
          <cell r="B449" t="str">
            <v>9001-2211-DS-0014-01-WM</v>
          </cell>
          <cell r="C449">
            <v>14</v>
          </cell>
          <cell r="E449" t="str">
            <v>SV</v>
          </cell>
          <cell r="F449" t="str">
            <v>100%MT &amp; UT</v>
          </cell>
          <cell r="G449" t="str">
            <v>D</v>
          </cell>
          <cell r="H449">
            <v>2552.8200000000002</v>
          </cell>
          <cell r="I449">
            <v>20</v>
          </cell>
          <cell r="K449" t="str">
            <v>WPS-TNHA-S06</v>
          </cell>
          <cell r="L449" t="str">
            <v>ST-06</v>
          </cell>
          <cell r="M449" t="str">
            <v>THÁI</v>
          </cell>
          <cell r="N449">
            <v>45978</v>
          </cell>
          <cell r="O449" t="str">
            <v>F-089</v>
          </cell>
          <cell r="P449" t="str">
            <v>18/11/2025</v>
          </cell>
          <cell r="Q449" t="str">
            <v>BGT-0030;GTC-10;BGT0019</v>
          </cell>
          <cell r="R449" t="str">
            <v>THÁI</v>
          </cell>
          <cell r="S449">
            <v>45983</v>
          </cell>
          <cell r="T449" t="str">
            <v>V-087</v>
          </cell>
          <cell r="Y449" t="str">
            <v>FINISH</v>
          </cell>
          <cell r="Z449" t="str">
            <v>ACC</v>
          </cell>
          <cell r="AA449" t="str">
            <v>ACC</v>
          </cell>
          <cell r="AB449" t="str">
            <v>MT-2211-ST-06-0008</v>
          </cell>
          <cell r="AC449" t="str">
            <v>ACC</v>
          </cell>
          <cell r="AD449" t="str">
            <v>UT-2211-ST-06-0008</v>
          </cell>
          <cell r="AJ449">
            <v>45995</v>
          </cell>
          <cell r="AK449" t="str">
            <v>FINAL-V-116</v>
          </cell>
          <cell r="AP449" t="str">
            <v>26/11/2025</v>
          </cell>
        </row>
        <row r="450">
          <cell r="A450" t="str">
            <v>9001-2211-DS-0014-01-WM15</v>
          </cell>
          <cell r="B450" t="str">
            <v>9001-2211-DS-0014-01-WM</v>
          </cell>
          <cell r="C450">
            <v>15</v>
          </cell>
          <cell r="E450" t="str">
            <v>SV</v>
          </cell>
          <cell r="F450" t="str">
            <v>100%MT &amp; UT</v>
          </cell>
          <cell r="G450" t="str">
            <v>L</v>
          </cell>
          <cell r="H450">
            <v>1000</v>
          </cell>
          <cell r="I450">
            <v>20</v>
          </cell>
          <cell r="K450" t="str">
            <v>WPS-TNHA-S06</v>
          </cell>
          <cell r="L450" t="str">
            <v>ST-06</v>
          </cell>
          <cell r="M450" t="str">
            <v>TUÂN</v>
          </cell>
          <cell r="N450">
            <v>45966</v>
          </cell>
          <cell r="O450" t="str">
            <v>F-076</v>
          </cell>
          <cell r="P450" t="str">
            <v>2/11/2025</v>
          </cell>
          <cell r="Q450" t="str">
            <v>BGT0017</v>
          </cell>
          <cell r="R450" t="str">
            <v>BÁCH</v>
          </cell>
          <cell r="S450">
            <v>45969</v>
          </cell>
          <cell r="T450" t="str">
            <v>V-062</v>
          </cell>
          <cell r="Y450" t="str">
            <v>FINISH</v>
          </cell>
          <cell r="Z450" t="str">
            <v>ACC</v>
          </cell>
          <cell r="AA450" t="str">
            <v>ACC</v>
          </cell>
          <cell r="AB450" t="str">
            <v>MT-2211-ST-06-0006</v>
          </cell>
          <cell r="AC450" t="str">
            <v>ACC</v>
          </cell>
          <cell r="AD450" t="str">
            <v>UT-2211-ST-06-0006</v>
          </cell>
          <cell r="AJ450">
            <v>45995</v>
          </cell>
          <cell r="AK450" t="str">
            <v>FINAL-V-116</v>
          </cell>
          <cell r="AP450" t="str">
            <v>12/11/2025</v>
          </cell>
        </row>
        <row r="451">
          <cell r="A451" t="str">
            <v>9001-2211-DS-0014-01-WM16</v>
          </cell>
          <cell r="B451" t="str">
            <v>9001-2211-DS-0014-01-WM</v>
          </cell>
          <cell r="C451">
            <v>16</v>
          </cell>
          <cell r="E451" t="str">
            <v>SV</v>
          </cell>
          <cell r="F451" t="str">
            <v>100%MT &amp; UT</v>
          </cell>
          <cell r="G451" t="str">
            <v>D</v>
          </cell>
          <cell r="H451">
            <v>2232.54</v>
          </cell>
          <cell r="I451" t="str">
            <v>20/25</v>
          </cell>
          <cell r="K451" t="str">
            <v>WPS-TNHA-S06</v>
          </cell>
          <cell r="L451" t="str">
            <v>ST-06</v>
          </cell>
          <cell r="M451" t="str">
            <v>THÁI</v>
          </cell>
          <cell r="N451">
            <v>45978</v>
          </cell>
          <cell r="O451" t="str">
            <v>F-089</v>
          </cell>
          <cell r="P451" t="str">
            <v>18/11/2025</v>
          </cell>
          <cell r="Q451" t="str">
            <v>BGT-0030;GTC-10;BGT0019</v>
          </cell>
          <cell r="R451" t="str">
            <v>THÁI</v>
          </cell>
          <cell r="S451">
            <v>45983</v>
          </cell>
          <cell r="T451" t="str">
            <v>V-087</v>
          </cell>
          <cell r="Y451" t="str">
            <v>FINISH</v>
          </cell>
          <cell r="Z451" t="str">
            <v>ACC</v>
          </cell>
          <cell r="AA451" t="str">
            <v>ACC</v>
          </cell>
          <cell r="AB451" t="str">
            <v>MT-2211-ST-06-0008</v>
          </cell>
          <cell r="AC451" t="str">
            <v>ACC</v>
          </cell>
          <cell r="AD451" t="str">
            <v>UT-2211-ST-06-0008</v>
          </cell>
          <cell r="AJ451">
            <v>45995</v>
          </cell>
          <cell r="AK451" t="str">
            <v>FINAL-V-116</v>
          </cell>
          <cell r="AP451" t="str">
            <v>26/11/2025</v>
          </cell>
        </row>
        <row r="452">
          <cell r="A452" t="str">
            <v>9001-2211-DS-0014-01-WM17</v>
          </cell>
          <cell r="B452" t="str">
            <v>9001-2211-DS-0014-01-WM</v>
          </cell>
          <cell r="C452">
            <v>17</v>
          </cell>
          <cell r="E452" t="str">
            <v>SB</v>
          </cell>
          <cell r="F452" t="str">
            <v>100%MT &amp; UT</v>
          </cell>
          <cell r="G452" t="str">
            <v>D</v>
          </cell>
          <cell r="H452">
            <v>2232.54</v>
          </cell>
          <cell r="I452">
            <v>15</v>
          </cell>
          <cell r="K452" t="str">
            <v>WPS-TNHA-S07</v>
          </cell>
          <cell r="L452" t="str">
            <v>ST-06</v>
          </cell>
          <cell r="Y452" t="str">
            <v>NOT YET FITUP</v>
          </cell>
        </row>
        <row r="453">
          <cell r="A453" t="str">
            <v>9001-2211-DS-0014-01-WM18</v>
          </cell>
          <cell r="B453" t="str">
            <v>9001-2211-DS-0014-01-WM</v>
          </cell>
          <cell r="C453">
            <v>18</v>
          </cell>
          <cell r="E453" t="str">
            <v>SB</v>
          </cell>
          <cell r="F453" t="str">
            <v>100%MT &amp; UT</v>
          </cell>
          <cell r="G453" t="str">
            <v>D</v>
          </cell>
          <cell r="H453">
            <v>1595.1200000000001</v>
          </cell>
          <cell r="I453">
            <v>15</v>
          </cell>
          <cell r="K453" t="str">
            <v>WPS-TNHA-S07</v>
          </cell>
          <cell r="L453" t="str">
            <v>ST-06</v>
          </cell>
          <cell r="Y453" t="str">
            <v>NOT YET FITUP</v>
          </cell>
        </row>
        <row r="454">
          <cell r="A454" t="str">
            <v>9001-2211-DS-0014-01-WM19</v>
          </cell>
          <cell r="B454" t="str">
            <v>9001-2211-DS-0014-01-WM</v>
          </cell>
          <cell r="C454">
            <v>19</v>
          </cell>
          <cell r="E454" t="str">
            <v>SV</v>
          </cell>
          <cell r="F454" t="str">
            <v>100%MT&amp;UT</v>
          </cell>
          <cell r="G454" t="str">
            <v>D</v>
          </cell>
          <cell r="H454">
            <v>2232.54</v>
          </cell>
          <cell r="I454" t="str">
            <v>15/25</v>
          </cell>
          <cell r="K454" t="str">
            <v>WPS-TNHA-S06</v>
          </cell>
          <cell r="L454" t="str">
            <v>ST-06</v>
          </cell>
          <cell r="M454" t="str">
            <v>HIẾU</v>
          </cell>
          <cell r="N454">
            <v>45947</v>
          </cell>
          <cell r="O454" t="str">
            <v>F-050</v>
          </cell>
          <cell r="P454" t="str">
            <v>18/10/2025</v>
          </cell>
          <cell r="Q454" t="str">
            <v>BGT-0013;BGT0017</v>
          </cell>
          <cell r="R454" t="str">
            <v>TUÂN</v>
          </cell>
          <cell r="S454">
            <v>45951</v>
          </cell>
          <cell r="T454" t="str">
            <v>V-038</v>
          </cell>
          <cell r="Y454" t="str">
            <v>FINISH</v>
          </cell>
          <cell r="Z454" t="str">
            <v>ACC</v>
          </cell>
          <cell r="AA454" t="str">
            <v>ACC</v>
          </cell>
          <cell r="AB454" t="str">
            <v>MT-2211-ST-06-0002</v>
          </cell>
          <cell r="AC454" t="str">
            <v>ACC</v>
          </cell>
          <cell r="AD454" t="str">
            <v>UT-2211-ST-06-0002</v>
          </cell>
          <cell r="AJ454">
            <v>45993</v>
          </cell>
          <cell r="AK454" t="str">
            <v>FINAL-V-108</v>
          </cell>
          <cell r="AP454" t="str">
            <v>22/10/2025</v>
          </cell>
        </row>
        <row r="455">
          <cell r="A455" t="str">
            <v>9001-2211-DS-0014-01-WM20</v>
          </cell>
          <cell r="B455" t="str">
            <v>9001-2211-DS-0014-01-WM</v>
          </cell>
          <cell r="C455">
            <v>20</v>
          </cell>
          <cell r="E455" t="str">
            <v>SV</v>
          </cell>
          <cell r="F455" t="str">
            <v>100%MT&amp;UT</v>
          </cell>
          <cell r="G455" t="str">
            <v>D</v>
          </cell>
          <cell r="H455">
            <v>2232.54</v>
          </cell>
          <cell r="I455" t="str">
            <v>15/35</v>
          </cell>
          <cell r="K455" t="str">
            <v>WPS-TNHA-S06</v>
          </cell>
          <cell r="L455" t="str">
            <v>ST-06</v>
          </cell>
          <cell r="M455" t="str">
            <v>THÁI</v>
          </cell>
          <cell r="N455">
            <v>45962</v>
          </cell>
          <cell r="O455" t="str">
            <v>F-069</v>
          </cell>
          <cell r="P455" t="str">
            <v>14h 10/11/2025</v>
          </cell>
          <cell r="Q455" t="str">
            <v>PD-05;PD-06</v>
          </cell>
          <cell r="R455" t="str">
            <v>THÁI</v>
          </cell>
          <cell r="S455">
            <v>45975</v>
          </cell>
          <cell r="T455" t="str">
            <v>V-072</v>
          </cell>
          <cell r="Y455" t="str">
            <v>FINISH</v>
          </cell>
          <cell r="Z455" t="str">
            <v>ACC</v>
          </cell>
          <cell r="AA455" t="str">
            <v>ACC</v>
          </cell>
          <cell r="AB455" t="str">
            <v>MT-2211-ST-06-0007</v>
          </cell>
          <cell r="AC455" t="str">
            <v>ACC</v>
          </cell>
          <cell r="AD455" t="str">
            <v>UT-2211-ST-06-0007</v>
          </cell>
          <cell r="AP455" t="str">
            <v>19/11/2025</v>
          </cell>
        </row>
        <row r="456">
          <cell r="A456" t="str">
            <v>9001-2211-DS-0014-01-WM21</v>
          </cell>
          <cell r="B456" t="str">
            <v>9001-2211-DS-0014-01-WM</v>
          </cell>
          <cell r="C456">
            <v>21</v>
          </cell>
          <cell r="E456" t="str">
            <v>SB</v>
          </cell>
          <cell r="F456" t="str">
            <v>100%MT &amp; UT</v>
          </cell>
          <cell r="G456" t="str">
            <v>D</v>
          </cell>
          <cell r="H456">
            <v>1595.1200000000001</v>
          </cell>
          <cell r="I456">
            <v>20</v>
          </cell>
          <cell r="K456" t="str">
            <v>WPS-TNHA-S07</v>
          </cell>
          <cell r="L456" t="str">
            <v>ST-06</v>
          </cell>
          <cell r="M456" t="str">
            <v>BÁCH</v>
          </cell>
          <cell r="N456">
            <v>45983</v>
          </cell>
          <cell r="O456" t="str">
            <v>F-098</v>
          </cell>
          <cell r="P456" t="str">
            <v>16h 01/12/2025</v>
          </cell>
          <cell r="Q456" t="str">
            <v>PD-31;DHN-SL-20</v>
          </cell>
          <cell r="R456" t="str">
            <v>BÁCH</v>
          </cell>
          <cell r="S456">
            <v>45997</v>
          </cell>
          <cell r="T456" t="str">
            <v>V-119</v>
          </cell>
          <cell r="Y456" t="str">
            <v>FINISH</v>
          </cell>
          <cell r="Z456" t="str">
            <v>ACC</v>
          </cell>
          <cell r="AA456" t="str">
            <v>ACC</v>
          </cell>
          <cell r="AB456" t="str">
            <v>MT-2211-ST-06-0012</v>
          </cell>
          <cell r="AC456" t="str">
            <v>ACC</v>
          </cell>
          <cell r="AD456" t="str">
            <v>UT-2211-ST-06-0011</v>
          </cell>
          <cell r="AP456" t="str">
            <v>10/12/2025</v>
          </cell>
        </row>
        <row r="457">
          <cell r="A457" t="str">
            <v>9001-2211-DS-0014-01-WM22</v>
          </cell>
          <cell r="B457" t="str">
            <v>9001-2211-DS-0014-01-WM</v>
          </cell>
          <cell r="C457">
            <v>22</v>
          </cell>
          <cell r="E457" t="str">
            <v>SB</v>
          </cell>
          <cell r="F457" t="str">
            <v>100%MT &amp; UT</v>
          </cell>
          <cell r="G457" t="str">
            <v>D</v>
          </cell>
          <cell r="H457">
            <v>1595.1200000000001</v>
          </cell>
          <cell r="I457">
            <v>20</v>
          </cell>
          <cell r="K457" t="str">
            <v>WPS-TNHA-S07</v>
          </cell>
          <cell r="L457" t="str">
            <v>ST-06</v>
          </cell>
          <cell r="M457" t="str">
            <v>BÁCH</v>
          </cell>
          <cell r="N457">
            <v>45983</v>
          </cell>
          <cell r="O457" t="str">
            <v>F-098</v>
          </cell>
          <cell r="P457" t="str">
            <v>16h 01/12/2025</v>
          </cell>
          <cell r="Q457" t="str">
            <v>PD-31;DHN-SL-20</v>
          </cell>
          <cell r="R457" t="str">
            <v>BÁCH</v>
          </cell>
          <cell r="S457">
            <v>45997</v>
          </cell>
          <cell r="T457" t="str">
            <v>V-119</v>
          </cell>
          <cell r="Y457" t="str">
            <v>FINISH</v>
          </cell>
          <cell r="Z457" t="str">
            <v>ACC</v>
          </cell>
          <cell r="AA457" t="str">
            <v>ACC</v>
          </cell>
          <cell r="AB457" t="str">
            <v>MT-2211-ST-06-0012</v>
          </cell>
          <cell r="AC457" t="str">
            <v>ACC</v>
          </cell>
          <cell r="AD457" t="str">
            <v>UT-2211-ST-06-0011</v>
          </cell>
          <cell r="AP457" t="str">
            <v>10/12/2025</v>
          </cell>
        </row>
        <row r="458">
          <cell r="A458" t="str">
            <v>9001-2211-DS-0014-01-WM23</v>
          </cell>
          <cell r="B458" t="str">
            <v>9001-2211-DS-0014-01-WM</v>
          </cell>
          <cell r="C458">
            <v>23</v>
          </cell>
          <cell r="E458" t="str">
            <v>SV</v>
          </cell>
          <cell r="F458" t="str">
            <v>100%MT&amp;UT</v>
          </cell>
          <cell r="G458" t="str">
            <v>D</v>
          </cell>
          <cell r="H458">
            <v>2232.54</v>
          </cell>
          <cell r="I458" t="str">
            <v>15/35</v>
          </cell>
          <cell r="K458" t="str">
            <v>WPS-TNHA-S06</v>
          </cell>
          <cell r="L458" t="str">
            <v>ST-06</v>
          </cell>
          <cell r="M458" t="str">
            <v>THÁI</v>
          </cell>
          <cell r="N458">
            <v>45962</v>
          </cell>
          <cell r="O458" t="str">
            <v>F-069</v>
          </cell>
          <cell r="P458" t="str">
            <v>19h30 09/11/2025</v>
          </cell>
          <cell r="Q458" t="str">
            <v>DHN-SL-27;DHN-SL-29</v>
          </cell>
          <cell r="R458" t="str">
            <v>THÁI</v>
          </cell>
          <cell r="S458">
            <v>45975</v>
          </cell>
          <cell r="T458" t="str">
            <v>V-072</v>
          </cell>
          <cell r="Y458" t="str">
            <v>FINISH</v>
          </cell>
          <cell r="Z458" t="str">
            <v>ACC</v>
          </cell>
          <cell r="AA458" t="str">
            <v>ACC</v>
          </cell>
          <cell r="AB458" t="str">
            <v>MT-2211-ST-06-0007</v>
          </cell>
          <cell r="AC458" t="str">
            <v>ACC</v>
          </cell>
          <cell r="AD458" t="str">
            <v>UT-2211-ST-06-0007</v>
          </cell>
          <cell r="AP458" t="str">
            <v>19/11/2025</v>
          </cell>
        </row>
        <row r="459">
          <cell r="A459" t="str">
            <v>9001-2211-DS-0014-01-WM24</v>
          </cell>
          <cell r="B459" t="str">
            <v>9001-2211-DS-0014-01-WM</v>
          </cell>
          <cell r="C459">
            <v>24</v>
          </cell>
          <cell r="E459" t="str">
            <v>SB</v>
          </cell>
          <cell r="F459" t="str">
            <v>100%MT &amp; UT</v>
          </cell>
          <cell r="G459" t="str">
            <v>D</v>
          </cell>
          <cell r="H459">
            <v>2232.54</v>
          </cell>
          <cell r="I459">
            <v>15</v>
          </cell>
          <cell r="K459" t="str">
            <v>WPS-TNHA-S07</v>
          </cell>
          <cell r="L459" t="str">
            <v>ST-06</v>
          </cell>
          <cell r="Y459" t="str">
            <v>NOT YET FITUP</v>
          </cell>
        </row>
        <row r="460">
          <cell r="A460" t="str">
            <v>9001-2211-DS-0014-01-WM25</v>
          </cell>
          <cell r="B460" t="str">
            <v>9001-2211-DS-0014-01-WM</v>
          </cell>
          <cell r="C460">
            <v>25</v>
          </cell>
          <cell r="E460" t="str">
            <v>SB</v>
          </cell>
          <cell r="F460" t="str">
            <v>100%MT &amp; UT</v>
          </cell>
          <cell r="G460" t="str">
            <v>D</v>
          </cell>
          <cell r="H460">
            <v>1595.1200000000001</v>
          </cell>
          <cell r="I460">
            <v>15</v>
          </cell>
          <cell r="K460" t="str">
            <v>WPS-TNHA-S07</v>
          </cell>
          <cell r="L460" t="str">
            <v>ST-06</v>
          </cell>
          <cell r="Y460" t="str">
            <v>NOT YET FITUP</v>
          </cell>
        </row>
        <row r="461">
          <cell r="A461" t="str">
            <v>9001-2211-DS-0014-01-WM26</v>
          </cell>
          <cell r="B461" t="str">
            <v>9001-2211-DS-0014-01-WM</v>
          </cell>
          <cell r="C461">
            <v>26</v>
          </cell>
          <cell r="E461" t="str">
            <v>SV</v>
          </cell>
          <cell r="F461" t="str">
            <v>100%MT&amp;UT</v>
          </cell>
          <cell r="G461" t="str">
            <v>D</v>
          </cell>
          <cell r="H461">
            <v>2232.54</v>
          </cell>
          <cell r="I461" t="str">
            <v>15/25</v>
          </cell>
          <cell r="K461" t="str">
            <v>WPS-TNHA-S06</v>
          </cell>
          <cell r="L461" t="str">
            <v>ST-06</v>
          </cell>
          <cell r="M461" t="str">
            <v>HIẾU</v>
          </cell>
          <cell r="N461">
            <v>45947</v>
          </cell>
          <cell r="O461" t="str">
            <v>F-050</v>
          </cell>
          <cell r="P461" t="str">
            <v>8h 18/10/2025</v>
          </cell>
          <cell r="Q461" t="str">
            <v>BGT-0013;BGT0017</v>
          </cell>
          <cell r="R461" t="str">
            <v>HIẾU</v>
          </cell>
          <cell r="S461">
            <v>45950</v>
          </cell>
          <cell r="T461" t="str">
            <v>V-037</v>
          </cell>
          <cell r="Y461" t="str">
            <v>FINISH</v>
          </cell>
          <cell r="Z461" t="str">
            <v>ACC</v>
          </cell>
          <cell r="AA461" t="str">
            <v>ACC</v>
          </cell>
          <cell r="AB461" t="str">
            <v>MT-2211-ST-06-0001</v>
          </cell>
          <cell r="AC461" t="str">
            <v>ACC</v>
          </cell>
          <cell r="AD461" t="str">
            <v>UT-2211-ST-06-0001</v>
          </cell>
          <cell r="AJ461">
            <v>45995</v>
          </cell>
          <cell r="AK461" t="str">
            <v>FINAL-V-116</v>
          </cell>
          <cell r="AP461" t="str">
            <v>22/10/2025</v>
          </cell>
        </row>
        <row r="462">
          <cell r="A462" t="str">
            <v>9001-2211-DS-0014-01-WM27</v>
          </cell>
          <cell r="B462" t="str">
            <v>9001-2211-DS-0014-01-WM</v>
          </cell>
          <cell r="C462">
            <v>27</v>
          </cell>
          <cell r="E462" t="str">
            <v>SV</v>
          </cell>
          <cell r="F462" t="str">
            <v>100%MT&amp;UT</v>
          </cell>
          <cell r="G462" t="str">
            <v>D</v>
          </cell>
          <cell r="H462">
            <v>2232.54</v>
          </cell>
          <cell r="I462" t="str">
            <v>15/25</v>
          </cell>
          <cell r="K462" t="str">
            <v>WPS-TNHA-S06</v>
          </cell>
          <cell r="L462" t="str">
            <v>ST-06</v>
          </cell>
          <cell r="M462" t="str">
            <v>HIẾU</v>
          </cell>
          <cell r="N462">
            <v>45947</v>
          </cell>
          <cell r="O462" t="str">
            <v>F-050</v>
          </cell>
          <cell r="P462" t="str">
            <v>8h 18/10/2025</v>
          </cell>
          <cell r="Q462" t="str">
            <v>BGT-0013;BGT0017</v>
          </cell>
          <cell r="R462" t="str">
            <v>HIẾU</v>
          </cell>
          <cell r="S462">
            <v>45950</v>
          </cell>
          <cell r="T462" t="str">
            <v>V-037</v>
          </cell>
          <cell r="Y462" t="str">
            <v>FINISH</v>
          </cell>
          <cell r="Z462" t="str">
            <v>ACC</v>
          </cell>
          <cell r="AA462" t="str">
            <v>ACC</v>
          </cell>
          <cell r="AB462" t="str">
            <v>MT-2211-ST-06-0001</v>
          </cell>
          <cell r="AC462" t="str">
            <v>ACC</v>
          </cell>
          <cell r="AD462" t="str">
            <v>UT-2211-ST-06-0001</v>
          </cell>
          <cell r="AJ462">
            <v>45995</v>
          </cell>
          <cell r="AK462" t="str">
            <v>FINAL-V-116</v>
          </cell>
          <cell r="AP462" t="str">
            <v>22/10/2025</v>
          </cell>
        </row>
        <row r="463">
          <cell r="A463" t="str">
            <v>9001-2211-DS-0014-01-WM28</v>
          </cell>
          <cell r="B463" t="str">
            <v>9001-2211-DS-0014-01-WM</v>
          </cell>
          <cell r="C463">
            <v>28</v>
          </cell>
          <cell r="E463" t="str">
            <v>SV</v>
          </cell>
          <cell r="F463" t="str">
            <v>100%MT&amp;UT</v>
          </cell>
          <cell r="G463" t="str">
            <v>D</v>
          </cell>
          <cell r="H463">
            <v>2232.54</v>
          </cell>
          <cell r="I463" t="str">
            <v>15/25</v>
          </cell>
          <cell r="K463" t="str">
            <v>WPS-TNHA-S06</v>
          </cell>
          <cell r="L463" t="str">
            <v>ST-06</v>
          </cell>
          <cell r="M463" t="str">
            <v>HIẾU</v>
          </cell>
          <cell r="N463">
            <v>45947</v>
          </cell>
          <cell r="O463" t="str">
            <v>F-050</v>
          </cell>
          <cell r="P463" t="str">
            <v>18/10/2025</v>
          </cell>
          <cell r="Q463" t="str">
            <v>BGT-0013;BGT0017</v>
          </cell>
          <cell r="R463" t="str">
            <v>TUÂN</v>
          </cell>
          <cell r="S463">
            <v>45951</v>
          </cell>
          <cell r="T463" t="str">
            <v>V-038</v>
          </cell>
          <cell r="Y463" t="str">
            <v>FINISH</v>
          </cell>
          <cell r="Z463" t="str">
            <v>ACC</v>
          </cell>
          <cell r="AA463" t="str">
            <v>ACC</v>
          </cell>
          <cell r="AB463" t="str">
            <v>MT-2211-ST-06-0002</v>
          </cell>
          <cell r="AC463" t="str">
            <v>ACC</v>
          </cell>
          <cell r="AD463" t="str">
            <v>UT-2211-ST-06-0002</v>
          </cell>
          <cell r="AJ463">
            <v>45995</v>
          </cell>
          <cell r="AK463" t="str">
            <v>FINAL-V-116</v>
          </cell>
          <cell r="AP463" t="str">
            <v>22/10/2025</v>
          </cell>
        </row>
        <row r="464">
          <cell r="A464" t="str">
            <v>9001-2211-DS-0014-01-WM29</v>
          </cell>
          <cell r="B464" t="str">
            <v>9001-2211-DS-0014-01-WM</v>
          </cell>
          <cell r="C464">
            <v>29</v>
          </cell>
          <cell r="E464" t="str">
            <v>SB</v>
          </cell>
          <cell r="F464" t="str">
            <v>100%MT &amp; UT</v>
          </cell>
          <cell r="G464" t="str">
            <v>D</v>
          </cell>
          <cell r="H464">
            <v>2232.54</v>
          </cell>
          <cell r="I464">
            <v>15</v>
          </cell>
          <cell r="K464" t="str">
            <v>WPS-TNHA-S07</v>
          </cell>
          <cell r="L464" t="str">
            <v>ST-06</v>
          </cell>
          <cell r="M464" t="str">
            <v>XUÂN</v>
          </cell>
          <cell r="N464">
            <v>46001</v>
          </cell>
          <cell r="O464" t="str">
            <v>F-125</v>
          </cell>
          <cell r="Y464" t="str">
            <v>NOT YET VISUAL</v>
          </cell>
        </row>
        <row r="465">
          <cell r="A465" t="str">
            <v>9001-2211-DS-0014-01-WM30</v>
          </cell>
          <cell r="B465" t="str">
            <v>9001-2211-DS-0014-01-WM</v>
          </cell>
          <cell r="C465">
            <v>30</v>
          </cell>
          <cell r="E465" t="str">
            <v>SB</v>
          </cell>
          <cell r="F465" t="str">
            <v>100%MT &amp; UT</v>
          </cell>
          <cell r="G465" t="str">
            <v>D</v>
          </cell>
          <cell r="H465">
            <v>2232.54</v>
          </cell>
          <cell r="I465">
            <v>15</v>
          </cell>
          <cell r="K465" t="str">
            <v>WPS-TNHA-S07</v>
          </cell>
          <cell r="L465" t="str">
            <v>ST-06</v>
          </cell>
          <cell r="Y465" t="str">
            <v>NOT YET FITUP</v>
          </cell>
        </row>
        <row r="466">
          <cell r="A466" t="str">
            <v>9001-2211-DS-0014-01-WM31</v>
          </cell>
          <cell r="B466" t="str">
            <v>9001-2211-DS-0014-01-WM</v>
          </cell>
          <cell r="C466">
            <v>31</v>
          </cell>
          <cell r="E466" t="str">
            <v>SV</v>
          </cell>
          <cell r="F466" t="str">
            <v>100%MT&amp;UT</v>
          </cell>
          <cell r="G466" t="str">
            <v>D</v>
          </cell>
          <cell r="H466">
            <v>2232.54</v>
          </cell>
          <cell r="I466" t="str">
            <v>15/25</v>
          </cell>
          <cell r="K466" t="str">
            <v>WPS-TNHA-S06</v>
          </cell>
          <cell r="L466" t="str">
            <v>ST-06</v>
          </cell>
          <cell r="M466" t="str">
            <v>TUÂN</v>
          </cell>
          <cell r="N466">
            <v>45959</v>
          </cell>
          <cell r="O466" t="str">
            <v>F-066</v>
          </cell>
          <cell r="P466" t="str">
            <v>15h 30/10/2025</v>
          </cell>
          <cell r="Q466" t="str">
            <v>PD-06;DHN-SL-15</v>
          </cell>
          <cell r="R466" t="str">
            <v>THÁI</v>
          </cell>
          <cell r="S466">
            <v>45962</v>
          </cell>
          <cell r="T466" t="str">
            <v>V-050</v>
          </cell>
          <cell r="Y466" t="str">
            <v>FINISH</v>
          </cell>
          <cell r="Z466" t="str">
            <v>ACC</v>
          </cell>
          <cell r="AA466" t="str">
            <v>ACC</v>
          </cell>
          <cell r="AB466" t="str">
            <v>MT-2211-ST-06-0004</v>
          </cell>
          <cell r="AC466" t="str">
            <v>ACC</v>
          </cell>
          <cell r="AD466" t="str">
            <v>UT-2211-ST-06-0004</v>
          </cell>
          <cell r="AP466" t="str">
            <v>5/11/2025</v>
          </cell>
        </row>
        <row r="467">
          <cell r="A467" t="str">
            <v>9001-2211-DS-0014-01-WM32</v>
          </cell>
          <cell r="B467" t="str">
            <v>9001-2211-DS-0014-01-WM</v>
          </cell>
          <cell r="C467">
            <v>32</v>
          </cell>
          <cell r="E467" t="str">
            <v>SB</v>
          </cell>
          <cell r="F467" t="str">
            <v>100%MT &amp; UT</v>
          </cell>
          <cell r="G467" t="str">
            <v>D</v>
          </cell>
          <cell r="H467">
            <v>1595.1200000000001</v>
          </cell>
          <cell r="I467">
            <v>15</v>
          </cell>
          <cell r="K467" t="str">
            <v>WPS-TNHA-S07</v>
          </cell>
          <cell r="L467" t="str">
            <v>ST-06</v>
          </cell>
          <cell r="Y467" t="str">
            <v>NOT YET FITUP</v>
          </cell>
        </row>
        <row r="468">
          <cell r="A468" t="str">
            <v>9001-2211-DS-0014-01-WM33</v>
          </cell>
          <cell r="B468" t="str">
            <v>9001-2211-DS-0014-01-WM</v>
          </cell>
          <cell r="C468">
            <v>33</v>
          </cell>
          <cell r="E468" t="str">
            <v>SB</v>
          </cell>
          <cell r="F468" t="str">
            <v>100%MT &amp; UT</v>
          </cell>
          <cell r="G468" t="str">
            <v>D</v>
          </cell>
          <cell r="H468">
            <v>1595.1200000000001</v>
          </cell>
          <cell r="I468">
            <v>15</v>
          </cell>
          <cell r="K468" t="str">
            <v>WPS-TNHA-S07</v>
          </cell>
          <cell r="L468" t="str">
            <v>ST-06</v>
          </cell>
          <cell r="Y468" t="str">
            <v>NOT YET FITUP</v>
          </cell>
        </row>
        <row r="469">
          <cell r="A469" t="str">
            <v>9001-2211-DS-0014-01-WM34</v>
          </cell>
          <cell r="B469" t="str">
            <v>9001-2211-DS-0014-01-WM</v>
          </cell>
          <cell r="C469">
            <v>34</v>
          </cell>
          <cell r="E469" t="str">
            <v>SV</v>
          </cell>
          <cell r="F469" t="str">
            <v>100%MT&amp;UT</v>
          </cell>
          <cell r="G469" t="str">
            <v>D</v>
          </cell>
          <cell r="H469">
            <v>2232.54</v>
          </cell>
          <cell r="I469" t="str">
            <v>15/25</v>
          </cell>
          <cell r="K469" t="str">
            <v>WPS-TNHA-S06</v>
          </cell>
          <cell r="L469" t="str">
            <v>ST-06</v>
          </cell>
          <cell r="M469" t="str">
            <v>TUÂN</v>
          </cell>
          <cell r="N469">
            <v>45959</v>
          </cell>
          <cell r="O469" t="str">
            <v>F-066</v>
          </cell>
          <cell r="P469" t="str">
            <v>20h20 30/10/2025</v>
          </cell>
          <cell r="Q469" t="str">
            <v>DHN-SL-22;DHN-SL-29</v>
          </cell>
          <cell r="R469" t="str">
            <v>THÁI</v>
          </cell>
          <cell r="S469">
            <v>45962</v>
          </cell>
          <cell r="T469" t="str">
            <v>V-050</v>
          </cell>
          <cell r="Y469" t="str">
            <v>FINISH</v>
          </cell>
          <cell r="Z469" t="str">
            <v>ACC</v>
          </cell>
          <cell r="AA469" t="str">
            <v>ACC</v>
          </cell>
          <cell r="AB469" t="str">
            <v>MT-2211-ST-06-0004</v>
          </cell>
          <cell r="AC469" t="str">
            <v>ACC</v>
          </cell>
          <cell r="AD469" t="str">
            <v>UT-2211-ST-06-0004</v>
          </cell>
          <cell r="AP469" t="str">
            <v>5/11/2025</v>
          </cell>
        </row>
        <row r="470">
          <cell r="A470" t="str">
            <v>9001-2211-DS-0014-01-WM35</v>
          </cell>
          <cell r="B470" t="str">
            <v>9001-2211-DS-0014-01-WM</v>
          </cell>
          <cell r="C470">
            <v>35</v>
          </cell>
          <cell r="E470" t="str">
            <v>SB</v>
          </cell>
          <cell r="F470" t="str">
            <v>100%MT &amp; UT</v>
          </cell>
          <cell r="G470" t="str">
            <v>D</v>
          </cell>
          <cell r="H470">
            <v>2232.54</v>
          </cell>
          <cell r="I470">
            <v>15</v>
          </cell>
          <cell r="K470" t="str">
            <v>WPS-TNHA-S07</v>
          </cell>
          <cell r="L470" t="str">
            <v>ST-06</v>
          </cell>
          <cell r="Y470" t="str">
            <v>NOT YET FITUP</v>
          </cell>
        </row>
        <row r="471">
          <cell r="A471" t="str">
            <v>9001-2211-DS-0014-01-WM36</v>
          </cell>
          <cell r="B471" t="str">
            <v>9001-2211-DS-0014-01-WM</v>
          </cell>
          <cell r="C471">
            <v>36</v>
          </cell>
          <cell r="E471" t="str">
            <v>SB</v>
          </cell>
          <cell r="F471" t="str">
            <v>100%MT &amp; UT</v>
          </cell>
          <cell r="G471" t="str">
            <v>D</v>
          </cell>
          <cell r="H471">
            <v>2232.54</v>
          </cell>
          <cell r="I471">
            <v>15</v>
          </cell>
          <cell r="K471" t="str">
            <v>WPS-TNHA-S07</v>
          </cell>
          <cell r="L471" t="str">
            <v>ST-06</v>
          </cell>
          <cell r="Y471" t="str">
            <v>NOT YET FITUP</v>
          </cell>
        </row>
        <row r="472">
          <cell r="A472" t="str">
            <v>9001-2211-DS-0013-01-WM1</v>
          </cell>
          <cell r="B472" t="str">
            <v>9001-2211-DS-0013-01-WM</v>
          </cell>
          <cell r="C472">
            <v>1</v>
          </cell>
          <cell r="E472" t="str">
            <v>SB</v>
          </cell>
          <cell r="F472" t="str">
            <v>100%MT&amp;UT</v>
          </cell>
          <cell r="G472" t="str">
            <v>D</v>
          </cell>
          <cell r="H472">
            <v>1915.4</v>
          </cell>
          <cell r="I472">
            <v>25</v>
          </cell>
          <cell r="K472" t="str">
            <v>WPS-TNHA-S07</v>
          </cell>
          <cell r="L472" t="str">
            <v>ST-05</v>
          </cell>
          <cell r="Y472" t="str">
            <v>NOT YET FITUP</v>
          </cell>
        </row>
        <row r="473">
          <cell r="A473" t="str">
            <v>9001-2211-DS-0013-01-WM2</v>
          </cell>
          <cell r="B473" t="str">
            <v>9001-2211-DS-0013-01-WM</v>
          </cell>
          <cell r="C473">
            <v>2</v>
          </cell>
          <cell r="E473" t="str">
            <v xml:space="preserve">SV </v>
          </cell>
          <cell r="F473" t="str">
            <v>100%MT&amp;UT</v>
          </cell>
          <cell r="G473" t="str">
            <v>D</v>
          </cell>
          <cell r="H473">
            <v>1915.4</v>
          </cell>
          <cell r="I473" t="str">
            <v>15/25</v>
          </cell>
          <cell r="K473" t="str">
            <v>WPS-TNHA-S06</v>
          </cell>
          <cell r="L473" t="str">
            <v>ST-05</v>
          </cell>
          <cell r="M473" t="str">
            <v>TUÂN</v>
          </cell>
          <cell r="N473">
            <v>45964</v>
          </cell>
          <cell r="O473" t="str">
            <v>F-073</v>
          </cell>
          <cell r="P473" t="str">
            <v>21h30 3/11/2025</v>
          </cell>
          <cell r="Q473" t="str">
            <v>DHN-SL-22;DHN-SL-29</v>
          </cell>
          <cell r="R473" t="str">
            <v>BÁCH</v>
          </cell>
          <cell r="S473">
            <v>45966</v>
          </cell>
          <cell r="T473" t="str">
            <v>V-057</v>
          </cell>
          <cell r="Y473" t="str">
            <v>FINISH</v>
          </cell>
          <cell r="Z473" t="str">
            <v>ACC</v>
          </cell>
          <cell r="AA473" t="str">
            <v>ACC</v>
          </cell>
          <cell r="AB473" t="str">
            <v>MT-2211-ST-05-0004</v>
          </cell>
          <cell r="AC473" t="str">
            <v>ACC</v>
          </cell>
          <cell r="AD473" t="str">
            <v>UT-2211-ST-05-0005</v>
          </cell>
          <cell r="AL473" t="str">
            <v>13/11/2025</v>
          </cell>
          <cell r="AM473" t="str">
            <v>IRN-2211-ST-05-0003</v>
          </cell>
          <cell r="AP473" t="str">
            <v>12/11/2025</v>
          </cell>
        </row>
        <row r="474">
          <cell r="A474" t="str">
            <v>9001-2211-DS-0013-01-WM3</v>
          </cell>
          <cell r="B474" t="str">
            <v>9001-2211-DS-0013-01-WM</v>
          </cell>
          <cell r="C474">
            <v>3</v>
          </cell>
          <cell r="E474" t="str">
            <v xml:space="preserve">SV </v>
          </cell>
          <cell r="F474" t="str">
            <v>100%MT&amp;UT</v>
          </cell>
          <cell r="G474" t="str">
            <v>D</v>
          </cell>
          <cell r="H474">
            <v>1915.4</v>
          </cell>
          <cell r="I474" t="str">
            <v>15/30</v>
          </cell>
          <cell r="K474" t="str">
            <v>WPS-TNHA-S06</v>
          </cell>
          <cell r="L474" t="str">
            <v>ST-05</v>
          </cell>
          <cell r="M474" t="str">
            <v>TUÂN</v>
          </cell>
          <cell r="N474">
            <v>45964</v>
          </cell>
          <cell r="O474" t="str">
            <v>F-073</v>
          </cell>
          <cell r="P474" t="str">
            <v>21h 3/11/2025</v>
          </cell>
          <cell r="Q474" t="str">
            <v>DHN-SL-22;DHN-SL-29</v>
          </cell>
          <cell r="R474" t="str">
            <v>BÁCH</v>
          </cell>
          <cell r="S474">
            <v>45966</v>
          </cell>
          <cell r="T474" t="str">
            <v>V-057</v>
          </cell>
          <cell r="Y474" t="str">
            <v>FINISH</v>
          </cell>
          <cell r="Z474" t="str">
            <v>ACC</v>
          </cell>
          <cell r="AA474" t="str">
            <v>ACC</v>
          </cell>
          <cell r="AB474" t="str">
            <v>MT-2211-ST-05-0004</v>
          </cell>
          <cell r="AC474" t="str">
            <v>ACC</v>
          </cell>
          <cell r="AD474" t="str">
            <v>UT-2211-ST-05-0005</v>
          </cell>
          <cell r="AL474" t="str">
            <v>13/11/2025</v>
          </cell>
          <cell r="AM474" t="str">
            <v>IRN-2211-ST-05-0003</v>
          </cell>
          <cell r="AP474" t="str">
            <v>12/11/2025</v>
          </cell>
        </row>
        <row r="475">
          <cell r="A475" t="str">
            <v>9001-2211-DS-0013-01-WM4</v>
          </cell>
          <cell r="B475" t="str">
            <v>9001-2211-DS-0013-01-WM</v>
          </cell>
          <cell r="C475">
            <v>4</v>
          </cell>
          <cell r="E475" t="str">
            <v>SB</v>
          </cell>
          <cell r="F475" t="str">
            <v>100%MT&amp;UT</v>
          </cell>
          <cell r="G475" t="str">
            <v>D</v>
          </cell>
          <cell r="H475">
            <v>1595.1200000000001</v>
          </cell>
          <cell r="I475">
            <v>20</v>
          </cell>
          <cell r="K475" t="str">
            <v>WPS-TNHA-S07</v>
          </cell>
          <cell r="L475" t="str">
            <v>ST-05</v>
          </cell>
          <cell r="M475" t="str">
            <v>XUÂN</v>
          </cell>
          <cell r="N475">
            <v>46000</v>
          </cell>
          <cell r="O475" t="str">
            <v>F-123</v>
          </cell>
          <cell r="P475" t="str">
            <v>15h30 9/12/2025</v>
          </cell>
          <cell r="Q475" t="str">
            <v>DHN-SL-20;DHN-SL-42</v>
          </cell>
          <cell r="R475" t="str">
            <v>BÁCH</v>
          </cell>
          <cell r="S475">
            <v>46003</v>
          </cell>
          <cell r="T475" t="str">
            <v>V-131</v>
          </cell>
          <cell r="Y475" t="str">
            <v>FINISH</v>
          </cell>
          <cell r="Z475" t="str">
            <v>ACC</v>
          </cell>
          <cell r="AA475" t="str">
            <v>ACC</v>
          </cell>
          <cell r="AB475" t="str">
            <v>MT-2211-ST-05-0008</v>
          </cell>
          <cell r="AC475" t="str">
            <v>ACC</v>
          </cell>
          <cell r="AD475" t="str">
            <v>UT-2211-ST-05-0009</v>
          </cell>
          <cell r="AP475" t="str">
            <v>16/12/2025</v>
          </cell>
        </row>
        <row r="476">
          <cell r="A476" t="str">
            <v>9001-2211-DS-0013-01-WM5</v>
          </cell>
          <cell r="B476" t="str">
            <v>9001-2211-DS-0013-01-WM</v>
          </cell>
          <cell r="C476">
            <v>5</v>
          </cell>
          <cell r="E476" t="str">
            <v>SB</v>
          </cell>
          <cell r="F476" t="str">
            <v>100%MT&amp;UT</v>
          </cell>
          <cell r="G476" t="str">
            <v>D</v>
          </cell>
          <cell r="H476">
            <v>1595.1200000000001</v>
          </cell>
          <cell r="I476">
            <v>20</v>
          </cell>
          <cell r="K476" t="str">
            <v>WPS-TNHA-S07</v>
          </cell>
          <cell r="L476" t="str">
            <v>ST-05</v>
          </cell>
          <cell r="M476" t="str">
            <v>XUÂN</v>
          </cell>
          <cell r="N476">
            <v>46000</v>
          </cell>
          <cell r="O476" t="str">
            <v>F-123</v>
          </cell>
          <cell r="P476" t="str">
            <v>12h 9/12/2025</v>
          </cell>
          <cell r="Q476" t="str">
            <v>DHN-SL-20;DHN-SL-42</v>
          </cell>
          <cell r="R476" t="str">
            <v>BÁCH</v>
          </cell>
          <cell r="S476">
            <v>46003</v>
          </cell>
          <cell r="T476" t="str">
            <v>V-131</v>
          </cell>
          <cell r="Y476" t="str">
            <v>FINISH</v>
          </cell>
          <cell r="Z476" t="str">
            <v>ACC</v>
          </cell>
          <cell r="AA476" t="str">
            <v>ACC</v>
          </cell>
          <cell r="AB476" t="str">
            <v>MT-2211-ST-05-0008</v>
          </cell>
          <cell r="AC476" t="str">
            <v>ACC</v>
          </cell>
          <cell r="AD476" t="str">
            <v>UT-2211-ST-05-0009</v>
          </cell>
          <cell r="AP476" t="str">
            <v>16/12/2025</v>
          </cell>
        </row>
        <row r="477">
          <cell r="A477" t="str">
            <v>9001-2211-DS-0013-01-WM6</v>
          </cell>
          <cell r="B477" t="str">
            <v>9001-2211-DS-0013-01-WM</v>
          </cell>
          <cell r="C477">
            <v>6</v>
          </cell>
          <cell r="E477" t="str">
            <v xml:space="preserve">SV </v>
          </cell>
          <cell r="F477" t="str">
            <v>100%MT&amp;UT</v>
          </cell>
          <cell r="G477" t="str">
            <v>D</v>
          </cell>
          <cell r="H477">
            <v>1915.4</v>
          </cell>
          <cell r="I477" t="str">
            <v>15/30</v>
          </cell>
          <cell r="K477" t="str">
            <v>WPS-TNHA-S06</v>
          </cell>
          <cell r="L477" t="str">
            <v>ST-05</v>
          </cell>
          <cell r="M477" t="str">
            <v>TUÂN</v>
          </cell>
          <cell r="N477">
            <v>45964</v>
          </cell>
          <cell r="O477" t="str">
            <v>F-073</v>
          </cell>
          <cell r="P477" t="str">
            <v>13h45 4/11/2025</v>
          </cell>
          <cell r="Q477" t="str">
            <v>PD-05;PD-06</v>
          </cell>
          <cell r="R477" t="str">
            <v>THÁI/BÁCH</v>
          </cell>
          <cell r="S477">
            <v>45967</v>
          </cell>
          <cell r="T477" t="str">
            <v>V-060</v>
          </cell>
          <cell r="Y477" t="str">
            <v>FINISH</v>
          </cell>
          <cell r="Z477" t="str">
            <v>ACC</v>
          </cell>
          <cell r="AA477" t="str">
            <v>ACC</v>
          </cell>
          <cell r="AB477" t="str">
            <v>MT-2211-ST-05-0006</v>
          </cell>
          <cell r="AC477" t="str">
            <v>ACC</v>
          </cell>
          <cell r="AD477" t="str">
            <v>UT-2211-ST-05-0006</v>
          </cell>
          <cell r="AL477" t="str">
            <v>13/11/2025</v>
          </cell>
          <cell r="AM477" t="str">
            <v>IRN-2211-ST-05-0003</v>
          </cell>
          <cell r="AP477" t="str">
            <v>12/11/2025</v>
          </cell>
        </row>
        <row r="478">
          <cell r="A478" t="str">
            <v>9001-2211-DS-0013-01-WM7</v>
          </cell>
          <cell r="B478" t="str">
            <v>9001-2211-DS-0013-01-WM</v>
          </cell>
          <cell r="C478">
            <v>7</v>
          </cell>
          <cell r="E478" t="str">
            <v xml:space="preserve">SV </v>
          </cell>
          <cell r="F478" t="str">
            <v>100%MT&amp;UT</v>
          </cell>
          <cell r="G478" t="str">
            <v>D</v>
          </cell>
          <cell r="H478">
            <v>1915.4</v>
          </cell>
          <cell r="I478" t="str">
            <v>15/25</v>
          </cell>
          <cell r="K478" t="str">
            <v>WPS-TNHA-S06</v>
          </cell>
          <cell r="L478" t="str">
            <v>ST-05</v>
          </cell>
          <cell r="M478" t="str">
            <v>TUÂN</v>
          </cell>
          <cell r="N478">
            <v>45964</v>
          </cell>
          <cell r="O478" t="str">
            <v>F-073</v>
          </cell>
          <cell r="P478" t="str">
            <v>20h45 4/11/2025</v>
          </cell>
          <cell r="Q478" t="str">
            <v>DHN-SL-22;DHN-SL-29</v>
          </cell>
          <cell r="R478" t="str">
            <v>THÁI/BÁCH</v>
          </cell>
          <cell r="S478">
            <v>45967</v>
          </cell>
          <cell r="T478" t="str">
            <v>V-060</v>
          </cell>
          <cell r="Y478" t="str">
            <v>FINISH</v>
          </cell>
          <cell r="Z478" t="str">
            <v>ACC</v>
          </cell>
          <cell r="AA478" t="str">
            <v>ACC</v>
          </cell>
          <cell r="AB478" t="str">
            <v>MT-2211-ST-05-0006</v>
          </cell>
          <cell r="AC478" t="str">
            <v>ACC</v>
          </cell>
          <cell r="AD478" t="str">
            <v>UT-2211-ST-05-0007</v>
          </cell>
          <cell r="AL478" t="str">
            <v>13/11/2025</v>
          </cell>
          <cell r="AM478" t="str">
            <v>IRN-2211-ST-05-0003</v>
          </cell>
          <cell r="AP478" t="str">
            <v>12/11/2025</v>
          </cell>
        </row>
        <row r="479">
          <cell r="A479" t="str">
            <v>9001-2211-DS-0013-01-WM8</v>
          </cell>
          <cell r="B479" t="str">
            <v>9001-2211-DS-0013-01-WM</v>
          </cell>
          <cell r="C479">
            <v>8</v>
          </cell>
          <cell r="E479" t="str">
            <v>SB</v>
          </cell>
          <cell r="F479" t="str">
            <v>100%MT&amp;UT</v>
          </cell>
          <cell r="G479" t="str">
            <v>D</v>
          </cell>
          <cell r="H479">
            <v>1915.4</v>
          </cell>
          <cell r="I479">
            <v>25</v>
          </cell>
          <cell r="K479" t="str">
            <v>WPS-TNHA-S07</v>
          </cell>
          <cell r="L479" t="str">
            <v>ST-05</v>
          </cell>
          <cell r="Y479" t="str">
            <v>NOT YET FITUP</v>
          </cell>
        </row>
        <row r="480">
          <cell r="A480" t="str">
            <v>9001-2211-DS-0013-01-WM9</v>
          </cell>
          <cell r="B480" t="str">
            <v>9001-2211-DS-0013-01-WM</v>
          </cell>
          <cell r="C480">
            <v>9</v>
          </cell>
          <cell r="E480" t="str">
            <v>SB</v>
          </cell>
          <cell r="F480" t="str">
            <v>100%MT&amp;UT</v>
          </cell>
          <cell r="G480" t="str">
            <v>D</v>
          </cell>
          <cell r="H480">
            <v>1915.4</v>
          </cell>
          <cell r="I480">
            <v>15</v>
          </cell>
          <cell r="K480" t="str">
            <v>WPS-TNHA-S07</v>
          </cell>
          <cell r="L480" t="str">
            <v>ST-05</v>
          </cell>
          <cell r="M480" t="str">
            <v>HIẾU</v>
          </cell>
          <cell r="N480">
            <v>46000</v>
          </cell>
          <cell r="O480" t="str">
            <v>F-122</v>
          </cell>
          <cell r="P480" t="str">
            <v>9/12/2025</v>
          </cell>
          <cell r="Q480" t="str">
            <v>BGT-0005;BGT-0012</v>
          </cell>
          <cell r="R480" t="str">
            <v>THÁI</v>
          </cell>
          <cell r="S480">
            <v>46004</v>
          </cell>
          <cell r="T480" t="str">
            <v>V-134</v>
          </cell>
          <cell r="Y480" t="str">
            <v>FINISH</v>
          </cell>
          <cell r="Z480" t="str">
            <v>ACC</v>
          </cell>
          <cell r="AA480" t="str">
            <v>ACC</v>
          </cell>
          <cell r="AB480" t="str">
            <v>MT-2211-ST-05-0009</v>
          </cell>
          <cell r="AC480" t="str">
            <v>ACC</v>
          </cell>
          <cell r="AD480" t="str">
            <v>UT-2211-ST-05-0010</v>
          </cell>
          <cell r="AP480" t="str">
            <v>16/12/2025</v>
          </cell>
        </row>
        <row r="481">
          <cell r="A481" t="str">
            <v>9001-2211-DS-0013-01-WM10</v>
          </cell>
          <cell r="B481" t="str">
            <v>9001-2211-DS-0013-01-WM</v>
          </cell>
          <cell r="C481">
            <v>10</v>
          </cell>
          <cell r="E481" t="str">
            <v>SB</v>
          </cell>
          <cell r="F481" t="str">
            <v>100%MT&amp;UT</v>
          </cell>
          <cell r="G481" t="str">
            <v>D</v>
          </cell>
          <cell r="H481">
            <v>1915.4</v>
          </cell>
          <cell r="I481">
            <v>15</v>
          </cell>
          <cell r="K481" t="str">
            <v>WPS-TNHA-S07</v>
          </cell>
          <cell r="L481" t="str">
            <v>ST-05</v>
          </cell>
          <cell r="Y481" t="str">
            <v>NOT YET FITUP</v>
          </cell>
        </row>
        <row r="482">
          <cell r="A482" t="str">
            <v>9001-2211-DS-0013-01-WM11</v>
          </cell>
          <cell r="B482" t="str">
            <v>9001-2211-DS-0013-01-WM</v>
          </cell>
          <cell r="C482">
            <v>11</v>
          </cell>
          <cell r="E482" t="str">
            <v>SV</v>
          </cell>
          <cell r="F482" t="str">
            <v>100%MT&amp;UT</v>
          </cell>
          <cell r="G482" t="str">
            <v>D</v>
          </cell>
          <cell r="H482">
            <v>1915.4</v>
          </cell>
          <cell r="I482" t="str">
            <v>15/25</v>
          </cell>
          <cell r="K482" t="str">
            <v>WPS-TNHA-S06</v>
          </cell>
          <cell r="L482" t="str">
            <v>ST-05</v>
          </cell>
          <cell r="M482" t="str">
            <v>HIẾU</v>
          </cell>
          <cell r="N482">
            <v>45950</v>
          </cell>
          <cell r="O482" t="str">
            <v>F-053</v>
          </cell>
          <cell r="P482" t="str">
            <v>24/10/2025</v>
          </cell>
          <cell r="Q482" t="str">
            <v>BGT-0013;ND-01</v>
          </cell>
          <cell r="R482" t="str">
            <v>HIẾU</v>
          </cell>
          <cell r="S482">
            <v>45959</v>
          </cell>
          <cell r="T482" t="str">
            <v>V-045</v>
          </cell>
          <cell r="Y482" t="str">
            <v>FINISH</v>
          </cell>
          <cell r="Z482" t="str">
            <v>ACC</v>
          </cell>
          <cell r="AA482" t="str">
            <v>ACC</v>
          </cell>
          <cell r="AB482" t="str">
            <v>MT-2211-ST-05-0001</v>
          </cell>
          <cell r="AC482" t="str">
            <v>ACC</v>
          </cell>
          <cell r="AD482" t="str">
            <v>UT-2211-ST-05-0001</v>
          </cell>
          <cell r="AL482" t="str">
            <v>31/10/2025</v>
          </cell>
          <cell r="AM482" t="str">
            <v>IRN-2211-ST-05-0001</v>
          </cell>
          <cell r="AP482" t="str">
            <v>5/11/2025</v>
          </cell>
        </row>
        <row r="483">
          <cell r="A483" t="str">
            <v>9001-2211-DS-0013-01-WM12</v>
          </cell>
          <cell r="B483" t="str">
            <v>9001-2211-DS-0013-01-WM</v>
          </cell>
          <cell r="C483">
            <v>12</v>
          </cell>
          <cell r="E483" t="str">
            <v>SB</v>
          </cell>
          <cell r="F483" t="str">
            <v>100%MT&amp;UT</v>
          </cell>
          <cell r="G483" t="str">
            <v>D</v>
          </cell>
          <cell r="H483">
            <v>1915.4</v>
          </cell>
          <cell r="I483">
            <v>15</v>
          </cell>
          <cell r="K483" t="str">
            <v>WPS-TNHA-S07</v>
          </cell>
          <cell r="L483" t="str">
            <v>ST-05</v>
          </cell>
          <cell r="Y483" t="str">
            <v>NOT YET FITUP</v>
          </cell>
        </row>
        <row r="484">
          <cell r="A484" t="str">
            <v>9001-2211-DS-0013-01-WM13</v>
          </cell>
          <cell r="B484" t="str">
            <v>9001-2211-DS-0013-01-WM</v>
          </cell>
          <cell r="C484">
            <v>13</v>
          </cell>
          <cell r="E484" t="str">
            <v>SB</v>
          </cell>
          <cell r="F484" t="str">
            <v>100%MT&amp;UT</v>
          </cell>
          <cell r="G484" t="str">
            <v>D</v>
          </cell>
          <cell r="H484">
            <v>1434.98</v>
          </cell>
          <cell r="I484">
            <v>15</v>
          </cell>
          <cell r="K484" t="str">
            <v>WPS-TNHA-S07</v>
          </cell>
          <cell r="L484" t="str">
            <v>ST-05</v>
          </cell>
          <cell r="Y484" t="str">
            <v>NOT YET FITUP</v>
          </cell>
        </row>
        <row r="485">
          <cell r="A485" t="str">
            <v>9001-2211-DS-0013-01-WM14</v>
          </cell>
          <cell r="B485" t="str">
            <v>9001-2211-DS-0013-01-WM</v>
          </cell>
          <cell r="C485">
            <v>14</v>
          </cell>
          <cell r="E485" t="str">
            <v>SV</v>
          </cell>
          <cell r="F485" t="str">
            <v>100%MT&amp;UT</v>
          </cell>
          <cell r="G485" t="str">
            <v>D</v>
          </cell>
          <cell r="H485">
            <v>1915.4</v>
          </cell>
          <cell r="I485" t="str">
            <v>15/25</v>
          </cell>
          <cell r="K485" t="str">
            <v>WPS-TNHA-S06</v>
          </cell>
          <cell r="L485" t="str">
            <v>ST-05</v>
          </cell>
          <cell r="M485" t="str">
            <v>HIẾU</v>
          </cell>
          <cell r="N485">
            <v>45950</v>
          </cell>
          <cell r="O485" t="str">
            <v>F-053</v>
          </cell>
          <cell r="P485" t="str">
            <v>24/10/2025</v>
          </cell>
          <cell r="Q485" t="str">
            <v>GTC-07;BGT-0013</v>
          </cell>
          <cell r="R485" t="str">
            <v>HIẾU</v>
          </cell>
          <cell r="S485">
            <v>45959</v>
          </cell>
          <cell r="T485" t="str">
            <v>V-045</v>
          </cell>
          <cell r="Y485" t="str">
            <v>FINISH</v>
          </cell>
          <cell r="Z485" t="str">
            <v>ACC</v>
          </cell>
          <cell r="AA485" t="str">
            <v>ACC</v>
          </cell>
          <cell r="AB485" t="str">
            <v>MT-2211-ST-05-0001</v>
          </cell>
          <cell r="AC485" t="str">
            <v>ACC</v>
          </cell>
          <cell r="AD485" t="str">
            <v>UT-2211-ST-05-0001</v>
          </cell>
          <cell r="AL485" t="str">
            <v>31/10/2025</v>
          </cell>
          <cell r="AM485" t="str">
            <v>IRN-2211-ST-05-0001</v>
          </cell>
          <cell r="AP485" t="str">
            <v>5/11/2025</v>
          </cell>
        </row>
        <row r="486">
          <cell r="A486" t="str">
            <v>9001-2211-DS-0013-01-WM15</v>
          </cell>
          <cell r="B486" t="str">
            <v>9001-2211-DS-0013-01-WM</v>
          </cell>
          <cell r="C486">
            <v>15</v>
          </cell>
          <cell r="E486" t="str">
            <v>SV</v>
          </cell>
          <cell r="F486" t="str">
            <v>100%MT&amp;UT</v>
          </cell>
          <cell r="G486" t="str">
            <v>D</v>
          </cell>
          <cell r="H486">
            <v>1915.4</v>
          </cell>
          <cell r="I486" t="str">
            <v>15/25</v>
          </cell>
          <cell r="K486" t="str">
            <v>WPS-TNHA-S06</v>
          </cell>
          <cell r="L486" t="str">
            <v>ST-05</v>
          </cell>
          <cell r="M486" t="str">
            <v>HIẾU</v>
          </cell>
          <cell r="N486">
            <v>45950</v>
          </cell>
          <cell r="O486" t="str">
            <v>F-053</v>
          </cell>
          <cell r="P486" t="str">
            <v>24/10/2025</v>
          </cell>
          <cell r="Q486" t="str">
            <v>BGT-0013;ND-01</v>
          </cell>
          <cell r="R486" t="str">
            <v>HIẾU</v>
          </cell>
          <cell r="S486">
            <v>45959</v>
          </cell>
          <cell r="T486" t="str">
            <v>V-045</v>
          </cell>
          <cell r="Y486" t="str">
            <v>FINISH</v>
          </cell>
          <cell r="Z486" t="str">
            <v>ACC</v>
          </cell>
          <cell r="AA486" t="str">
            <v>ACC</v>
          </cell>
          <cell r="AB486" t="str">
            <v>MT-2211-ST-05-0001</v>
          </cell>
          <cell r="AC486" t="str">
            <v>ACC</v>
          </cell>
          <cell r="AD486" t="str">
            <v>UT-2211-ST-05-0001</v>
          </cell>
          <cell r="AL486" t="str">
            <v>31/10/2025</v>
          </cell>
          <cell r="AM486" t="str">
            <v>IRN-2211-ST-05-0001</v>
          </cell>
          <cell r="AP486" t="str">
            <v>5/11/2025</v>
          </cell>
        </row>
        <row r="487">
          <cell r="A487" t="str">
            <v>9001-2211-DS-0013-01-WM16</v>
          </cell>
          <cell r="B487" t="str">
            <v>9001-2211-DS-0013-01-WM</v>
          </cell>
          <cell r="C487">
            <v>16</v>
          </cell>
          <cell r="E487" t="str">
            <v>SV</v>
          </cell>
          <cell r="F487" t="str">
            <v>100%MT&amp;UT</v>
          </cell>
          <cell r="G487" t="str">
            <v>D</v>
          </cell>
          <cell r="H487">
            <v>1915.4</v>
          </cell>
          <cell r="I487" t="str">
            <v>15/25</v>
          </cell>
          <cell r="K487" t="str">
            <v>WPS-TNHA-S06</v>
          </cell>
          <cell r="L487" t="str">
            <v>ST-05</v>
          </cell>
          <cell r="M487" t="str">
            <v>HIẾU</v>
          </cell>
          <cell r="N487">
            <v>45950</v>
          </cell>
          <cell r="O487" t="str">
            <v>F-053</v>
          </cell>
          <cell r="P487" t="str">
            <v>24/10/2025</v>
          </cell>
          <cell r="Q487" t="str">
            <v>GTC-07;BGT-0006</v>
          </cell>
          <cell r="R487" t="str">
            <v>HIẾU</v>
          </cell>
          <cell r="S487">
            <v>45959</v>
          </cell>
          <cell r="T487" t="str">
            <v>V-045</v>
          </cell>
          <cell r="Y487" t="str">
            <v>FINISH</v>
          </cell>
          <cell r="Z487" t="str">
            <v>ACC</v>
          </cell>
          <cell r="AA487" t="str">
            <v>ACC</v>
          </cell>
          <cell r="AB487" t="str">
            <v>MT-2211-ST-05-0001</v>
          </cell>
          <cell r="AC487" t="str">
            <v>ACC</v>
          </cell>
          <cell r="AD487" t="str">
            <v>UT-2211-ST-05-0001</v>
          </cell>
          <cell r="AL487" t="str">
            <v>31/10/2025</v>
          </cell>
          <cell r="AM487" t="str">
            <v>IRN-2211-ST-05-0001</v>
          </cell>
          <cell r="AP487" t="str">
            <v>5/11/2025</v>
          </cell>
        </row>
        <row r="488">
          <cell r="A488" t="str">
            <v>9001-2211-DS-0013-01-WM17</v>
          </cell>
          <cell r="B488" t="str">
            <v>9001-2211-DS-0013-01-WM</v>
          </cell>
          <cell r="C488">
            <v>17</v>
          </cell>
          <cell r="E488" t="str">
            <v>SB</v>
          </cell>
          <cell r="F488" t="str">
            <v>100%MT&amp;UT</v>
          </cell>
          <cell r="G488" t="str">
            <v>D</v>
          </cell>
          <cell r="H488">
            <v>1915.4</v>
          </cell>
          <cell r="I488">
            <v>15</v>
          </cell>
          <cell r="K488" t="str">
            <v>WPS-TNHA-S07</v>
          </cell>
          <cell r="L488" t="str">
            <v>ST-05</v>
          </cell>
          <cell r="M488" t="str">
            <v>HIẾU</v>
          </cell>
          <cell r="N488">
            <v>46000</v>
          </cell>
          <cell r="O488" t="str">
            <v>F-122</v>
          </cell>
          <cell r="P488" t="str">
            <v>9/12/2025</v>
          </cell>
          <cell r="Q488" t="str">
            <v>BGT-0018;GTC-11</v>
          </cell>
          <cell r="R488" t="str">
            <v>THÁI</v>
          </cell>
          <cell r="S488">
            <v>46004</v>
          </cell>
          <cell r="T488" t="str">
            <v>V-134</v>
          </cell>
          <cell r="Y488" t="str">
            <v>FINISH</v>
          </cell>
          <cell r="Z488" t="str">
            <v>ACC</v>
          </cell>
          <cell r="AA488" t="str">
            <v>ACC</v>
          </cell>
          <cell r="AB488" t="str">
            <v>MT-2211-ST-05-0009</v>
          </cell>
          <cell r="AC488" t="str">
            <v>ACC</v>
          </cell>
          <cell r="AD488" t="str">
            <v>UT-2211-ST-05-0010</v>
          </cell>
          <cell r="AP488" t="str">
            <v>16/12/2025</v>
          </cell>
        </row>
        <row r="489">
          <cell r="A489" t="str">
            <v>9001-2211-DS-0013-01-WM18</v>
          </cell>
          <cell r="B489" t="str">
            <v>9001-2211-DS-0013-01-WM</v>
          </cell>
          <cell r="C489">
            <v>18</v>
          </cell>
          <cell r="E489" t="str">
            <v>SV</v>
          </cell>
          <cell r="F489" t="str">
            <v>100%MT&amp;UT</v>
          </cell>
          <cell r="G489" t="str">
            <v>D</v>
          </cell>
          <cell r="H489">
            <v>1915.4</v>
          </cell>
          <cell r="I489" t="str">
            <v>15/25</v>
          </cell>
          <cell r="K489" t="str">
            <v>WPS-TNHA-S06</v>
          </cell>
          <cell r="L489" t="str">
            <v>ST-05</v>
          </cell>
          <cell r="M489" t="str">
            <v>HIẾU</v>
          </cell>
          <cell r="N489">
            <v>45950</v>
          </cell>
          <cell r="O489" t="str">
            <v>F-053</v>
          </cell>
          <cell r="P489" t="str">
            <v>30/10/2025</v>
          </cell>
          <cell r="Q489" t="str">
            <v>BGT-0032;BGT-0013</v>
          </cell>
          <cell r="R489" t="str">
            <v>HIẾU</v>
          </cell>
          <cell r="S489">
            <v>45964</v>
          </cell>
          <cell r="T489" t="str">
            <v>V-054</v>
          </cell>
          <cell r="Y489" t="str">
            <v>FINISH</v>
          </cell>
          <cell r="Z489" t="str">
            <v>ACC</v>
          </cell>
          <cell r="AA489" t="str">
            <v>ACC</v>
          </cell>
          <cell r="AB489" t="str">
            <v>MT-2211-ST-05-0003</v>
          </cell>
          <cell r="AC489" t="str">
            <v>ACC</v>
          </cell>
          <cell r="AD489" t="str">
            <v>UT-2211-ST-05-0003</v>
          </cell>
          <cell r="AL489" t="str">
            <v>04/11/2025</v>
          </cell>
          <cell r="AM489" t="str">
            <v>IRN-2211-ST-05-0002</v>
          </cell>
          <cell r="AP489" t="str">
            <v>5/11/2025</v>
          </cell>
        </row>
        <row r="490">
          <cell r="A490" t="str">
            <v>9001-2211-DS-0013-01-WM19</v>
          </cell>
          <cell r="B490" t="str">
            <v>9001-2211-DS-0013-01-WM</v>
          </cell>
          <cell r="C490">
            <v>19</v>
          </cell>
          <cell r="E490" t="str">
            <v>SB</v>
          </cell>
          <cell r="F490" t="str">
            <v>100%MT&amp;UT</v>
          </cell>
          <cell r="G490" t="str">
            <v>D</v>
          </cell>
          <cell r="H490">
            <v>1915.4</v>
          </cell>
          <cell r="I490">
            <v>15</v>
          </cell>
          <cell r="K490" t="str">
            <v>WPS-TNHA-S07</v>
          </cell>
          <cell r="L490" t="str">
            <v>ST-05</v>
          </cell>
          <cell r="Y490" t="str">
            <v>NOT YET FITUP</v>
          </cell>
        </row>
        <row r="491">
          <cell r="A491" t="str">
            <v>9001-2211-DS-0013-01-WM20</v>
          </cell>
          <cell r="B491" t="str">
            <v>9001-2211-DS-0013-01-WM</v>
          </cell>
          <cell r="C491">
            <v>20</v>
          </cell>
          <cell r="E491" t="str">
            <v>SB</v>
          </cell>
          <cell r="F491" t="str">
            <v>100%MT&amp;UT</v>
          </cell>
          <cell r="G491" t="str">
            <v>D</v>
          </cell>
          <cell r="H491">
            <v>1434.98</v>
          </cell>
          <cell r="I491">
            <v>15</v>
          </cell>
          <cell r="K491" t="str">
            <v>WPS-TNHA-S07</v>
          </cell>
          <cell r="L491" t="str">
            <v>ST-05</v>
          </cell>
          <cell r="Y491" t="str">
            <v>NOT YET FITUP</v>
          </cell>
        </row>
        <row r="492">
          <cell r="A492" t="str">
            <v>9001-2211-DS-0013-01-WM21</v>
          </cell>
          <cell r="B492" t="str">
            <v>9001-2211-DS-0013-01-WM</v>
          </cell>
          <cell r="C492">
            <v>21</v>
          </cell>
          <cell r="E492" t="str">
            <v>SV</v>
          </cell>
          <cell r="F492" t="str">
            <v>100%MT&amp;UT</v>
          </cell>
          <cell r="G492" t="str">
            <v>D</v>
          </cell>
          <cell r="H492">
            <v>1915.4</v>
          </cell>
          <cell r="I492" t="str">
            <v>20/25</v>
          </cell>
          <cell r="K492" t="str">
            <v>WPS-TNHA-S06</v>
          </cell>
          <cell r="L492" t="str">
            <v>ST-05</v>
          </cell>
          <cell r="M492" t="str">
            <v>HIẾU</v>
          </cell>
          <cell r="N492">
            <v>45950</v>
          </cell>
          <cell r="O492" t="str">
            <v>F-053</v>
          </cell>
          <cell r="P492" t="str">
            <v>30/10/2025</v>
          </cell>
          <cell r="Q492" t="str">
            <v>BGT-0032;BGT-0013</v>
          </cell>
          <cell r="R492" t="str">
            <v>HIẾU</v>
          </cell>
          <cell r="S492">
            <v>45964</v>
          </cell>
          <cell r="T492" t="str">
            <v>V-054</v>
          </cell>
          <cell r="Y492" t="str">
            <v>FINISH</v>
          </cell>
          <cell r="Z492" t="str">
            <v>ACC</v>
          </cell>
          <cell r="AA492" t="str">
            <v>ACC</v>
          </cell>
          <cell r="AB492" t="str">
            <v>MT-2211-ST-05-0003</v>
          </cell>
          <cell r="AC492" t="str">
            <v>ACC</v>
          </cell>
          <cell r="AD492" t="str">
            <v>UT-2211-ST-05-0003</v>
          </cell>
          <cell r="AL492" t="str">
            <v>04/11/2025</v>
          </cell>
          <cell r="AM492" t="str">
            <v>IRN-2211-ST-05-0002</v>
          </cell>
          <cell r="AP492" t="str">
            <v>5/11/2025</v>
          </cell>
        </row>
        <row r="493">
          <cell r="A493" t="str">
            <v>9001-2211-DS-0013-01-WM22</v>
          </cell>
          <cell r="B493" t="str">
            <v>9001-2211-DS-0013-01-WM</v>
          </cell>
          <cell r="C493">
            <v>22</v>
          </cell>
          <cell r="E493" t="str">
            <v>SV</v>
          </cell>
          <cell r="F493" t="str">
            <v>100%MT&amp;UT</v>
          </cell>
          <cell r="G493" t="str">
            <v>D</v>
          </cell>
          <cell r="H493">
            <v>1915.4</v>
          </cell>
          <cell r="I493" t="str">
            <v>20/30</v>
          </cell>
          <cell r="K493" t="str">
            <v>WPS-TNHA-S06</v>
          </cell>
          <cell r="L493" t="str">
            <v>ST-05</v>
          </cell>
          <cell r="M493" t="str">
            <v>HIẾU</v>
          </cell>
          <cell r="N493">
            <v>45950</v>
          </cell>
          <cell r="O493" t="str">
            <v>F-053</v>
          </cell>
          <cell r="P493" t="str">
            <v>30/10/2025</v>
          </cell>
          <cell r="Q493" t="str">
            <v>GTC-07;ND-01</v>
          </cell>
          <cell r="R493" t="str">
            <v>HIẾU</v>
          </cell>
          <cell r="S493">
            <v>45964</v>
          </cell>
          <cell r="T493" t="str">
            <v>V-054</v>
          </cell>
          <cell r="Y493" t="str">
            <v>FINISH</v>
          </cell>
          <cell r="Z493" t="str">
            <v>ACC</v>
          </cell>
          <cell r="AA493" t="str">
            <v>ACC</v>
          </cell>
          <cell r="AB493" t="str">
            <v>MT-2211-ST-05-0003</v>
          </cell>
          <cell r="AC493" t="str">
            <v>ACC</v>
          </cell>
          <cell r="AD493" t="str">
            <v>UT-2211-ST-05-0003</v>
          </cell>
          <cell r="AL493" t="str">
            <v>04/11/2025</v>
          </cell>
          <cell r="AM493" t="str">
            <v>IRN-2211-ST-05-0002</v>
          </cell>
          <cell r="AP493" t="str">
            <v>5/11/2025</v>
          </cell>
        </row>
        <row r="494">
          <cell r="A494" t="str">
            <v>9001-2211-DS-0013-01-WM23</v>
          </cell>
          <cell r="B494" t="str">
            <v>9001-2211-DS-0013-01-WM</v>
          </cell>
          <cell r="C494">
            <v>23</v>
          </cell>
          <cell r="E494" t="str">
            <v>SV</v>
          </cell>
          <cell r="F494" t="str">
            <v>100%MT&amp;UT</v>
          </cell>
          <cell r="G494" t="str">
            <v>D</v>
          </cell>
          <cell r="H494">
            <v>1915.4</v>
          </cell>
          <cell r="I494" t="str">
            <v>20/30</v>
          </cell>
          <cell r="K494" t="str">
            <v>WPS-TNHA-S06</v>
          </cell>
          <cell r="L494" t="str">
            <v>ST-05</v>
          </cell>
          <cell r="M494" t="str">
            <v>HIẾU</v>
          </cell>
          <cell r="N494">
            <v>45950</v>
          </cell>
          <cell r="O494" t="str">
            <v>F-053</v>
          </cell>
          <cell r="P494" t="str">
            <v>30/10/2025</v>
          </cell>
          <cell r="Q494" t="str">
            <v>GTC-07;ND-01</v>
          </cell>
          <cell r="R494" t="str">
            <v>HIẾU</v>
          </cell>
          <cell r="S494">
            <v>45964</v>
          </cell>
          <cell r="T494" t="str">
            <v>V-054</v>
          </cell>
          <cell r="Y494" t="str">
            <v>FINISH</v>
          </cell>
          <cell r="Z494" t="str">
            <v>ACC</v>
          </cell>
          <cell r="AA494" t="str">
            <v>ACC</v>
          </cell>
          <cell r="AB494" t="str">
            <v>MT-2211-ST-05-0003</v>
          </cell>
          <cell r="AC494" t="str">
            <v>ACC</v>
          </cell>
          <cell r="AD494" t="str">
            <v>UT-2211-ST-05-0003</v>
          </cell>
          <cell r="AL494" t="str">
            <v>04/11/2025</v>
          </cell>
          <cell r="AM494" t="str">
            <v>IRN-2211-ST-05-0002</v>
          </cell>
          <cell r="AP494" t="str">
            <v>5/11/2025</v>
          </cell>
        </row>
        <row r="495">
          <cell r="A495" t="str">
            <v>9001-2211-DS-0013-01-WM24</v>
          </cell>
          <cell r="B495" t="str">
            <v>9001-2211-DS-0013-01-WM</v>
          </cell>
          <cell r="C495">
            <v>24</v>
          </cell>
          <cell r="E495" t="str">
            <v>SB</v>
          </cell>
          <cell r="F495" t="str">
            <v>100%MT&amp;UT</v>
          </cell>
          <cell r="G495" t="str">
            <v>D</v>
          </cell>
          <cell r="H495">
            <v>1915.4</v>
          </cell>
          <cell r="I495">
            <v>20</v>
          </cell>
          <cell r="K495" t="str">
            <v>WPS-TNHA-S07</v>
          </cell>
          <cell r="L495" t="str">
            <v>ST-05</v>
          </cell>
          <cell r="Y495" t="str">
            <v>NOT YET FITUP</v>
          </cell>
        </row>
        <row r="496">
          <cell r="A496" t="str">
            <v>9001-2211-DS-0013-01-WM25</v>
          </cell>
          <cell r="B496" t="str">
            <v>9001-2211-DS-0013-01-WM</v>
          </cell>
          <cell r="C496">
            <v>25</v>
          </cell>
          <cell r="E496" t="str">
            <v>SV</v>
          </cell>
          <cell r="F496" t="str">
            <v>100%MT&amp;UT</v>
          </cell>
          <cell r="G496" t="str">
            <v>D</v>
          </cell>
          <cell r="H496">
            <v>1915.4</v>
          </cell>
          <cell r="I496" t="str">
            <v>15/25</v>
          </cell>
          <cell r="K496" t="str">
            <v>WPS-TNHA-S06</v>
          </cell>
          <cell r="L496" t="str">
            <v>ST-05</v>
          </cell>
          <cell r="M496" t="str">
            <v>TUÂN</v>
          </cell>
          <cell r="N496">
            <v>45960</v>
          </cell>
          <cell r="O496" t="str">
            <v>F-068</v>
          </cell>
          <cell r="P496" t="str">
            <v>13h 3/11/2025</v>
          </cell>
          <cell r="Q496" t="str">
            <v>PD-05;PD-06</v>
          </cell>
          <cell r="R496" t="str">
            <v>BÁCH</v>
          </cell>
          <cell r="S496">
            <v>45966</v>
          </cell>
          <cell r="T496" t="str">
            <v>V-057</v>
          </cell>
          <cell r="Y496" t="str">
            <v>FINISH</v>
          </cell>
          <cell r="Z496" t="str">
            <v>ACC</v>
          </cell>
          <cell r="AA496" t="str">
            <v>ACC</v>
          </cell>
          <cell r="AB496" t="str">
            <v>MT-2211-ST-05-0005</v>
          </cell>
          <cell r="AC496" t="str">
            <v>ACC</v>
          </cell>
          <cell r="AD496" t="str">
            <v>UT-2211-ST-05-0005</v>
          </cell>
          <cell r="AL496" t="str">
            <v>13/11/2025</v>
          </cell>
          <cell r="AM496" t="str">
            <v>IRN-2211-ST-05-0003</v>
          </cell>
          <cell r="AP496" t="str">
            <v>12/11/2025</v>
          </cell>
        </row>
        <row r="497">
          <cell r="A497" t="str">
            <v>9001-2211-DS-0013-01-WM26</v>
          </cell>
          <cell r="B497" t="str">
            <v>9001-2211-DS-0013-01-WM</v>
          </cell>
          <cell r="C497">
            <v>26</v>
          </cell>
          <cell r="E497" t="str">
            <v>SV</v>
          </cell>
          <cell r="F497" t="str">
            <v>100%MT&amp;UT</v>
          </cell>
          <cell r="G497" t="str">
            <v>D</v>
          </cell>
          <cell r="H497">
            <v>1915.4</v>
          </cell>
          <cell r="I497" t="str">
            <v>15/25</v>
          </cell>
          <cell r="K497" t="str">
            <v>WPS-TNHA-S06</v>
          </cell>
          <cell r="L497" t="str">
            <v>ST-05</v>
          </cell>
          <cell r="M497" t="str">
            <v>TUÂN</v>
          </cell>
          <cell r="N497">
            <v>45960</v>
          </cell>
          <cell r="O497" t="str">
            <v>F-068</v>
          </cell>
          <cell r="P497" t="str">
            <v>11h 2/11/2025</v>
          </cell>
          <cell r="Q497" t="str">
            <v>PD-05;PD-06</v>
          </cell>
          <cell r="R497" t="str">
            <v>BÁCH</v>
          </cell>
          <cell r="S497">
            <v>45966</v>
          </cell>
          <cell r="T497" t="str">
            <v>V-057</v>
          </cell>
          <cell r="Y497" t="str">
            <v>FINISH</v>
          </cell>
          <cell r="Z497" t="str">
            <v>ACC</v>
          </cell>
          <cell r="AA497" t="str">
            <v>ACC</v>
          </cell>
          <cell r="AB497" t="str">
            <v>MT-2211-ST-05-0005</v>
          </cell>
          <cell r="AC497" t="str">
            <v>ACC</v>
          </cell>
          <cell r="AD497" t="str">
            <v>UT-2211-ST-05-0004</v>
          </cell>
          <cell r="AL497" t="str">
            <v>13/11/2025</v>
          </cell>
          <cell r="AM497" t="str">
            <v>IRN-2211-ST-05-0003</v>
          </cell>
          <cell r="AP497" t="str">
            <v>12/11/2025</v>
          </cell>
        </row>
        <row r="498">
          <cell r="A498" t="str">
            <v>9001-2211-DS-0013-01-WM27</v>
          </cell>
          <cell r="B498" t="str">
            <v>9001-2211-DS-0013-01-WM</v>
          </cell>
          <cell r="C498">
            <v>27</v>
          </cell>
          <cell r="E498" t="str">
            <v>SV</v>
          </cell>
          <cell r="F498" t="str">
            <v>100%MT&amp;UT</v>
          </cell>
          <cell r="G498" t="str">
            <v>D</v>
          </cell>
          <cell r="H498">
            <v>1915.4</v>
          </cell>
          <cell r="I498" t="str">
            <v>15/30</v>
          </cell>
          <cell r="K498" t="str">
            <v>WPS-TNHA-S06</v>
          </cell>
          <cell r="L498" t="str">
            <v>ST-05</v>
          </cell>
          <cell r="M498" t="str">
            <v>TUÂN</v>
          </cell>
          <cell r="N498">
            <v>45960</v>
          </cell>
          <cell r="O498" t="str">
            <v>F-068</v>
          </cell>
          <cell r="P498" t="str">
            <v>16h 2/11/2025</v>
          </cell>
          <cell r="Q498" t="str">
            <v>PD-05;PD-06</v>
          </cell>
          <cell r="R498" t="str">
            <v>BÁCH</v>
          </cell>
          <cell r="S498">
            <v>45966</v>
          </cell>
          <cell r="T498" t="str">
            <v>V-057</v>
          </cell>
          <cell r="Y498" t="str">
            <v>FINISH</v>
          </cell>
          <cell r="Z498" t="str">
            <v>ACC</v>
          </cell>
          <cell r="AA498" t="str">
            <v>ACC</v>
          </cell>
          <cell r="AB498" t="str">
            <v>MT-2211-ST-05-0005</v>
          </cell>
          <cell r="AC498" t="str">
            <v>ACC</v>
          </cell>
          <cell r="AD498" t="str">
            <v>UT-2211-ST-05-0004</v>
          </cell>
          <cell r="AL498" t="str">
            <v>13/11/2025</v>
          </cell>
          <cell r="AM498" t="str">
            <v>IRN-2211-ST-05-0003</v>
          </cell>
          <cell r="AP498" t="str">
            <v>12/11/2025</v>
          </cell>
        </row>
        <row r="499">
          <cell r="A499" t="str">
            <v>9001-2211-DS-0013-01-WM28</v>
          </cell>
          <cell r="B499" t="str">
            <v>9001-2211-DS-0013-01-WM</v>
          </cell>
          <cell r="C499">
            <v>28</v>
          </cell>
          <cell r="E499" t="str">
            <v>SB</v>
          </cell>
          <cell r="F499" t="str">
            <v>100%MT&amp;UT</v>
          </cell>
          <cell r="G499" t="str">
            <v>D</v>
          </cell>
          <cell r="H499">
            <v>1595.1200000000001</v>
          </cell>
          <cell r="I499">
            <v>20</v>
          </cell>
          <cell r="K499" t="str">
            <v>WPS-TNHA-S07</v>
          </cell>
          <cell r="L499" t="str">
            <v>ST-05</v>
          </cell>
          <cell r="M499" t="str">
            <v>XUÂN</v>
          </cell>
          <cell r="N499">
            <v>46000</v>
          </cell>
          <cell r="O499" t="str">
            <v>F-123</v>
          </cell>
          <cell r="P499" t="str">
            <v>16h 9/12/2025</v>
          </cell>
          <cell r="Q499" t="str">
            <v>TNHA-SL-003;TNHA-SL-012</v>
          </cell>
          <cell r="R499" t="str">
            <v>BÁCH</v>
          </cell>
          <cell r="S499">
            <v>46003</v>
          </cell>
          <cell r="T499" t="str">
            <v>V-131</v>
          </cell>
          <cell r="Y499" t="str">
            <v>FINISH</v>
          </cell>
          <cell r="Z499" t="str">
            <v>ACC</v>
          </cell>
          <cell r="AA499" t="str">
            <v>ACC</v>
          </cell>
          <cell r="AB499" t="str">
            <v>MT-2211-ST-05-0008</v>
          </cell>
          <cell r="AC499" t="str">
            <v>ACC</v>
          </cell>
          <cell r="AD499" t="str">
            <v>UT-2211-ST-05-0009</v>
          </cell>
          <cell r="AP499" t="str">
            <v>16/12/2025</v>
          </cell>
        </row>
        <row r="500">
          <cell r="A500" t="str">
            <v>9001-2211-DS-0013-01-WM29</v>
          </cell>
          <cell r="B500" t="str">
            <v>9001-2211-DS-0013-01-WM</v>
          </cell>
          <cell r="C500">
            <v>29</v>
          </cell>
          <cell r="E500" t="str">
            <v>SB</v>
          </cell>
          <cell r="F500" t="str">
            <v>100%MT&amp;UT</v>
          </cell>
          <cell r="G500" t="str">
            <v>D</v>
          </cell>
          <cell r="H500">
            <v>1595.1200000000001</v>
          </cell>
          <cell r="I500">
            <v>20</v>
          </cell>
          <cell r="K500" t="str">
            <v>WPS-TNHA-S07</v>
          </cell>
          <cell r="L500" t="str">
            <v>ST-05</v>
          </cell>
          <cell r="M500" t="str">
            <v>XUÂN</v>
          </cell>
          <cell r="N500">
            <v>46000</v>
          </cell>
          <cell r="O500" t="str">
            <v>F-123</v>
          </cell>
          <cell r="P500" t="str">
            <v>13h 9/12/2025</v>
          </cell>
          <cell r="Q500" t="str">
            <v>TNHA-SL-003;TNHA-SL-012</v>
          </cell>
          <cell r="R500" t="str">
            <v>BÁCH</v>
          </cell>
          <cell r="S500">
            <v>46003</v>
          </cell>
          <cell r="T500" t="str">
            <v>V-131</v>
          </cell>
          <cell r="Y500" t="str">
            <v>FINISH</v>
          </cell>
          <cell r="Z500" t="str">
            <v>ACC</v>
          </cell>
          <cell r="AA500" t="str">
            <v>ACC</v>
          </cell>
          <cell r="AB500" t="str">
            <v>MT-2211-ST-05-0008</v>
          </cell>
          <cell r="AC500" t="str">
            <v>ACC</v>
          </cell>
          <cell r="AD500" t="str">
            <v>UT-2211-ST-05-0009</v>
          </cell>
          <cell r="AP500" t="str">
            <v>16/12/2025</v>
          </cell>
        </row>
        <row r="501">
          <cell r="A501" t="str">
            <v>9001-2211-DS-0013-01-WM30</v>
          </cell>
          <cell r="B501" t="str">
            <v>9001-2211-DS-0013-01-WM</v>
          </cell>
          <cell r="C501">
            <v>30</v>
          </cell>
          <cell r="E501" t="str">
            <v>SV</v>
          </cell>
          <cell r="F501" t="str">
            <v>100%MT&amp;UT</v>
          </cell>
          <cell r="G501" t="str">
            <v>D</v>
          </cell>
          <cell r="H501">
            <v>1915.4</v>
          </cell>
          <cell r="I501" t="str">
            <v>15/30</v>
          </cell>
          <cell r="K501" t="str">
            <v>WPS-TNHA-S06</v>
          </cell>
          <cell r="L501" t="str">
            <v>ST-05</v>
          </cell>
          <cell r="M501" t="str">
            <v>TUÂN</v>
          </cell>
          <cell r="N501">
            <v>45960</v>
          </cell>
          <cell r="O501" t="str">
            <v>F-068</v>
          </cell>
          <cell r="P501" t="str">
            <v>17h50 31/10/2025</v>
          </cell>
          <cell r="Q501" t="str">
            <v>PD-05;PD-06</v>
          </cell>
          <cell r="R501" t="str">
            <v>TUÂN</v>
          </cell>
          <cell r="S501">
            <v>45964</v>
          </cell>
          <cell r="T501" t="str">
            <v>V-053</v>
          </cell>
          <cell r="Y501" t="str">
            <v>FINISH</v>
          </cell>
          <cell r="Z501" t="str">
            <v>ACC</v>
          </cell>
          <cell r="AA501" t="str">
            <v>ACC</v>
          </cell>
          <cell r="AB501" t="str">
            <v>MT-2211-ST-05-0002</v>
          </cell>
          <cell r="AC501" t="str">
            <v>ACC</v>
          </cell>
          <cell r="AD501" t="str">
            <v>UT-2211-ST-05-0002</v>
          </cell>
          <cell r="AL501" t="str">
            <v>13/11/2025</v>
          </cell>
          <cell r="AM501" t="str">
            <v>IRN-2211-ST-05-0003</v>
          </cell>
          <cell r="AP501" t="str">
            <v>5/11/2025</v>
          </cell>
        </row>
        <row r="502">
          <cell r="A502" t="str">
            <v>9001-2211-DS-0013-01-WM31</v>
          </cell>
          <cell r="B502" t="str">
            <v>9001-2211-DS-0013-01-WM</v>
          </cell>
          <cell r="C502">
            <v>31</v>
          </cell>
          <cell r="E502" t="str">
            <v>SV</v>
          </cell>
          <cell r="F502" t="str">
            <v>100%MT&amp;UT</v>
          </cell>
          <cell r="G502" t="str">
            <v>D</v>
          </cell>
          <cell r="H502">
            <v>1915.4</v>
          </cell>
          <cell r="I502" t="str">
            <v>15/25</v>
          </cell>
          <cell r="K502" t="str">
            <v>WPS-TNHA-S06</v>
          </cell>
          <cell r="L502" t="str">
            <v>ST-05</v>
          </cell>
          <cell r="M502" t="str">
            <v>TUÂN</v>
          </cell>
          <cell r="N502">
            <v>45960</v>
          </cell>
          <cell r="O502" t="str">
            <v>F-068</v>
          </cell>
          <cell r="P502" t="str">
            <v>14h 31/10/2025</v>
          </cell>
          <cell r="Q502" t="str">
            <v>PD-05;PD-06</v>
          </cell>
          <cell r="R502" t="str">
            <v>TUÂN</v>
          </cell>
          <cell r="S502">
            <v>45964</v>
          </cell>
          <cell r="T502" t="str">
            <v>V-053</v>
          </cell>
          <cell r="Y502" t="str">
            <v>FINISH</v>
          </cell>
          <cell r="Z502" t="str">
            <v>ACC</v>
          </cell>
          <cell r="AA502" t="str">
            <v>ACC</v>
          </cell>
          <cell r="AB502" t="str">
            <v>MT-2211-ST-05-0002</v>
          </cell>
          <cell r="AC502" t="str">
            <v>ACC</v>
          </cell>
          <cell r="AD502" t="str">
            <v>UT-2211-ST-05-0002</v>
          </cell>
          <cell r="AL502" t="str">
            <v>13/11/2025</v>
          </cell>
          <cell r="AM502" t="str">
            <v>IRN-2211-ST-05-0003</v>
          </cell>
          <cell r="AP502" t="str">
            <v>5/11/2025</v>
          </cell>
        </row>
        <row r="503">
          <cell r="A503" t="str">
            <v>9001-2211-DS-0013-01-WM32</v>
          </cell>
          <cell r="B503" t="str">
            <v>9001-2211-DS-0013-01-WM</v>
          </cell>
          <cell r="C503">
            <v>32</v>
          </cell>
          <cell r="E503" t="str">
            <v>SV</v>
          </cell>
          <cell r="F503" t="str">
            <v>100%MT&amp;UT</v>
          </cell>
          <cell r="G503" t="str">
            <v>D</v>
          </cell>
          <cell r="H503">
            <v>1915.4</v>
          </cell>
          <cell r="I503" t="str">
            <v>15/25</v>
          </cell>
          <cell r="K503" t="str">
            <v>WPS-TNHA-S06</v>
          </cell>
          <cell r="L503" t="str">
            <v>ST-05</v>
          </cell>
          <cell r="M503" t="str">
            <v>TUÂN</v>
          </cell>
          <cell r="N503">
            <v>45960</v>
          </cell>
          <cell r="O503" t="str">
            <v>F-068</v>
          </cell>
          <cell r="P503" t="str">
            <v>15h 1/11/2025</v>
          </cell>
          <cell r="Q503" t="str">
            <v>PD-05;PD-06</v>
          </cell>
          <cell r="R503" t="str">
            <v>TUÂN</v>
          </cell>
          <cell r="S503">
            <v>45964</v>
          </cell>
          <cell r="T503" t="str">
            <v>V-053</v>
          </cell>
          <cell r="Y503" t="str">
            <v>FINISH</v>
          </cell>
          <cell r="Z503" t="str">
            <v>ACC</v>
          </cell>
          <cell r="AA503" t="str">
            <v>ACC</v>
          </cell>
          <cell r="AB503" t="str">
            <v>MT-2211-ST-05-0002</v>
          </cell>
          <cell r="AC503" t="str">
            <v>ACC</v>
          </cell>
          <cell r="AD503" t="str">
            <v>UT-2211-ST-05-0002</v>
          </cell>
          <cell r="AL503" t="str">
            <v>13/11/2025</v>
          </cell>
          <cell r="AM503" t="str">
            <v>IRN-2211-ST-05-0003</v>
          </cell>
          <cell r="AP503" t="str">
            <v>5/11/2025</v>
          </cell>
        </row>
        <row r="504">
          <cell r="A504" t="str">
            <v>9001-2211-DS-0013-01-WM33</v>
          </cell>
          <cell r="B504" t="str">
            <v>9001-2211-DS-0013-01-WM</v>
          </cell>
          <cell r="C504">
            <v>33</v>
          </cell>
          <cell r="E504" t="str">
            <v>SB</v>
          </cell>
          <cell r="F504" t="str">
            <v>100%MT&amp;UT</v>
          </cell>
          <cell r="G504" t="str">
            <v>D</v>
          </cell>
          <cell r="H504">
            <v>1915.4</v>
          </cell>
          <cell r="I504">
            <v>25</v>
          </cell>
          <cell r="K504" t="str">
            <v>WPS-TNHA-S07</v>
          </cell>
          <cell r="L504" t="str">
            <v>ST-05</v>
          </cell>
          <cell r="Y504" t="str">
            <v>NOT YET FITUP</v>
          </cell>
        </row>
        <row r="505">
          <cell r="A505" t="str">
            <v>9001-2211-DS-0013-01-WM34</v>
          </cell>
          <cell r="B505" t="str">
            <v>9001-2211-DS-0013-01-WM</v>
          </cell>
          <cell r="C505">
            <v>34</v>
          </cell>
          <cell r="E505" t="str">
            <v xml:space="preserve">SV </v>
          </cell>
          <cell r="F505" t="str">
            <v>100%MT&amp;UT</v>
          </cell>
          <cell r="G505" t="str">
            <v>D</v>
          </cell>
          <cell r="H505">
            <v>1915.4</v>
          </cell>
          <cell r="I505" t="str">
            <v>15/25</v>
          </cell>
          <cell r="K505" t="str">
            <v>WPS-TNHA-S06</v>
          </cell>
          <cell r="L505" t="str">
            <v>ST-05</v>
          </cell>
          <cell r="M505" t="str">
            <v>BÁCH</v>
          </cell>
          <cell r="N505">
            <v>45966</v>
          </cell>
          <cell r="O505" t="str">
            <v>F-076</v>
          </cell>
          <cell r="P505" t="str">
            <v>19h45 8/11/2025</v>
          </cell>
          <cell r="Q505" t="str">
            <v>DHN-SL-22;DHN-SL-29</v>
          </cell>
          <cell r="R505" t="str">
            <v>TUÂN</v>
          </cell>
          <cell r="S505">
            <v>45971</v>
          </cell>
          <cell r="T505" t="str">
            <v>V-066</v>
          </cell>
          <cell r="Y505" t="str">
            <v>FINISH</v>
          </cell>
          <cell r="Z505" t="str">
            <v>ACC</v>
          </cell>
          <cell r="AA505" t="str">
            <v>ACC</v>
          </cell>
          <cell r="AB505" t="str">
            <v>MT-2211-ST-05-0007</v>
          </cell>
          <cell r="AC505" t="str">
            <v>ACC</v>
          </cell>
          <cell r="AD505" t="str">
            <v>UT-2211-ST-05-0008</v>
          </cell>
          <cell r="AL505" t="str">
            <v>13/11/2025</v>
          </cell>
          <cell r="AM505" t="str">
            <v>IRN-2211-ST-05-0003</v>
          </cell>
          <cell r="AP505" t="str">
            <v>12/11/2025</v>
          </cell>
        </row>
        <row r="506">
          <cell r="A506" t="str">
            <v>9001-2211-DS-0013-01-WM35</v>
          </cell>
          <cell r="B506" t="str">
            <v>9001-2211-DS-0013-01-WM</v>
          </cell>
          <cell r="C506">
            <v>35</v>
          </cell>
          <cell r="E506" t="str">
            <v xml:space="preserve">SV </v>
          </cell>
          <cell r="F506" t="str">
            <v>100%MT&amp;UT</v>
          </cell>
          <cell r="G506" t="str">
            <v>D</v>
          </cell>
          <cell r="H506">
            <v>1915.4</v>
          </cell>
          <cell r="I506" t="str">
            <v>15/25</v>
          </cell>
          <cell r="K506" t="str">
            <v>WPS-TNHA-S06</v>
          </cell>
          <cell r="L506" t="str">
            <v>ST-05</v>
          </cell>
          <cell r="M506" t="str">
            <v>BÁCH</v>
          </cell>
          <cell r="N506">
            <v>45966</v>
          </cell>
          <cell r="O506" t="str">
            <v>F-076</v>
          </cell>
          <cell r="P506" t="str">
            <v>20h45 8/11/2025</v>
          </cell>
          <cell r="Q506" t="str">
            <v>DHN-SL-27;DHN-SL-36</v>
          </cell>
          <cell r="R506" t="str">
            <v>TUÂN</v>
          </cell>
          <cell r="S506">
            <v>45971</v>
          </cell>
          <cell r="T506" t="str">
            <v>V-066</v>
          </cell>
          <cell r="Y506" t="str">
            <v>FINISH</v>
          </cell>
          <cell r="Z506" t="str">
            <v>ACC</v>
          </cell>
          <cell r="AA506" t="str">
            <v>ACC</v>
          </cell>
          <cell r="AB506" t="str">
            <v>MT-2211-ST-05-0007</v>
          </cell>
          <cell r="AC506" t="str">
            <v>ACC</v>
          </cell>
          <cell r="AD506" t="str">
            <v>UT-2211-ST-05-0008</v>
          </cell>
          <cell r="AL506" t="str">
            <v>13/11/2025</v>
          </cell>
          <cell r="AM506" t="str">
            <v>IRN-2211-ST-05-0003</v>
          </cell>
          <cell r="AP506" t="str">
            <v>12/11/2025</v>
          </cell>
        </row>
        <row r="507">
          <cell r="A507" t="str">
            <v>9001-2211-DS-0013-01-WM36</v>
          </cell>
          <cell r="B507" t="str">
            <v>9001-2211-DS-0013-01-WM</v>
          </cell>
          <cell r="C507">
            <v>36</v>
          </cell>
          <cell r="E507" t="str">
            <v>SB</v>
          </cell>
          <cell r="F507" t="str">
            <v>100%MT&amp;UT</v>
          </cell>
          <cell r="G507" t="str">
            <v>D</v>
          </cell>
          <cell r="H507">
            <v>1434.98</v>
          </cell>
          <cell r="I507">
            <v>15</v>
          </cell>
          <cell r="K507" t="str">
            <v>WPS-TNHA-S07</v>
          </cell>
          <cell r="L507" t="str">
            <v>ST-05</v>
          </cell>
          <cell r="Y507" t="str">
            <v>NOT YET FITUP</v>
          </cell>
        </row>
        <row r="508">
          <cell r="A508" t="str">
            <v>9001-2211-DS-0013-01-WM37</v>
          </cell>
          <cell r="B508" t="str">
            <v>9001-2211-DS-0013-01-WM</v>
          </cell>
          <cell r="C508">
            <v>37</v>
          </cell>
          <cell r="E508" t="str">
            <v>SB</v>
          </cell>
          <cell r="F508" t="str">
            <v>100%MT&amp;UT</v>
          </cell>
          <cell r="G508" t="str">
            <v>D</v>
          </cell>
          <cell r="H508">
            <v>1434.98</v>
          </cell>
          <cell r="I508">
            <v>15</v>
          </cell>
          <cell r="K508" t="str">
            <v>WPS-TNHA-S07</v>
          </cell>
          <cell r="L508" t="str">
            <v>ST-05</v>
          </cell>
          <cell r="Y508" t="str">
            <v>NOT YET FITUP</v>
          </cell>
        </row>
        <row r="509">
          <cell r="A509" t="str">
            <v>9001-2211-DS-0013-01-WM38</v>
          </cell>
          <cell r="B509" t="str">
            <v>9001-2211-DS-0013-01-WM</v>
          </cell>
          <cell r="C509">
            <v>38</v>
          </cell>
          <cell r="E509" t="str">
            <v xml:space="preserve">SV </v>
          </cell>
          <cell r="F509" t="str">
            <v>100%MT&amp;UT</v>
          </cell>
          <cell r="G509" t="str">
            <v>D</v>
          </cell>
          <cell r="H509">
            <v>1915.4</v>
          </cell>
          <cell r="I509" t="str">
            <v>15/25</v>
          </cell>
          <cell r="K509" t="str">
            <v>WPS-TNHA-S06</v>
          </cell>
          <cell r="L509" t="str">
            <v>ST-05</v>
          </cell>
          <cell r="M509" t="str">
            <v>BÁCH</v>
          </cell>
          <cell r="N509">
            <v>45966</v>
          </cell>
          <cell r="O509" t="str">
            <v>F-076</v>
          </cell>
          <cell r="P509" t="str">
            <v>21h30 8/11/2025</v>
          </cell>
          <cell r="Q509" t="str">
            <v>DHN-SL-22;DHN-SL-29</v>
          </cell>
          <cell r="R509" t="str">
            <v>TUÂN</v>
          </cell>
          <cell r="S509">
            <v>45971</v>
          </cell>
          <cell r="T509" t="str">
            <v>V-066</v>
          </cell>
          <cell r="Y509" t="str">
            <v>FINISH</v>
          </cell>
          <cell r="Z509" t="str">
            <v>ACC</v>
          </cell>
          <cell r="AA509" t="str">
            <v>ACC</v>
          </cell>
          <cell r="AB509" t="str">
            <v>MT-2211-ST-05-0007</v>
          </cell>
          <cell r="AC509" t="str">
            <v>ACC</v>
          </cell>
          <cell r="AD509" t="str">
            <v>UT-2211-ST-05-0008</v>
          </cell>
          <cell r="AL509" t="str">
            <v>13/11/2025</v>
          </cell>
          <cell r="AM509" t="str">
            <v>IRN-2211-ST-05-0003</v>
          </cell>
          <cell r="AP509" t="str">
            <v>12/11/2025</v>
          </cell>
        </row>
        <row r="510">
          <cell r="A510" t="str">
            <v>9001-2211-DS-0013-01-WM39</v>
          </cell>
          <cell r="B510" t="str">
            <v>9001-2211-DS-0013-01-WM</v>
          </cell>
          <cell r="C510">
            <v>39</v>
          </cell>
          <cell r="E510" t="str">
            <v>SB</v>
          </cell>
          <cell r="F510" t="str">
            <v>100%MT&amp;UT</v>
          </cell>
          <cell r="G510" t="str">
            <v>D</v>
          </cell>
          <cell r="H510">
            <v>1915.4</v>
          </cell>
          <cell r="I510">
            <v>15</v>
          </cell>
          <cell r="K510" t="str">
            <v>WPS-TNHA-S07</v>
          </cell>
          <cell r="L510" t="str">
            <v>ST-05</v>
          </cell>
          <cell r="Y510" t="str">
            <v>NOT YET FITUP</v>
          </cell>
        </row>
        <row r="511">
          <cell r="A511" t="str">
            <v>9001-2211-DS-0015-01-WM1</v>
          </cell>
          <cell r="B511" t="str">
            <v>9001-2211-DS-0015-01-WM</v>
          </cell>
          <cell r="C511">
            <v>1</v>
          </cell>
          <cell r="E511" t="str">
            <v>SB</v>
          </cell>
          <cell r="F511" t="str">
            <v>100%MT&amp;UT</v>
          </cell>
          <cell r="G511" t="str">
            <v>D</v>
          </cell>
          <cell r="H511">
            <v>2232.54</v>
          </cell>
          <cell r="I511">
            <v>15</v>
          </cell>
          <cell r="K511" t="str">
            <v>WPS-TNHA-S07</v>
          </cell>
          <cell r="L511" t="str">
            <v>ST-07</v>
          </cell>
          <cell r="Y511" t="str">
            <v>NOT YET FITUP</v>
          </cell>
        </row>
        <row r="512">
          <cell r="A512" t="str">
            <v>9001-2211-DS-0015-01-WM2</v>
          </cell>
          <cell r="B512" t="str">
            <v>9001-2211-DS-0015-01-WM</v>
          </cell>
          <cell r="C512">
            <v>2</v>
          </cell>
          <cell r="E512" t="str">
            <v>SV</v>
          </cell>
          <cell r="F512" t="str">
            <v>100%MT&amp;UT</v>
          </cell>
          <cell r="G512" t="str">
            <v>D</v>
          </cell>
          <cell r="H512">
            <v>2232.54</v>
          </cell>
          <cell r="I512" t="str">
            <v>15/35</v>
          </cell>
          <cell r="K512" t="str">
            <v>WPS-TNHA-S06</v>
          </cell>
          <cell r="L512" t="str">
            <v>ST-07</v>
          </cell>
          <cell r="M512" t="str">
            <v>BÁCH</v>
          </cell>
          <cell r="N512">
            <v>45966</v>
          </cell>
          <cell r="O512" t="str">
            <v>F-076</v>
          </cell>
          <cell r="P512" t="str">
            <v>11h30 8/11/2025</v>
          </cell>
          <cell r="Q512" t="str">
            <v>PD-05;PD-06</v>
          </cell>
          <cell r="R512" t="str">
            <v>TUÂN</v>
          </cell>
          <cell r="S512">
            <v>45972</v>
          </cell>
          <cell r="T512" t="str">
            <v>V-069</v>
          </cell>
          <cell r="Y512" t="str">
            <v>FINISH</v>
          </cell>
          <cell r="Z512" t="str">
            <v>ACC</v>
          </cell>
          <cell r="AA512" t="str">
            <v>ACC</v>
          </cell>
          <cell r="AB512" t="str">
            <v>MT-2211-ST-07-0006</v>
          </cell>
          <cell r="AC512" t="str">
            <v>ACC</v>
          </cell>
          <cell r="AD512" t="str">
            <v>UT-2211-ST-07-0007</v>
          </cell>
          <cell r="AP512" t="str">
            <v>12/11/2025</v>
          </cell>
        </row>
        <row r="513">
          <cell r="A513" t="str">
            <v>9001-2211-DS-0015-01-WM3</v>
          </cell>
          <cell r="B513" t="str">
            <v>9001-2211-DS-0015-01-WM</v>
          </cell>
          <cell r="C513">
            <v>3</v>
          </cell>
          <cell r="E513" t="str">
            <v>SB</v>
          </cell>
          <cell r="F513" t="str">
            <v>100%MT &amp; UT</v>
          </cell>
          <cell r="G513" t="str">
            <v>D</v>
          </cell>
          <cell r="H513">
            <v>1595.1200000000001</v>
          </cell>
          <cell r="I513">
            <v>20</v>
          </cell>
          <cell r="K513" t="str">
            <v>WPS-TNHA-S07</v>
          </cell>
          <cell r="L513" t="str">
            <v>ST-07</v>
          </cell>
          <cell r="M513" t="str">
            <v>BÁCH</v>
          </cell>
          <cell r="N513">
            <v>45982</v>
          </cell>
          <cell r="O513" t="str">
            <v>F-097</v>
          </cell>
          <cell r="P513" t="str">
            <v>16h 29/11/2025</v>
          </cell>
          <cell r="Q513" t="str">
            <v>PD-16;DHN-SL-43</v>
          </cell>
          <cell r="R513" t="str">
            <v>BÁCH</v>
          </cell>
          <cell r="S513">
            <v>45994</v>
          </cell>
          <cell r="T513" t="str">
            <v>V-111</v>
          </cell>
          <cell r="Y513" t="str">
            <v>FINISH</v>
          </cell>
          <cell r="Z513" t="str">
            <v>ACC</v>
          </cell>
          <cell r="AA513" t="str">
            <v>ACC</v>
          </cell>
          <cell r="AB513" t="str">
            <v>MT-2211-ST-07-0009</v>
          </cell>
          <cell r="AC513" t="str">
            <v>ACC</v>
          </cell>
          <cell r="AD513" t="str">
            <v>UT-2211-ST-07-0009</v>
          </cell>
          <cell r="AP513" t="str">
            <v>10/12/2025</v>
          </cell>
        </row>
        <row r="514">
          <cell r="A514" t="str">
            <v>9001-2211-DS-0015-01-WM4</v>
          </cell>
          <cell r="B514" t="str">
            <v>9001-2211-DS-0015-01-WM</v>
          </cell>
          <cell r="C514">
            <v>4</v>
          </cell>
          <cell r="E514" t="str">
            <v>SB</v>
          </cell>
          <cell r="F514" t="str">
            <v>100%MT &amp; UT</v>
          </cell>
          <cell r="G514" t="str">
            <v>D</v>
          </cell>
          <cell r="H514">
            <v>1595.1200000000001</v>
          </cell>
          <cell r="I514">
            <v>20</v>
          </cell>
          <cell r="K514" t="str">
            <v>WPS-TNHA-S07</v>
          </cell>
          <cell r="L514" t="str">
            <v>ST-07</v>
          </cell>
          <cell r="M514" t="str">
            <v>BÁCH</v>
          </cell>
          <cell r="N514">
            <v>45982</v>
          </cell>
          <cell r="O514" t="str">
            <v>F-097</v>
          </cell>
          <cell r="P514" t="str">
            <v>13h 29/11/2025</v>
          </cell>
          <cell r="Q514" t="str">
            <v>DHN-SL-20;DHN-SL-42</v>
          </cell>
          <cell r="R514" t="str">
            <v>BÁCH</v>
          </cell>
          <cell r="S514">
            <v>45994</v>
          </cell>
          <cell r="T514" t="str">
            <v>V-111</v>
          </cell>
          <cell r="Y514" t="str">
            <v>FINISH</v>
          </cell>
          <cell r="Z514" t="str">
            <v>ACC</v>
          </cell>
          <cell r="AA514" t="str">
            <v>ACC</v>
          </cell>
          <cell r="AB514" t="str">
            <v>MT-2211-ST-07-0009</v>
          </cell>
          <cell r="AC514" t="str">
            <v>ACC</v>
          </cell>
          <cell r="AD514" t="str">
            <v>UT-2211-ST-07-0009</v>
          </cell>
          <cell r="AP514" t="str">
            <v>10/12/2025</v>
          </cell>
        </row>
        <row r="515">
          <cell r="A515" t="str">
            <v>9001-2211-DS-0015-01-WM5</v>
          </cell>
          <cell r="B515" t="str">
            <v>9001-2211-DS-0015-01-WM</v>
          </cell>
          <cell r="C515">
            <v>5</v>
          </cell>
          <cell r="E515" t="str">
            <v>SV</v>
          </cell>
          <cell r="F515" t="str">
            <v>100%MT&amp;UT</v>
          </cell>
          <cell r="G515" t="str">
            <v>D</v>
          </cell>
          <cell r="H515">
            <v>2232.54</v>
          </cell>
          <cell r="I515" t="str">
            <v>15/35</v>
          </cell>
          <cell r="K515" t="str">
            <v>WPS-TNHA-S06</v>
          </cell>
          <cell r="L515" t="str">
            <v>ST-07</v>
          </cell>
          <cell r="M515" t="str">
            <v>BÁCH</v>
          </cell>
          <cell r="N515">
            <v>45966</v>
          </cell>
          <cell r="O515" t="str">
            <v>F-076</v>
          </cell>
          <cell r="P515" t="str">
            <v>15h 8/11/2025</v>
          </cell>
          <cell r="Q515" t="str">
            <v>PD-05;PD-06</v>
          </cell>
          <cell r="R515" t="str">
            <v>TUÂN</v>
          </cell>
          <cell r="S515">
            <v>45972</v>
          </cell>
          <cell r="T515" t="str">
            <v>V-069</v>
          </cell>
          <cell r="Y515" t="str">
            <v>FINISH</v>
          </cell>
          <cell r="Z515" t="str">
            <v>ACC</v>
          </cell>
          <cell r="AA515" t="str">
            <v>ACC</v>
          </cell>
          <cell r="AB515" t="str">
            <v>MT-2211-ST-07-0006</v>
          </cell>
          <cell r="AC515" t="str">
            <v>ACC</v>
          </cell>
          <cell r="AD515" t="str">
            <v>UT-2211-ST-07-0007</v>
          </cell>
          <cell r="AP515" t="str">
            <v>12/11/2025</v>
          </cell>
        </row>
        <row r="516">
          <cell r="A516" t="str">
            <v>9001-2211-DS-0015-01-WM6</v>
          </cell>
          <cell r="B516" t="str">
            <v>9001-2211-DS-0015-01-WM</v>
          </cell>
          <cell r="C516">
            <v>6</v>
          </cell>
          <cell r="E516" t="str">
            <v>SV</v>
          </cell>
          <cell r="F516" t="str">
            <v>100%MT&amp;UT</v>
          </cell>
          <cell r="G516" t="str">
            <v>D</v>
          </cell>
          <cell r="H516">
            <v>2232.54</v>
          </cell>
          <cell r="I516" t="str">
            <v>15/20</v>
          </cell>
          <cell r="K516" t="str">
            <v>WPS-TNHA-S06</v>
          </cell>
          <cell r="L516" t="str">
            <v>ST-07</v>
          </cell>
          <cell r="M516" t="str">
            <v>BÁCH</v>
          </cell>
          <cell r="N516">
            <v>45999</v>
          </cell>
          <cell r="O516" t="str">
            <v>F-119</v>
          </cell>
          <cell r="P516" t="str">
            <v>11h 8/12/2025</v>
          </cell>
          <cell r="Q516" t="str">
            <v>PD-05;PD-06</v>
          </cell>
          <cell r="R516" t="str">
            <v>BÁCH</v>
          </cell>
          <cell r="S516">
            <v>46001</v>
          </cell>
          <cell r="T516" t="str">
            <v>V-127</v>
          </cell>
          <cell r="Y516" t="str">
            <v>FINISH</v>
          </cell>
          <cell r="Z516" t="str">
            <v>ACC</v>
          </cell>
          <cell r="AA516" t="str">
            <v>ACC</v>
          </cell>
          <cell r="AB516" t="str">
            <v>MT-2211-ST-07-0011</v>
          </cell>
          <cell r="AC516" t="str">
            <v>ACC</v>
          </cell>
          <cell r="AD516" t="str">
            <v>UT-2211-ST-07-0010</v>
          </cell>
          <cell r="AP516" t="str">
            <v>16/12/2025</v>
          </cell>
        </row>
        <row r="517">
          <cell r="A517" t="str">
            <v>9001-2211-DS-0015-01-WM7</v>
          </cell>
          <cell r="B517" t="str">
            <v>9001-2211-DS-0015-01-WM</v>
          </cell>
          <cell r="C517">
            <v>7</v>
          </cell>
          <cell r="E517" t="str">
            <v>SV</v>
          </cell>
          <cell r="F517" t="str">
            <v>100%MT&amp;UT</v>
          </cell>
          <cell r="G517" t="str">
            <v>L</v>
          </cell>
          <cell r="H517">
            <v>1000</v>
          </cell>
          <cell r="I517">
            <v>20</v>
          </cell>
          <cell r="K517" t="str">
            <v>WPS-TNHA-S06</v>
          </cell>
          <cell r="L517" t="str">
            <v>ST-07</v>
          </cell>
          <cell r="M517" t="str">
            <v>BÁCH</v>
          </cell>
          <cell r="N517">
            <v>45986</v>
          </cell>
          <cell r="O517" t="str">
            <v>F-101</v>
          </cell>
          <cell r="P517" t="str">
            <v>29/11/2025</v>
          </cell>
          <cell r="Q517" t="str">
            <v>PD-33</v>
          </cell>
          <cell r="R517" t="str">
            <v>BÁCH</v>
          </cell>
          <cell r="S517">
            <v>45994</v>
          </cell>
          <cell r="T517" t="str">
            <v>V-110</v>
          </cell>
          <cell r="Y517" t="str">
            <v>FINISH</v>
          </cell>
          <cell r="Z517" t="str">
            <v>ACC</v>
          </cell>
          <cell r="AA517" t="str">
            <v>ACC</v>
          </cell>
          <cell r="AB517" t="str">
            <v>MT-2211-ST-07-0008</v>
          </cell>
          <cell r="AC517" t="str">
            <v>ACC</v>
          </cell>
          <cell r="AD517" t="str">
            <v>UT-2211-ST-07-0008</v>
          </cell>
          <cell r="AP517" t="str">
            <v>10/12/2025</v>
          </cell>
        </row>
        <row r="518">
          <cell r="A518" t="str">
            <v>9001-2211-DS-0015-01-WM8</v>
          </cell>
          <cell r="B518" t="str">
            <v>9001-2211-DS-0015-01-WM</v>
          </cell>
          <cell r="C518">
            <v>8</v>
          </cell>
          <cell r="E518" t="str">
            <v>SV</v>
          </cell>
          <cell r="F518" t="str">
            <v>100%MT&amp;UT</v>
          </cell>
          <cell r="G518" t="str">
            <v>D</v>
          </cell>
          <cell r="H518">
            <v>2869.96</v>
          </cell>
          <cell r="I518">
            <v>20</v>
          </cell>
          <cell r="K518" t="str">
            <v>WPS-TNHA-S06</v>
          </cell>
          <cell r="L518" t="str">
            <v>ST-07</v>
          </cell>
          <cell r="M518" t="str">
            <v>BÁCH</v>
          </cell>
          <cell r="N518">
            <v>45999</v>
          </cell>
          <cell r="O518" t="str">
            <v>F-119</v>
          </cell>
          <cell r="P518" t="str">
            <v>16h 8/12/2025</v>
          </cell>
          <cell r="Q518" t="str">
            <v>PD-05;PD-31</v>
          </cell>
          <cell r="R518" t="str">
            <v>BÁCH</v>
          </cell>
          <cell r="S518">
            <v>46001</v>
          </cell>
          <cell r="T518" t="str">
            <v>V-127</v>
          </cell>
          <cell r="Y518" t="str">
            <v>FINISH</v>
          </cell>
          <cell r="Z518" t="str">
            <v>ACC</v>
          </cell>
          <cell r="AA518" t="str">
            <v>ACC</v>
          </cell>
          <cell r="AB518" t="str">
            <v>MT-2211-ST-07-0011</v>
          </cell>
          <cell r="AC518" t="str">
            <v>ACC</v>
          </cell>
          <cell r="AD518" t="str">
            <v>UT-2211-ST-07-0010</v>
          </cell>
          <cell r="AP518" t="str">
            <v>16/12/2025</v>
          </cell>
        </row>
        <row r="519">
          <cell r="A519" t="str">
            <v>9001-2211-DS-0015-01-WM9</v>
          </cell>
          <cell r="B519" t="str">
            <v>9001-2211-DS-0015-01-WM</v>
          </cell>
          <cell r="C519">
            <v>9</v>
          </cell>
          <cell r="E519" t="str">
            <v>SB</v>
          </cell>
          <cell r="F519" t="str">
            <v>100%MT &amp; UT</v>
          </cell>
          <cell r="G519" t="str">
            <v>D</v>
          </cell>
          <cell r="H519">
            <v>2869.96</v>
          </cell>
          <cell r="I519">
            <v>20</v>
          </cell>
          <cell r="K519" t="str">
            <v>WPS-TNHA-S07</v>
          </cell>
          <cell r="L519" t="str">
            <v>ST-07</v>
          </cell>
          <cell r="Y519" t="str">
            <v>NOT YET FITUP</v>
          </cell>
        </row>
        <row r="520">
          <cell r="A520" t="str">
            <v>9001-2211-DS-0015-01-WM10</v>
          </cell>
          <cell r="B520" t="str">
            <v>9001-2211-DS-0015-01-WM</v>
          </cell>
          <cell r="C520">
            <v>10</v>
          </cell>
          <cell r="E520" t="str">
            <v>SB</v>
          </cell>
          <cell r="F520" t="str">
            <v>100%MT &amp; UT</v>
          </cell>
          <cell r="G520" t="str">
            <v>D</v>
          </cell>
          <cell r="H520">
            <v>2232.54</v>
          </cell>
          <cell r="I520">
            <v>15</v>
          </cell>
          <cell r="K520" t="str">
            <v>WPS-TNHA-S07</v>
          </cell>
          <cell r="L520" t="str">
            <v>ST-07</v>
          </cell>
          <cell r="M520" t="str">
            <v>HIẾU</v>
          </cell>
          <cell r="N520">
            <v>46000</v>
          </cell>
          <cell r="O520" t="str">
            <v>F-122</v>
          </cell>
          <cell r="P520" t="str">
            <v>9/12/2025</v>
          </cell>
          <cell r="Q520" t="str">
            <v>BGT-0010;BGT-0016</v>
          </cell>
          <cell r="R520" t="str">
            <v>THÁI</v>
          </cell>
          <cell r="S520">
            <v>46010</v>
          </cell>
          <cell r="T520" t="str">
            <v>V-147</v>
          </cell>
          <cell r="Y520" t="str">
            <v>FINISH</v>
          </cell>
          <cell r="Z520" t="str">
            <v>ACC</v>
          </cell>
          <cell r="AA520" t="str">
            <v>ACC</v>
          </cell>
          <cell r="AB520" t="str">
            <v>MT-2211-ST-07-0013</v>
          </cell>
          <cell r="AC520" t="str">
            <v>ACC</v>
          </cell>
          <cell r="AD520" t="str">
            <v>UT-2211-ST-07-0012</v>
          </cell>
          <cell r="AP520" t="str">
            <v>23/12/2025</v>
          </cell>
        </row>
        <row r="521">
          <cell r="A521" t="str">
            <v>9001-2211-DS-0015-01-WM11</v>
          </cell>
          <cell r="B521" t="str">
            <v>9001-2211-DS-0015-01-WM</v>
          </cell>
          <cell r="C521">
            <v>11</v>
          </cell>
          <cell r="E521" t="str">
            <v>SV</v>
          </cell>
          <cell r="F521" t="str">
            <v>100%MT&amp;UT</v>
          </cell>
          <cell r="G521" t="str">
            <v>D</v>
          </cell>
          <cell r="H521">
            <v>1595.1200000000001</v>
          </cell>
          <cell r="I521">
            <v>20</v>
          </cell>
          <cell r="K521" t="str">
            <v>WPS-TNHA-S06</v>
          </cell>
          <cell r="L521" t="str">
            <v>ST-07</v>
          </cell>
          <cell r="M521" t="str">
            <v>TUÂN</v>
          </cell>
          <cell r="N521">
            <v>45957</v>
          </cell>
          <cell r="O521" t="str">
            <v>F-064</v>
          </cell>
          <cell r="P521" t="str">
            <v>14h 29/10/2025</v>
          </cell>
          <cell r="Q521" t="str">
            <v>PD-06;DHN-SL-15</v>
          </cell>
          <cell r="R521" t="str">
            <v>THÁI</v>
          </cell>
          <cell r="S521">
            <v>45960</v>
          </cell>
          <cell r="T521" t="str">
            <v>V-047</v>
          </cell>
          <cell r="Y521" t="str">
            <v>FINISH</v>
          </cell>
          <cell r="Z521" t="str">
            <v>ACC</v>
          </cell>
          <cell r="AA521" t="str">
            <v>ACC</v>
          </cell>
          <cell r="AB521" t="str">
            <v>MT-2211-ST-07-0002</v>
          </cell>
          <cell r="AC521" t="str">
            <v>ACC</v>
          </cell>
          <cell r="AD521" t="str">
            <v>UT-2211-ST-07-0002</v>
          </cell>
          <cell r="AP521" t="str">
            <v>5/11/2025</v>
          </cell>
        </row>
        <row r="522">
          <cell r="A522" t="str">
            <v>9001-2211-DS-0015-01-WM12</v>
          </cell>
          <cell r="B522" t="str">
            <v>9001-2211-DS-0015-01-WM</v>
          </cell>
          <cell r="C522">
            <v>12</v>
          </cell>
          <cell r="E522" t="str">
            <v>SV</v>
          </cell>
          <cell r="F522" t="str">
            <v>100%MT&amp;UT</v>
          </cell>
          <cell r="G522" t="str">
            <v>D</v>
          </cell>
          <cell r="H522">
            <v>1595.1200000000001</v>
          </cell>
          <cell r="I522">
            <v>20</v>
          </cell>
          <cell r="K522" t="str">
            <v>WPS-TNHA-S06</v>
          </cell>
          <cell r="L522" t="str">
            <v>ST-07</v>
          </cell>
          <cell r="M522" t="str">
            <v>TUÂN</v>
          </cell>
          <cell r="N522">
            <v>45957</v>
          </cell>
          <cell r="O522" t="str">
            <v>F-064</v>
          </cell>
          <cell r="P522" t="str">
            <v>20h45 28/10/2025</v>
          </cell>
          <cell r="Q522" t="str">
            <v>DHN-SL-22;DHN-SL-29</v>
          </cell>
          <cell r="R522" t="str">
            <v>THÁI</v>
          </cell>
          <cell r="S522">
            <v>45960</v>
          </cell>
          <cell r="T522" t="str">
            <v>V-047</v>
          </cell>
          <cell r="Y522" t="str">
            <v>FINISH</v>
          </cell>
          <cell r="Z522" t="str">
            <v>ACC</v>
          </cell>
          <cell r="AA522" t="str">
            <v>ACC</v>
          </cell>
          <cell r="AB522" t="str">
            <v>MT-2211-ST-07-0002</v>
          </cell>
          <cell r="AC522" t="str">
            <v>ACC</v>
          </cell>
          <cell r="AD522" t="str">
            <v>UT-2211-ST-07-0002</v>
          </cell>
          <cell r="AP522" t="str">
            <v>5/11/2025</v>
          </cell>
        </row>
        <row r="523">
          <cell r="A523" t="str">
            <v>9001-2211-DS-0015-01-WM13</v>
          </cell>
          <cell r="B523" t="str">
            <v>9001-2211-DS-0015-01-WM</v>
          </cell>
          <cell r="C523">
            <v>13</v>
          </cell>
          <cell r="E523" t="str">
            <v>SB</v>
          </cell>
          <cell r="F523" t="str">
            <v>100%MT &amp; UT</v>
          </cell>
          <cell r="G523" t="str">
            <v>D</v>
          </cell>
          <cell r="H523">
            <v>2232.54</v>
          </cell>
          <cell r="I523">
            <v>15</v>
          </cell>
          <cell r="K523" t="str">
            <v>WPS-TNHA-S07</v>
          </cell>
          <cell r="L523" t="str">
            <v>ST-07</v>
          </cell>
          <cell r="Y523" t="str">
            <v>NOT YET FITUP</v>
          </cell>
        </row>
        <row r="524">
          <cell r="A524" t="str">
            <v>9001-2211-DS-0015-01-WM14</v>
          </cell>
          <cell r="B524" t="str">
            <v>9001-2211-DS-0015-01-WM</v>
          </cell>
          <cell r="C524">
            <v>14</v>
          </cell>
          <cell r="E524" t="str">
            <v>SV</v>
          </cell>
          <cell r="F524" t="str">
            <v>100%MT&amp;UT</v>
          </cell>
          <cell r="G524" t="str">
            <v>D</v>
          </cell>
          <cell r="H524">
            <v>2232.54</v>
          </cell>
          <cell r="I524" t="str">
            <v>15/25</v>
          </cell>
          <cell r="K524" t="str">
            <v>WPS-TNHA-S06</v>
          </cell>
          <cell r="L524" t="str">
            <v>ST-07</v>
          </cell>
          <cell r="M524" t="str">
            <v>XUÂN</v>
          </cell>
          <cell r="N524">
            <v>45956</v>
          </cell>
          <cell r="O524" t="str">
            <v>F-061</v>
          </cell>
          <cell r="P524" t="str">
            <v>31/10/2025</v>
          </cell>
          <cell r="Q524" t="str">
            <v>GTC-07;BGT-0032</v>
          </cell>
          <cell r="R524" t="str">
            <v>TUÂN</v>
          </cell>
          <cell r="S524">
            <v>45965</v>
          </cell>
          <cell r="T524" t="str">
            <v>V-056</v>
          </cell>
          <cell r="Y524" t="str">
            <v>REJ</v>
          </cell>
          <cell r="Z524" t="str">
            <v>REJ</v>
          </cell>
          <cell r="AA524" t="str">
            <v>ACC</v>
          </cell>
          <cell r="AB524" t="str">
            <v>MT-2211-ST-07-0004</v>
          </cell>
          <cell r="AC524" t="str">
            <v>REJ</v>
          </cell>
          <cell r="AD524" t="str">
            <v>UT-2211-ST-07-0004</v>
          </cell>
          <cell r="AH524">
            <v>190</v>
          </cell>
          <cell r="AJ524">
            <v>45992</v>
          </cell>
          <cell r="AK524" t="str">
            <v>FINAL-V-105</v>
          </cell>
          <cell r="AP524" t="str">
            <v>12/11/2025</v>
          </cell>
        </row>
        <row r="525">
          <cell r="A525" t="str">
            <v>9001-2211-DS-0015-01-WM14R1</v>
          </cell>
          <cell r="B525" t="str">
            <v>9001-2211-DS-0015-01-WM</v>
          </cell>
          <cell r="C525" t="str">
            <v>14R1</v>
          </cell>
          <cell r="E525" t="str">
            <v>SV</v>
          </cell>
          <cell r="F525" t="str">
            <v>100%MT&amp;UT</v>
          </cell>
          <cell r="G525" t="str">
            <v>L</v>
          </cell>
          <cell r="H525">
            <v>1090</v>
          </cell>
          <cell r="I525" t="str">
            <v>15/25</v>
          </cell>
          <cell r="K525" t="str">
            <v>WPS-TNHA-S06</v>
          </cell>
          <cell r="L525" t="str">
            <v>ST-07</v>
          </cell>
          <cell r="M525" t="str">
            <v>NA</v>
          </cell>
          <cell r="N525" t="str">
            <v>NA</v>
          </cell>
          <cell r="O525" t="str">
            <v>NA</v>
          </cell>
          <cell r="P525" t="str">
            <v>14h 9/11/2025</v>
          </cell>
          <cell r="Q525" t="str">
            <v>BGT-0032</v>
          </cell>
          <cell r="R525" t="str">
            <v>TUÂN</v>
          </cell>
          <cell r="S525">
            <v>45972</v>
          </cell>
          <cell r="T525" t="str">
            <v>V-069</v>
          </cell>
          <cell r="U525">
            <v>45971</v>
          </cell>
          <cell r="V525" t="str">
            <v>BG-077</v>
          </cell>
          <cell r="Y525" t="str">
            <v>FINISH</v>
          </cell>
          <cell r="Z525" t="str">
            <v>ACC</v>
          </cell>
          <cell r="AA525" t="str">
            <v>ACC</v>
          </cell>
          <cell r="AB525" t="str">
            <v>MT-2211-ST-07-0004R1</v>
          </cell>
          <cell r="AC525" t="str">
            <v>ACC</v>
          </cell>
          <cell r="AD525" t="str">
            <v>UT-2211-ST-07-0004R1</v>
          </cell>
          <cell r="AI525">
            <v>290</v>
          </cell>
          <cell r="AJ525">
            <v>45992</v>
          </cell>
          <cell r="AK525" t="str">
            <v>FINAL-V-105</v>
          </cell>
          <cell r="AP525" t="str">
            <v>12/11/2025</v>
          </cell>
        </row>
        <row r="526">
          <cell r="A526" t="str">
            <v>9001-2211-DS-0015-01-WM15</v>
          </cell>
          <cell r="B526" t="str">
            <v>9001-2211-DS-0015-01-WM</v>
          </cell>
          <cell r="C526">
            <v>15</v>
          </cell>
          <cell r="E526" t="str">
            <v>SB</v>
          </cell>
          <cell r="F526" t="str">
            <v>100%MT &amp; UT</v>
          </cell>
          <cell r="G526" t="str">
            <v>D</v>
          </cell>
          <cell r="H526">
            <v>2232.54</v>
          </cell>
          <cell r="I526">
            <v>15</v>
          </cell>
          <cell r="K526" t="str">
            <v>WPS-TNHA-S07</v>
          </cell>
          <cell r="L526" t="str">
            <v>ST-07</v>
          </cell>
          <cell r="Y526" t="str">
            <v>NOT YET FITUP</v>
          </cell>
        </row>
        <row r="527">
          <cell r="A527" t="str">
            <v>9001-2211-DS-0015-01-WM16</v>
          </cell>
          <cell r="B527" t="str">
            <v>9001-2211-DS-0015-01-WM</v>
          </cell>
          <cell r="C527">
            <v>16</v>
          </cell>
          <cell r="E527" t="str">
            <v>SB</v>
          </cell>
          <cell r="F527" t="str">
            <v>100%MT &amp; UT</v>
          </cell>
          <cell r="G527" t="str">
            <v>D</v>
          </cell>
          <cell r="H527">
            <v>1595.1200000000001</v>
          </cell>
          <cell r="I527">
            <v>15</v>
          </cell>
          <cell r="K527" t="str">
            <v>WPS-TNHA-S07</v>
          </cell>
          <cell r="L527" t="str">
            <v>ST-07</v>
          </cell>
          <cell r="Y527" t="str">
            <v>NOT YET FITUP</v>
          </cell>
        </row>
        <row r="528">
          <cell r="A528" t="str">
            <v>9001-2211-DS-0015-01-WM17</v>
          </cell>
          <cell r="B528" t="str">
            <v>9001-2211-DS-0015-01-WM</v>
          </cell>
          <cell r="C528">
            <v>17</v>
          </cell>
          <cell r="E528" t="str">
            <v>SV</v>
          </cell>
          <cell r="F528" t="str">
            <v>100%MT&amp;UT</v>
          </cell>
          <cell r="G528" t="str">
            <v>D</v>
          </cell>
          <cell r="H528">
            <v>2232.54</v>
          </cell>
          <cell r="I528" t="str">
            <v>15/25</v>
          </cell>
          <cell r="K528" t="str">
            <v>WPS-TNHA-S06</v>
          </cell>
          <cell r="L528" t="str">
            <v>ST-07</v>
          </cell>
          <cell r="M528" t="str">
            <v>XUÂN</v>
          </cell>
          <cell r="N528">
            <v>45956</v>
          </cell>
          <cell r="O528" t="str">
            <v>F-061</v>
          </cell>
          <cell r="P528" t="str">
            <v>29/10/2025</v>
          </cell>
          <cell r="Q528" t="str">
            <v>ND-01;BGT0017</v>
          </cell>
          <cell r="R528" t="str">
            <v>TUÂN</v>
          </cell>
          <cell r="S528">
            <v>45965</v>
          </cell>
          <cell r="T528" t="str">
            <v>V-056</v>
          </cell>
          <cell r="Y528" t="str">
            <v>FINISH</v>
          </cell>
          <cell r="Z528" t="str">
            <v>ACC</v>
          </cell>
          <cell r="AA528" t="str">
            <v>ACC</v>
          </cell>
          <cell r="AB528" t="str">
            <v>MT-2211-ST-07-0004</v>
          </cell>
          <cell r="AC528" t="str">
            <v>ACC</v>
          </cell>
          <cell r="AD528" t="str">
            <v>UT-2211-ST-07-0005</v>
          </cell>
          <cell r="AJ528">
            <v>45992</v>
          </cell>
          <cell r="AK528" t="str">
            <v>FINAL-V-105</v>
          </cell>
          <cell r="AP528" t="str">
            <v>5/11/2025</v>
          </cell>
        </row>
        <row r="529">
          <cell r="A529" t="str">
            <v>9001-2211-DS-0015-01-WM18</v>
          </cell>
          <cell r="B529" t="str">
            <v>9001-2211-DS-0015-01-WM</v>
          </cell>
          <cell r="C529">
            <v>18</v>
          </cell>
          <cell r="E529" t="str">
            <v>SV</v>
          </cell>
          <cell r="F529" t="str">
            <v>100%MT&amp;UT</v>
          </cell>
          <cell r="G529" t="str">
            <v>D</v>
          </cell>
          <cell r="H529">
            <v>2232.54</v>
          </cell>
          <cell r="I529">
            <v>15</v>
          </cell>
          <cell r="K529" t="str">
            <v>WPS-TNHA-S06</v>
          </cell>
          <cell r="L529" t="str">
            <v>ST-07</v>
          </cell>
          <cell r="M529" t="str">
            <v>XUÂN</v>
          </cell>
          <cell r="N529">
            <v>45956</v>
          </cell>
          <cell r="O529" t="str">
            <v>F-061</v>
          </cell>
          <cell r="P529" t="str">
            <v>29/10/2025</v>
          </cell>
          <cell r="Q529" t="str">
            <v>ND-01;BGT0017</v>
          </cell>
          <cell r="R529" t="str">
            <v>TUÂN</v>
          </cell>
          <cell r="S529">
            <v>45965</v>
          </cell>
          <cell r="T529" t="str">
            <v>V-056</v>
          </cell>
          <cell r="Y529" t="str">
            <v>FINISH</v>
          </cell>
          <cell r="Z529" t="str">
            <v>ACC</v>
          </cell>
          <cell r="AA529" t="str">
            <v>ACC</v>
          </cell>
          <cell r="AB529" t="str">
            <v>MT-2211-ST-07-0004</v>
          </cell>
          <cell r="AC529" t="str">
            <v>ACC</v>
          </cell>
          <cell r="AD529" t="str">
            <v>UT-2211-ST-07-0005</v>
          </cell>
          <cell r="AJ529">
            <v>45992</v>
          </cell>
          <cell r="AK529" t="str">
            <v>FINAL-V-105</v>
          </cell>
          <cell r="AP529" t="str">
            <v>5/11/2025</v>
          </cell>
        </row>
        <row r="530">
          <cell r="A530" t="str">
            <v>9001-2211-DS-0015-01-WM19</v>
          </cell>
          <cell r="B530" t="str">
            <v>9001-2211-DS-0015-01-WM</v>
          </cell>
          <cell r="C530">
            <v>19</v>
          </cell>
          <cell r="E530" t="str">
            <v>SV</v>
          </cell>
          <cell r="F530" t="str">
            <v>100%MT &amp; UT</v>
          </cell>
          <cell r="G530" t="str">
            <v>D</v>
          </cell>
          <cell r="H530">
            <v>1595.1200000000001</v>
          </cell>
          <cell r="I530">
            <v>15</v>
          </cell>
          <cell r="K530" t="str">
            <v>WPS-TNHA-S06</v>
          </cell>
          <cell r="L530" t="str">
            <v>ST-07</v>
          </cell>
          <cell r="M530" t="str">
            <v>TUÂN</v>
          </cell>
          <cell r="N530">
            <v>45959</v>
          </cell>
          <cell r="O530" t="str">
            <v>F-065</v>
          </cell>
          <cell r="P530" t="str">
            <v>10h 30/10/2025</v>
          </cell>
          <cell r="Q530" t="str">
            <v>PD-06;DHN-SL-15</v>
          </cell>
          <cell r="R530" t="str">
            <v>THÁI</v>
          </cell>
          <cell r="S530">
            <v>45961</v>
          </cell>
          <cell r="T530" t="str">
            <v>V-048</v>
          </cell>
          <cell r="Y530" t="str">
            <v>FINISH</v>
          </cell>
          <cell r="Z530" t="str">
            <v>ACC</v>
          </cell>
          <cell r="AA530" t="str">
            <v>ACC</v>
          </cell>
          <cell r="AB530" t="str">
            <v>MT-2211-ST-07-0003</v>
          </cell>
          <cell r="AC530" t="str">
            <v>ACC</v>
          </cell>
          <cell r="AD530" t="str">
            <v>UT-2211-ST-07-0003</v>
          </cell>
          <cell r="AP530" t="str">
            <v>5/11/2025</v>
          </cell>
        </row>
        <row r="531">
          <cell r="A531" t="str">
            <v>9001-2211-DS-0015-01-WM20</v>
          </cell>
          <cell r="B531" t="str">
            <v>9001-2211-DS-0015-01-WM</v>
          </cell>
          <cell r="C531">
            <v>20</v>
          </cell>
          <cell r="E531" t="str">
            <v>SV</v>
          </cell>
          <cell r="F531" t="str">
            <v>100%MT &amp; UT</v>
          </cell>
          <cell r="G531" t="str">
            <v>D</v>
          </cell>
          <cell r="H531">
            <v>2232.54</v>
          </cell>
          <cell r="I531" t="str">
            <v>15/35</v>
          </cell>
          <cell r="K531" t="str">
            <v>WPS-TNHA-S06</v>
          </cell>
          <cell r="L531" t="str">
            <v>ST-07</v>
          </cell>
          <cell r="M531" t="str">
            <v>THÁI</v>
          </cell>
          <cell r="N531">
            <v>45965</v>
          </cell>
          <cell r="O531" t="str">
            <v>F-074</v>
          </cell>
          <cell r="P531" t="str">
            <v>20h 5/11/2025</v>
          </cell>
          <cell r="Q531" t="str">
            <v>DHN-SL-22;DHN-SL-29</v>
          </cell>
          <cell r="R531" t="str">
            <v>THÁI</v>
          </cell>
          <cell r="S531">
            <v>45970</v>
          </cell>
          <cell r="T531" t="str">
            <v>V-063</v>
          </cell>
          <cell r="Y531" t="str">
            <v>FINISH</v>
          </cell>
          <cell r="Z531" t="str">
            <v>ACC</v>
          </cell>
          <cell r="AA531" t="str">
            <v>ACC</v>
          </cell>
          <cell r="AB531" t="str">
            <v>MT-2211-ST-07-0005</v>
          </cell>
          <cell r="AC531" t="str">
            <v>ACC</v>
          </cell>
          <cell r="AD531" t="str">
            <v>UT-2211-ST-07-0006</v>
          </cell>
          <cell r="AP531" t="str">
            <v>12/11/2025</v>
          </cell>
        </row>
        <row r="532">
          <cell r="A532" t="str">
            <v>9001-2211-DS-0015-01-WM21</v>
          </cell>
          <cell r="B532" t="str">
            <v>9001-2211-DS-0015-01-WM</v>
          </cell>
          <cell r="C532">
            <v>21</v>
          </cell>
          <cell r="E532" t="str">
            <v>SB</v>
          </cell>
          <cell r="F532" t="str">
            <v>100%MT &amp; UT</v>
          </cell>
          <cell r="G532" t="str">
            <v>D</v>
          </cell>
          <cell r="H532">
            <v>1595.1200000000001</v>
          </cell>
          <cell r="I532">
            <v>20</v>
          </cell>
          <cell r="K532" t="str">
            <v>WPS-TNHA-S07</v>
          </cell>
          <cell r="L532" t="str">
            <v>ST-07</v>
          </cell>
          <cell r="M532" t="str">
            <v>BÁCH</v>
          </cell>
          <cell r="N532">
            <v>45982</v>
          </cell>
          <cell r="O532" t="str">
            <v>F-097</v>
          </cell>
          <cell r="P532" t="str">
            <v>16h 29/11/2025</v>
          </cell>
          <cell r="Q532" t="str">
            <v>DHN-SL-20;DHN-SL-42</v>
          </cell>
          <cell r="R532" t="str">
            <v>BÁCH</v>
          </cell>
          <cell r="S532">
            <v>45994</v>
          </cell>
          <cell r="T532" t="str">
            <v>V-111</v>
          </cell>
          <cell r="Y532" t="str">
            <v>FINISH</v>
          </cell>
          <cell r="Z532" t="str">
            <v>ACC</v>
          </cell>
          <cell r="AA532" t="str">
            <v>ACC</v>
          </cell>
          <cell r="AB532" t="str">
            <v>MT-2211-ST-07-0009</v>
          </cell>
          <cell r="AC532" t="str">
            <v>ACC</v>
          </cell>
          <cell r="AD532" t="str">
            <v>UT-2211-ST-07-0009</v>
          </cell>
          <cell r="AP532" t="str">
            <v>10/12/2025</v>
          </cell>
        </row>
        <row r="533">
          <cell r="A533" t="str">
            <v>9001-2211-DS-0015-01-WM22</v>
          </cell>
          <cell r="B533" t="str">
            <v>9001-2211-DS-0015-01-WM</v>
          </cell>
          <cell r="C533">
            <v>22</v>
          </cell>
          <cell r="E533" t="str">
            <v>SB</v>
          </cell>
          <cell r="F533" t="str">
            <v>100%MT &amp; UT</v>
          </cell>
          <cell r="G533" t="str">
            <v>D</v>
          </cell>
          <cell r="H533">
            <v>1595.1200000000001</v>
          </cell>
          <cell r="I533">
            <v>20</v>
          </cell>
          <cell r="K533" t="str">
            <v>WPS-TNHA-S07</v>
          </cell>
          <cell r="L533" t="str">
            <v>ST-07</v>
          </cell>
          <cell r="M533" t="str">
            <v>BÁCH</v>
          </cell>
          <cell r="N533">
            <v>45982</v>
          </cell>
          <cell r="O533" t="str">
            <v>F-097</v>
          </cell>
          <cell r="P533" t="str">
            <v>13h 29/11/2025</v>
          </cell>
          <cell r="Q533" t="str">
            <v>DHN-SL-43;PD-16</v>
          </cell>
          <cell r="R533" t="str">
            <v>BÁCH</v>
          </cell>
          <cell r="S533">
            <v>45994</v>
          </cell>
          <cell r="T533" t="str">
            <v>V-111</v>
          </cell>
          <cell r="Y533" t="str">
            <v>FINISH</v>
          </cell>
          <cell r="Z533" t="str">
            <v>ACC</v>
          </cell>
          <cell r="AA533" t="str">
            <v>ACC</v>
          </cell>
          <cell r="AB533" t="str">
            <v>MT-2211-ST-07-0009</v>
          </cell>
          <cell r="AC533" t="str">
            <v>ACC</v>
          </cell>
          <cell r="AD533" t="str">
            <v>UT-2211-ST-07-0009</v>
          </cell>
          <cell r="AP533" t="str">
            <v>10/12/2025</v>
          </cell>
        </row>
        <row r="534">
          <cell r="A534" t="str">
            <v>9001-2211-DS-0015-01-WM23</v>
          </cell>
          <cell r="B534" t="str">
            <v>9001-2211-DS-0015-01-WM</v>
          </cell>
          <cell r="C534">
            <v>23</v>
          </cell>
          <cell r="E534" t="str">
            <v>SV</v>
          </cell>
          <cell r="F534" t="str">
            <v>100%MT &amp; UT</v>
          </cell>
          <cell r="G534" t="str">
            <v>D</v>
          </cell>
          <cell r="H534">
            <v>2232.54</v>
          </cell>
          <cell r="I534" t="str">
            <v>15/35</v>
          </cell>
          <cell r="K534" t="str">
            <v>WPS-TNHA-S06</v>
          </cell>
          <cell r="L534" t="str">
            <v>ST-07</v>
          </cell>
          <cell r="M534" t="str">
            <v>THÁI</v>
          </cell>
          <cell r="N534">
            <v>45965</v>
          </cell>
          <cell r="O534" t="str">
            <v>F-074</v>
          </cell>
          <cell r="P534" t="str">
            <v>17h 5/11/2025</v>
          </cell>
          <cell r="Q534" t="str">
            <v>PD-05;DHN-SL-09</v>
          </cell>
          <cell r="R534" t="str">
            <v>THÁI</v>
          </cell>
          <cell r="S534">
            <v>45970</v>
          </cell>
          <cell r="T534" t="str">
            <v>V-063</v>
          </cell>
          <cell r="Y534" t="str">
            <v>FINISH</v>
          </cell>
          <cell r="Z534" t="str">
            <v>ACC</v>
          </cell>
          <cell r="AA534" t="str">
            <v>ACC</v>
          </cell>
          <cell r="AB534" t="str">
            <v>MT-2211-ST-07-0005</v>
          </cell>
          <cell r="AC534" t="str">
            <v>ACC</v>
          </cell>
          <cell r="AD534" t="str">
            <v>UT-2211-ST-07-0006</v>
          </cell>
          <cell r="AP534" t="str">
            <v>12/11/2025</v>
          </cell>
        </row>
        <row r="535">
          <cell r="A535" t="str">
            <v>9001-2211-DS-0015-01-WM24</v>
          </cell>
          <cell r="B535" t="str">
            <v>9001-2211-DS-0015-01-WM</v>
          </cell>
          <cell r="C535">
            <v>24</v>
          </cell>
          <cell r="E535" t="str">
            <v>SV</v>
          </cell>
          <cell r="F535" t="str">
            <v>100%MT&amp;UT</v>
          </cell>
          <cell r="G535" t="str">
            <v>D</v>
          </cell>
          <cell r="H535">
            <v>2232.54</v>
          </cell>
          <cell r="I535" t="str">
            <v>15/25</v>
          </cell>
          <cell r="K535" t="str">
            <v>WPS-TNHA-S06</v>
          </cell>
          <cell r="L535" t="str">
            <v>ST-07</v>
          </cell>
          <cell r="M535" t="str">
            <v>HIẾU</v>
          </cell>
          <cell r="N535">
            <v>45950</v>
          </cell>
          <cell r="O535" t="str">
            <v>F-053</v>
          </cell>
          <cell r="P535" t="str">
            <v>23/10/2025</v>
          </cell>
          <cell r="Q535" t="str">
            <v>BGT-0006;GTC-07</v>
          </cell>
          <cell r="R535" t="str">
            <v>THÁI</v>
          </cell>
          <cell r="S535">
            <v>45958</v>
          </cell>
          <cell r="T535" t="str">
            <v>V-044</v>
          </cell>
          <cell r="Y535" t="str">
            <v>FINISH</v>
          </cell>
          <cell r="Z535" t="str">
            <v>ACC</v>
          </cell>
          <cell r="AA535" t="str">
            <v>ACC</v>
          </cell>
          <cell r="AB535" t="str">
            <v>MT-2211-ST-07-0001</v>
          </cell>
          <cell r="AC535" t="str">
            <v>ACC</v>
          </cell>
          <cell r="AD535" t="str">
            <v>UT-2211-ST-07-0001</v>
          </cell>
          <cell r="AJ535">
            <v>45995</v>
          </cell>
          <cell r="AK535" t="str">
            <v>FINAL-V-116</v>
          </cell>
          <cell r="AP535" t="str">
            <v>29/10/2025</v>
          </cell>
        </row>
        <row r="536">
          <cell r="A536" t="str">
            <v>9001-2211-DS-0015-01-WM25</v>
          </cell>
          <cell r="B536" t="str">
            <v>9001-2211-DS-0015-01-WM</v>
          </cell>
          <cell r="C536">
            <v>25</v>
          </cell>
          <cell r="E536" t="str">
            <v>SB</v>
          </cell>
          <cell r="F536" t="str">
            <v>100%MT &amp; UT</v>
          </cell>
          <cell r="G536" t="str">
            <v>D</v>
          </cell>
          <cell r="H536">
            <v>2232.54</v>
          </cell>
          <cell r="I536">
            <v>15</v>
          </cell>
          <cell r="K536" t="str">
            <v>WPS-TNHA-S07</v>
          </cell>
          <cell r="L536" t="str">
            <v>ST-07</v>
          </cell>
          <cell r="Y536" t="str">
            <v>NOT YET FITUP</v>
          </cell>
        </row>
        <row r="537">
          <cell r="A537" t="str">
            <v>9001-2211-DS-0015-01-WM26</v>
          </cell>
          <cell r="B537" t="str">
            <v>9001-2211-DS-0015-01-WM</v>
          </cell>
          <cell r="C537">
            <v>26</v>
          </cell>
          <cell r="E537" t="str">
            <v>SB</v>
          </cell>
          <cell r="F537" t="str">
            <v>100%MT &amp; UT</v>
          </cell>
          <cell r="G537" t="str">
            <v>D</v>
          </cell>
          <cell r="H537">
            <v>1595.1200000000001</v>
          </cell>
          <cell r="I537">
            <v>15</v>
          </cell>
          <cell r="K537" t="str">
            <v>WPS-TNHA-S07</v>
          </cell>
          <cell r="L537" t="str">
            <v>ST-07</v>
          </cell>
          <cell r="Y537" t="str">
            <v>NOT YET FITUP</v>
          </cell>
        </row>
        <row r="538">
          <cell r="A538" t="str">
            <v>9001-2211-DS-0015-01-WM27</v>
          </cell>
          <cell r="B538" t="str">
            <v>9001-2211-DS-0015-01-WM</v>
          </cell>
          <cell r="C538">
            <v>27</v>
          </cell>
          <cell r="E538" t="str">
            <v>SV</v>
          </cell>
          <cell r="F538" t="str">
            <v>100%MT&amp;UT</v>
          </cell>
          <cell r="G538" t="str">
            <v>D</v>
          </cell>
          <cell r="H538">
            <v>2232.54</v>
          </cell>
          <cell r="I538" t="str">
            <v>15/25</v>
          </cell>
          <cell r="K538" t="str">
            <v>WPS-TNHA-S06</v>
          </cell>
          <cell r="L538" t="str">
            <v>ST-07</v>
          </cell>
          <cell r="M538" t="str">
            <v>HIẾU</v>
          </cell>
          <cell r="N538">
            <v>45951</v>
          </cell>
          <cell r="O538" t="str">
            <v>F-055</v>
          </cell>
          <cell r="P538" t="str">
            <v>23/10/2025</v>
          </cell>
          <cell r="Q538" t="str">
            <v>BGT-0006;GTC-07</v>
          </cell>
          <cell r="R538" t="str">
            <v>THÁI</v>
          </cell>
          <cell r="S538">
            <v>45958</v>
          </cell>
          <cell r="T538" t="str">
            <v>V-044</v>
          </cell>
          <cell r="Y538" t="str">
            <v>FINISH</v>
          </cell>
          <cell r="Z538" t="str">
            <v>ACC</v>
          </cell>
          <cell r="AA538" t="str">
            <v>ACC</v>
          </cell>
          <cell r="AB538" t="str">
            <v>MT-2211-ST-07-0001</v>
          </cell>
          <cell r="AC538" t="str">
            <v>ACC</v>
          </cell>
          <cell r="AD538" t="str">
            <v>UT-2211-ST-07-0001</v>
          </cell>
          <cell r="AJ538">
            <v>45995</v>
          </cell>
          <cell r="AK538" t="str">
            <v>FINAL-V-116</v>
          </cell>
          <cell r="AP538" t="str">
            <v>29/10/2025</v>
          </cell>
        </row>
        <row r="539">
          <cell r="A539" t="str">
            <v>9001-2211-DS-0015-01-WM28</v>
          </cell>
          <cell r="B539" t="str">
            <v>9001-2211-DS-0015-01-WM</v>
          </cell>
          <cell r="C539">
            <v>28</v>
          </cell>
          <cell r="E539" t="str">
            <v>SV</v>
          </cell>
          <cell r="F539" t="str">
            <v>100%MT&amp;UT</v>
          </cell>
          <cell r="G539" t="str">
            <v>D</v>
          </cell>
          <cell r="H539">
            <v>2232.54</v>
          </cell>
          <cell r="I539" t="str">
            <v>15/25</v>
          </cell>
          <cell r="K539" t="str">
            <v>WPS-TNHA-S06</v>
          </cell>
          <cell r="L539" t="str">
            <v>ST-07</v>
          </cell>
          <cell r="M539" t="str">
            <v>HIẾU</v>
          </cell>
          <cell r="N539">
            <v>45950</v>
          </cell>
          <cell r="O539" t="str">
            <v>F-053</v>
          </cell>
          <cell r="P539" t="str">
            <v>23/10/2025</v>
          </cell>
          <cell r="Q539" t="str">
            <v>BGT-0032;ND-01</v>
          </cell>
          <cell r="R539" t="str">
            <v>THÁI</v>
          </cell>
          <cell r="S539">
            <v>45958</v>
          </cell>
          <cell r="T539" t="str">
            <v>V-044</v>
          </cell>
          <cell r="Y539" t="str">
            <v>FINISH</v>
          </cell>
          <cell r="Z539" t="str">
            <v>ACC</v>
          </cell>
          <cell r="AA539" t="str">
            <v>ACC</v>
          </cell>
          <cell r="AB539" t="str">
            <v>MT-2211-ST-07-0001</v>
          </cell>
          <cell r="AC539" t="str">
            <v>ACC</v>
          </cell>
          <cell r="AD539" t="str">
            <v>UT-2211-ST-07-0001</v>
          </cell>
          <cell r="AJ539">
            <v>45995</v>
          </cell>
          <cell r="AK539" t="str">
            <v>FINAL-V-116</v>
          </cell>
          <cell r="AP539" t="str">
            <v>29/10/2025</v>
          </cell>
        </row>
        <row r="540">
          <cell r="A540" t="str">
            <v>9001-2211-DS-0015-01-WM29</v>
          </cell>
          <cell r="B540" t="str">
            <v>9001-2211-DS-0015-01-WM</v>
          </cell>
          <cell r="C540">
            <v>29</v>
          </cell>
          <cell r="E540" t="str">
            <v>SV</v>
          </cell>
          <cell r="F540" t="str">
            <v>100%MT&amp;UT</v>
          </cell>
          <cell r="G540" t="str">
            <v>D</v>
          </cell>
          <cell r="H540">
            <v>2232.54</v>
          </cell>
          <cell r="I540" t="str">
            <v>15/25</v>
          </cell>
          <cell r="K540" t="str">
            <v>WPS-TNHA-S06</v>
          </cell>
          <cell r="L540" t="str">
            <v>ST-07</v>
          </cell>
          <cell r="M540" t="str">
            <v>HIẾU</v>
          </cell>
          <cell r="N540">
            <v>45950</v>
          </cell>
          <cell r="O540" t="str">
            <v>F-053</v>
          </cell>
          <cell r="P540" t="str">
            <v>23/10/2025</v>
          </cell>
          <cell r="Q540" t="str">
            <v>BGT-0032;ND-01</v>
          </cell>
          <cell r="R540" t="str">
            <v>THÁI</v>
          </cell>
          <cell r="S540">
            <v>45958</v>
          </cell>
          <cell r="T540" t="str">
            <v>V-044</v>
          </cell>
          <cell r="Y540" t="str">
            <v>FINISH</v>
          </cell>
          <cell r="Z540" t="str">
            <v>ACC</v>
          </cell>
          <cell r="AA540" t="str">
            <v>ACC</v>
          </cell>
          <cell r="AB540" t="str">
            <v>MT-2211-ST-07-0001</v>
          </cell>
          <cell r="AC540" t="str">
            <v>ACC</v>
          </cell>
          <cell r="AD540" t="str">
            <v>UT-2211-ST-07-0001</v>
          </cell>
          <cell r="AJ540">
            <v>45995</v>
          </cell>
          <cell r="AK540" t="str">
            <v>FINAL-V-116</v>
          </cell>
          <cell r="AP540" t="str">
            <v>29/10/2025</v>
          </cell>
        </row>
        <row r="541">
          <cell r="A541" t="str">
            <v>9001-2211-DS-0015-01-WM30</v>
          </cell>
          <cell r="B541" t="str">
            <v>9001-2211-DS-0015-01-WM</v>
          </cell>
          <cell r="C541">
            <v>30</v>
          </cell>
          <cell r="E541" t="str">
            <v>SV</v>
          </cell>
          <cell r="F541" t="str">
            <v>100%MT &amp; UT</v>
          </cell>
          <cell r="G541" t="str">
            <v>D</v>
          </cell>
          <cell r="H541">
            <v>1595.1200000000001</v>
          </cell>
          <cell r="I541">
            <v>15</v>
          </cell>
          <cell r="K541" t="str">
            <v>WPS-TNHA-S06</v>
          </cell>
          <cell r="L541" t="str">
            <v>ST-07</v>
          </cell>
          <cell r="M541" t="str">
            <v>TUÂN</v>
          </cell>
          <cell r="N541">
            <v>45959</v>
          </cell>
          <cell r="O541" t="str">
            <v>F-066</v>
          </cell>
          <cell r="P541" t="str">
            <v>20h45 29/10/2025</v>
          </cell>
          <cell r="Q541" t="str">
            <v>DHN-SL-22;DHN-SL-29</v>
          </cell>
          <cell r="R541" t="str">
            <v>THÁI</v>
          </cell>
          <cell r="S541">
            <v>45961</v>
          </cell>
          <cell r="T541" t="str">
            <v>V-048</v>
          </cell>
          <cell r="Y541" t="str">
            <v>FINISH</v>
          </cell>
          <cell r="Z541" t="str">
            <v>ACC</v>
          </cell>
          <cell r="AA541" t="str">
            <v>ACC</v>
          </cell>
          <cell r="AB541" t="str">
            <v>MT-2211-ST-07-0003</v>
          </cell>
          <cell r="AC541" t="str">
            <v>ACC</v>
          </cell>
          <cell r="AD541" t="str">
            <v>UT-2211-ST-07-0003</v>
          </cell>
          <cell r="AP541" t="str">
            <v>5/11/2025</v>
          </cell>
        </row>
        <row r="542">
          <cell r="A542" t="str">
            <v>9001-2211-DS-0015-01-WM31</v>
          </cell>
          <cell r="B542" t="str">
            <v>9001-2211-DS-0015-01-WM</v>
          </cell>
          <cell r="C542">
            <v>31</v>
          </cell>
          <cell r="E542" t="str">
            <v>SB</v>
          </cell>
          <cell r="F542" t="str">
            <v>100%MT &amp; UT</v>
          </cell>
          <cell r="G542" t="str">
            <v>D</v>
          </cell>
          <cell r="H542">
            <v>2232.54</v>
          </cell>
          <cell r="I542">
            <v>15</v>
          </cell>
          <cell r="K542" t="str">
            <v>WPS-TNHA-S07</v>
          </cell>
          <cell r="L542" t="str">
            <v>ST-07</v>
          </cell>
          <cell r="M542" t="str">
            <v>HIẾU</v>
          </cell>
          <cell r="N542">
            <v>46000</v>
          </cell>
          <cell r="O542" t="str">
            <v>F-122</v>
          </cell>
          <cell r="P542" t="str">
            <v>9/12/2025</v>
          </cell>
          <cell r="Q542" t="str">
            <v>BGT-0005;GTC-12</v>
          </cell>
          <cell r="R542" t="str">
            <v>THÁI</v>
          </cell>
          <cell r="S542">
            <v>46004</v>
          </cell>
          <cell r="T542" t="str">
            <v>V-134</v>
          </cell>
          <cell r="Y542" t="str">
            <v>FINISH</v>
          </cell>
          <cell r="Z542" t="str">
            <v>ACC</v>
          </cell>
          <cell r="AA542" t="str">
            <v>ACC</v>
          </cell>
          <cell r="AB542" t="str">
            <v>MT-2211-ST-07-0012</v>
          </cell>
          <cell r="AC542" t="str">
            <v>ACC</v>
          </cell>
          <cell r="AD542" t="str">
            <v>UT-2211-ST-07-0011</v>
          </cell>
          <cell r="AP542" t="str">
            <v>16/12/2025</v>
          </cell>
        </row>
        <row r="543">
          <cell r="A543" t="str">
            <v>9001-2211-DS-0015-01-WM32</v>
          </cell>
          <cell r="B543" t="str">
            <v>9001-2211-DS-0015-01-WM</v>
          </cell>
          <cell r="C543">
            <v>32</v>
          </cell>
          <cell r="E543" t="str">
            <v>SB</v>
          </cell>
          <cell r="F543" t="str">
            <v>100%MT &amp; UT</v>
          </cell>
          <cell r="G543" t="str">
            <v>D</v>
          </cell>
          <cell r="H543">
            <v>2232.54</v>
          </cell>
          <cell r="I543">
            <v>15</v>
          </cell>
          <cell r="K543" t="str">
            <v>WPS-TNHA-S07</v>
          </cell>
          <cell r="L543" t="str">
            <v>ST-07</v>
          </cell>
          <cell r="Y543" t="str">
            <v>NOT YET FITUP</v>
          </cell>
        </row>
        <row r="544">
          <cell r="A544" t="str">
            <v>9001-2211-DS-0015-01-WM33</v>
          </cell>
          <cell r="B544" t="str">
            <v>9001-2211-DS-0015-01-WM</v>
          </cell>
          <cell r="C544">
            <v>33</v>
          </cell>
          <cell r="E544" t="str">
            <v>SV</v>
          </cell>
          <cell r="F544" t="str">
            <v>100%MT &amp; UT</v>
          </cell>
          <cell r="G544" t="str">
            <v>D</v>
          </cell>
          <cell r="H544">
            <v>2232.54</v>
          </cell>
          <cell r="I544" t="str">
            <v>15/25</v>
          </cell>
          <cell r="K544" t="str">
            <v>WPS-TNHA-S06</v>
          </cell>
          <cell r="L544" t="str">
            <v>ST-07</v>
          </cell>
          <cell r="M544" t="str">
            <v>BÁCH</v>
          </cell>
          <cell r="N544">
            <v>45966</v>
          </cell>
          <cell r="O544" t="str">
            <v>F-076</v>
          </cell>
          <cell r="P544" t="str">
            <v>15h 6/11/2025</v>
          </cell>
          <cell r="Q544" t="str">
            <v>PD-05;PD-06</v>
          </cell>
          <cell r="R544" t="str">
            <v>THÁI</v>
          </cell>
          <cell r="S544">
            <v>45970</v>
          </cell>
          <cell r="T544" t="str">
            <v>V-063</v>
          </cell>
          <cell r="Y544" t="str">
            <v>FINISH</v>
          </cell>
          <cell r="Z544" t="str">
            <v>ACC</v>
          </cell>
          <cell r="AA544" t="str">
            <v>ACC</v>
          </cell>
          <cell r="AB544" t="str">
            <v>MT-2211-ST-07-0005</v>
          </cell>
          <cell r="AC544" t="str">
            <v>ACC</v>
          </cell>
          <cell r="AD544" t="str">
            <v>UT-2211-ST-07-0006</v>
          </cell>
          <cell r="AP544" t="str">
            <v>12/11/2025</v>
          </cell>
        </row>
        <row r="545">
          <cell r="A545" t="str">
            <v>9001-2211-DS-0015-01-WM34</v>
          </cell>
          <cell r="B545" t="str">
            <v>9001-2211-DS-0015-01-WM</v>
          </cell>
          <cell r="C545">
            <v>34</v>
          </cell>
          <cell r="E545" t="str">
            <v>SB</v>
          </cell>
          <cell r="F545" t="str">
            <v>100%MT &amp; UT</v>
          </cell>
          <cell r="G545" t="str">
            <v>D</v>
          </cell>
          <cell r="H545">
            <v>1595.1200000000001</v>
          </cell>
          <cell r="I545">
            <v>15</v>
          </cell>
          <cell r="K545" t="str">
            <v>WPS-TNHA-S07</v>
          </cell>
          <cell r="L545" t="str">
            <v>ST-07</v>
          </cell>
          <cell r="Y545" t="str">
            <v>NOT YET FITUP</v>
          </cell>
        </row>
        <row r="546">
          <cell r="A546" t="str">
            <v>9001-2211-DS-0015-01-WM35</v>
          </cell>
          <cell r="B546" t="str">
            <v>9001-2211-DS-0015-01-WM</v>
          </cell>
          <cell r="C546">
            <v>35</v>
          </cell>
          <cell r="E546" t="str">
            <v>SB</v>
          </cell>
          <cell r="F546" t="str">
            <v>100%MT &amp; UT</v>
          </cell>
          <cell r="G546" t="str">
            <v>D</v>
          </cell>
          <cell r="H546">
            <v>1595.1200000000001</v>
          </cell>
          <cell r="I546">
            <v>15</v>
          </cell>
          <cell r="K546" t="str">
            <v>WPS-TNHA-S07</v>
          </cell>
          <cell r="L546" t="str">
            <v>ST-07</v>
          </cell>
          <cell r="Y546" t="str">
            <v>NOT YET FITUP</v>
          </cell>
        </row>
        <row r="547">
          <cell r="A547" t="str">
            <v>9001-2211-DS-0015-01-WM36</v>
          </cell>
          <cell r="B547" t="str">
            <v>9001-2211-DS-0015-01-WM</v>
          </cell>
          <cell r="C547">
            <v>36</v>
          </cell>
          <cell r="E547" t="str">
            <v>SV</v>
          </cell>
          <cell r="F547" t="str">
            <v>100%MT &amp; UT</v>
          </cell>
          <cell r="G547" t="str">
            <v>D</v>
          </cell>
          <cell r="H547">
            <v>2232.54</v>
          </cell>
          <cell r="I547" t="str">
            <v>15/25</v>
          </cell>
          <cell r="K547" t="str">
            <v>WPS-TNHA-S06</v>
          </cell>
          <cell r="L547" t="str">
            <v>ST-07</v>
          </cell>
          <cell r="M547" t="str">
            <v>BÁCH</v>
          </cell>
          <cell r="N547">
            <v>45966</v>
          </cell>
          <cell r="O547" t="str">
            <v>F-076</v>
          </cell>
          <cell r="P547" t="str">
            <v>18h 6/11/2025</v>
          </cell>
          <cell r="Q547" t="str">
            <v>PD-05;PD-06</v>
          </cell>
          <cell r="R547" t="str">
            <v>THÁI</v>
          </cell>
          <cell r="S547">
            <v>45970</v>
          </cell>
          <cell r="T547" t="str">
            <v>V-063</v>
          </cell>
          <cell r="Y547" t="str">
            <v>FINISH</v>
          </cell>
          <cell r="Z547" t="str">
            <v>ACC</v>
          </cell>
          <cell r="AA547" t="str">
            <v>ACC</v>
          </cell>
          <cell r="AB547" t="str">
            <v>MT-2211-ST-07-0005</v>
          </cell>
          <cell r="AC547" t="str">
            <v>ACC</v>
          </cell>
          <cell r="AD547" t="str">
            <v>UT-2211-ST-07-0006</v>
          </cell>
          <cell r="AP547" t="str">
            <v>12/11/2025</v>
          </cell>
        </row>
        <row r="548">
          <cell r="A548" t="str">
            <v>9001-2211-DS-0015-01-WM37</v>
          </cell>
          <cell r="B548" t="str">
            <v>9001-2211-DS-0015-01-WM</v>
          </cell>
          <cell r="C548">
            <v>37</v>
          </cell>
          <cell r="E548" t="str">
            <v>SB</v>
          </cell>
          <cell r="F548" t="str">
            <v>100%MT &amp; UT</v>
          </cell>
          <cell r="G548" t="str">
            <v>D</v>
          </cell>
          <cell r="H548">
            <v>2232.54</v>
          </cell>
          <cell r="I548">
            <v>15</v>
          </cell>
          <cell r="K548" t="str">
            <v>WPS-TNHA-S07</v>
          </cell>
          <cell r="L548" t="str">
            <v>ST-07</v>
          </cell>
          <cell r="Y548" t="str">
            <v>NOT YET FITUP</v>
          </cell>
        </row>
        <row r="549">
          <cell r="A549" t="str">
            <v>9001-2211-DS-0015-01-WM38</v>
          </cell>
          <cell r="B549" t="str">
            <v>9001-2211-DS-0015-01-WM</v>
          </cell>
          <cell r="C549">
            <v>38</v>
          </cell>
          <cell r="E549" t="str">
            <v>SB</v>
          </cell>
          <cell r="F549" t="str">
            <v>100%MT &amp; UT</v>
          </cell>
          <cell r="G549" t="str">
            <v>D</v>
          </cell>
          <cell r="H549">
            <v>2232.54</v>
          </cell>
          <cell r="I549">
            <v>15</v>
          </cell>
          <cell r="K549" t="str">
            <v>WPS-TNHA-S07</v>
          </cell>
          <cell r="L549" t="str">
            <v>ST-07</v>
          </cell>
          <cell r="Y549" t="str">
            <v>NOT YET FITUP</v>
          </cell>
        </row>
        <row r="550">
          <cell r="A550" t="str">
            <v>9001-2211-DS-0016-01-WM1</v>
          </cell>
          <cell r="B550" t="str">
            <v>9001-2211-DS-0016-01-WM</v>
          </cell>
          <cell r="C550">
            <v>1</v>
          </cell>
          <cell r="E550" t="str">
            <v>SB</v>
          </cell>
          <cell r="F550" t="str">
            <v>100%MT&amp;UT</v>
          </cell>
          <cell r="G550" t="str">
            <v>D</v>
          </cell>
          <cell r="H550">
            <v>2552.8200000000002</v>
          </cell>
          <cell r="I550">
            <v>15</v>
          </cell>
          <cell r="K550" t="str">
            <v>WPS-TNHA-S07</v>
          </cell>
          <cell r="L550" t="str">
            <v>ST-08</v>
          </cell>
          <cell r="Y550" t="str">
            <v>NOT YET FITUP</v>
          </cell>
        </row>
        <row r="551">
          <cell r="A551" t="str">
            <v>9001-2211-DS-0016-01-WM2</v>
          </cell>
          <cell r="B551" t="str">
            <v>9001-2211-DS-0016-01-WM</v>
          </cell>
          <cell r="C551">
            <v>2</v>
          </cell>
          <cell r="E551" t="str">
            <v>SV</v>
          </cell>
          <cell r="F551" t="str">
            <v>100%MT&amp;UT</v>
          </cell>
          <cell r="G551" t="str">
            <v>D</v>
          </cell>
          <cell r="H551">
            <v>2552.8200000000002</v>
          </cell>
          <cell r="I551" t="str">
            <v>15/30</v>
          </cell>
          <cell r="K551" t="str">
            <v>WPS-TNHA-S06</v>
          </cell>
          <cell r="L551" t="str">
            <v>ST-08</v>
          </cell>
          <cell r="M551" t="str">
            <v>BÁCH</v>
          </cell>
          <cell r="N551">
            <v>45976</v>
          </cell>
          <cell r="O551" t="str">
            <v>F-085</v>
          </cell>
          <cell r="P551" t="str">
            <v>21h30 17/11/1025</v>
          </cell>
          <cell r="Q551" t="str">
            <v>DHN-SL-22;DHN-SL-29</v>
          </cell>
          <cell r="R551" t="str">
            <v>TUÂN</v>
          </cell>
          <cell r="S551">
            <v>45980</v>
          </cell>
          <cell r="T551" t="str">
            <v>V-084</v>
          </cell>
          <cell r="Y551" t="str">
            <v>FINISH</v>
          </cell>
          <cell r="Z551" t="str">
            <v>ACC</v>
          </cell>
          <cell r="AA551" t="str">
            <v>ACC</v>
          </cell>
          <cell r="AB551" t="str">
            <v>MT-2211-ST-08-0005</v>
          </cell>
          <cell r="AC551" t="str">
            <v>ACC</v>
          </cell>
          <cell r="AD551" t="str">
            <v>UT-2211-ST-08-0009</v>
          </cell>
          <cell r="AP551" t="str">
            <v>26/11/2025</v>
          </cell>
        </row>
        <row r="552">
          <cell r="A552" t="str">
            <v>9001-2211-DS-0016-01-WM3</v>
          </cell>
          <cell r="B552" t="str">
            <v>9001-2211-DS-0016-01-WM</v>
          </cell>
          <cell r="C552">
            <v>3</v>
          </cell>
          <cell r="E552" t="str">
            <v>SB</v>
          </cell>
          <cell r="F552" t="str">
            <v>100%MT&amp;UT</v>
          </cell>
          <cell r="G552" t="str">
            <v>D</v>
          </cell>
          <cell r="H552">
            <v>1595.1200000000001</v>
          </cell>
          <cell r="I552">
            <v>15</v>
          </cell>
          <cell r="K552" t="str">
            <v>WPS-TNHA-S07</v>
          </cell>
          <cell r="L552" t="str">
            <v>ST-08</v>
          </cell>
          <cell r="M552" t="str">
            <v>XUÂN</v>
          </cell>
          <cell r="N552">
            <v>46009</v>
          </cell>
          <cell r="O552" t="str">
            <v>F-139</v>
          </cell>
          <cell r="Y552" t="str">
            <v>NOT YET VISUAL</v>
          </cell>
        </row>
        <row r="553">
          <cell r="A553" t="str">
            <v>9001-2211-DS-0016-01-WM4</v>
          </cell>
          <cell r="B553" t="str">
            <v>9001-2211-DS-0016-01-WM</v>
          </cell>
          <cell r="C553">
            <v>4</v>
          </cell>
          <cell r="E553" t="str">
            <v>SV</v>
          </cell>
          <cell r="F553" t="str">
            <v>100%MT&amp;UT</v>
          </cell>
          <cell r="G553" t="str">
            <v>D</v>
          </cell>
          <cell r="H553">
            <v>2552.8200000000002</v>
          </cell>
          <cell r="I553" t="str">
            <v>20/30</v>
          </cell>
          <cell r="K553" t="str">
            <v>WPS-TNHA-S06</v>
          </cell>
          <cell r="L553" t="str">
            <v>ST-08</v>
          </cell>
          <cell r="M553" t="str">
            <v>BÁCH</v>
          </cell>
          <cell r="N553">
            <v>45976</v>
          </cell>
          <cell r="O553" t="str">
            <v>F-085</v>
          </cell>
          <cell r="P553" t="str">
            <v>19/11/2025</v>
          </cell>
          <cell r="Q553" t="str">
            <v>DHN-SL-22;DHN-SL-29</v>
          </cell>
          <cell r="R553" t="str">
            <v>Bách</v>
          </cell>
          <cell r="S553">
            <v>45985</v>
          </cell>
          <cell r="T553" t="str">
            <v>V-089</v>
          </cell>
          <cell r="Y553" t="str">
            <v>FINISH</v>
          </cell>
          <cell r="Z553" t="str">
            <v>ACC</v>
          </cell>
          <cell r="AA553" t="str">
            <v>ACC</v>
          </cell>
          <cell r="AB553" t="str">
            <v>MT-2211-ST-08-0007</v>
          </cell>
          <cell r="AC553" t="str">
            <v>ACC</v>
          </cell>
          <cell r="AD553" t="str">
            <v>UT-2211-ST-08-0012</v>
          </cell>
          <cell r="AP553" t="str">
            <v>26/11/2025</v>
          </cell>
        </row>
        <row r="554">
          <cell r="A554" t="str">
            <v>9001-2211-DS-0016-01-WM5</v>
          </cell>
          <cell r="B554" t="str">
            <v>9001-2211-DS-0016-01-WM</v>
          </cell>
          <cell r="C554">
            <v>5</v>
          </cell>
          <cell r="E554" t="str">
            <v>SV</v>
          </cell>
          <cell r="F554" t="str">
            <v>100%MT&amp;UT</v>
          </cell>
          <cell r="G554" t="str">
            <v>D</v>
          </cell>
          <cell r="H554">
            <v>2552.8200000000002</v>
          </cell>
          <cell r="I554" t="str">
            <v>20/30</v>
          </cell>
          <cell r="K554" t="str">
            <v>WPS-TNHA-S06</v>
          </cell>
          <cell r="L554" t="str">
            <v>ST-08</v>
          </cell>
          <cell r="M554" t="str">
            <v>BÁCH</v>
          </cell>
          <cell r="N554">
            <v>45976</v>
          </cell>
          <cell r="O554" t="str">
            <v>F-085</v>
          </cell>
          <cell r="P554" t="str">
            <v>19/11/2025</v>
          </cell>
          <cell r="Q554" t="str">
            <v>PD-06;PD-31</v>
          </cell>
          <cell r="R554" t="str">
            <v>Bách</v>
          </cell>
          <cell r="S554">
            <v>45985</v>
          </cell>
          <cell r="T554" t="str">
            <v>V-089</v>
          </cell>
          <cell r="Y554" t="str">
            <v>FINISH</v>
          </cell>
          <cell r="Z554" t="str">
            <v>ACC</v>
          </cell>
          <cell r="AA554" t="str">
            <v>ACC</v>
          </cell>
          <cell r="AB554" t="str">
            <v>MT-2211-ST-08-0007</v>
          </cell>
          <cell r="AC554" t="str">
            <v>ACC</v>
          </cell>
          <cell r="AD554" t="str">
            <v>UT-2211-ST-08-0012</v>
          </cell>
          <cell r="AP554" t="str">
            <v>26/11/2025</v>
          </cell>
        </row>
        <row r="555">
          <cell r="A555" t="str">
            <v>9001-2211-DS-0016-01-WM6</v>
          </cell>
          <cell r="B555" t="str">
            <v>9001-2211-DS-0016-01-WM</v>
          </cell>
          <cell r="C555">
            <v>6</v>
          </cell>
          <cell r="E555" t="str">
            <v>SB</v>
          </cell>
          <cell r="F555" t="str">
            <v>100%MT&amp;UT</v>
          </cell>
          <cell r="G555" t="str">
            <v>D</v>
          </cell>
          <cell r="H555">
            <v>1595.1200000000001</v>
          </cell>
          <cell r="I555">
            <v>20</v>
          </cell>
          <cell r="K555" t="str">
            <v>WPS-TNHA-S07</v>
          </cell>
          <cell r="L555" t="str">
            <v>ST-08</v>
          </cell>
          <cell r="M555" t="str">
            <v>XUÂN</v>
          </cell>
          <cell r="N555">
            <v>45998</v>
          </cell>
          <cell r="O555" t="str">
            <v>F-116</v>
          </cell>
          <cell r="P555" t="str">
            <v>16h30 7/12/2025</v>
          </cell>
          <cell r="Q555" t="str">
            <v>TNHA-SL-012;TNHA-SL-003</v>
          </cell>
          <cell r="R555" t="str">
            <v>XUÂN</v>
          </cell>
          <cell r="S555">
            <v>46000</v>
          </cell>
          <cell r="T555" t="str">
            <v>V-125</v>
          </cell>
          <cell r="Y555" t="str">
            <v>FINISH</v>
          </cell>
          <cell r="Z555" t="str">
            <v>ACC</v>
          </cell>
          <cell r="AA555" t="str">
            <v>ACC</v>
          </cell>
          <cell r="AB555" t="str">
            <v>MT-2211-ST-08-0010</v>
          </cell>
          <cell r="AC555" t="str">
            <v>ACC</v>
          </cell>
          <cell r="AD555" t="str">
            <v>UT-2211-ST-08-0014</v>
          </cell>
          <cell r="AP555" t="str">
            <v>10/12/2025</v>
          </cell>
        </row>
        <row r="556">
          <cell r="A556" t="str">
            <v>9001-2211-DS-0016-01-WM7</v>
          </cell>
          <cell r="B556" t="str">
            <v>9001-2211-DS-0016-01-WM</v>
          </cell>
          <cell r="C556">
            <v>7</v>
          </cell>
          <cell r="E556" t="str">
            <v>SB</v>
          </cell>
          <cell r="F556" t="str">
            <v>100%MT&amp;UT</v>
          </cell>
          <cell r="G556" t="str">
            <v>D</v>
          </cell>
          <cell r="H556">
            <v>1595.1200000000001</v>
          </cell>
          <cell r="I556">
            <v>20</v>
          </cell>
          <cell r="K556" t="str">
            <v>WPS-TNHA-S07</v>
          </cell>
          <cell r="L556" t="str">
            <v>ST-08</v>
          </cell>
          <cell r="M556" t="str">
            <v>XUÂN</v>
          </cell>
          <cell r="N556">
            <v>45998</v>
          </cell>
          <cell r="O556" t="str">
            <v>F-116</v>
          </cell>
          <cell r="P556" t="str">
            <v>12h30 7/12/2025</v>
          </cell>
          <cell r="Q556" t="str">
            <v>TNHA-SL-012;TNHA-SL-003</v>
          </cell>
          <cell r="R556" t="str">
            <v>XUÂN</v>
          </cell>
          <cell r="S556">
            <v>46000</v>
          </cell>
          <cell r="T556" t="str">
            <v>V-125</v>
          </cell>
          <cell r="Y556" t="str">
            <v>FINISH</v>
          </cell>
          <cell r="Z556" t="str">
            <v>ACC</v>
          </cell>
          <cell r="AA556" t="str">
            <v>ACC</v>
          </cell>
          <cell r="AB556" t="str">
            <v>MT-2211-ST-08-0010</v>
          </cell>
          <cell r="AC556" t="str">
            <v>ACC</v>
          </cell>
          <cell r="AD556" t="str">
            <v>UT-2211-ST-08-0014</v>
          </cell>
          <cell r="AP556" t="str">
            <v>10/12/2025</v>
          </cell>
        </row>
        <row r="557">
          <cell r="A557" t="str">
            <v>9001-2211-DS-0016-01-WM8</v>
          </cell>
          <cell r="B557" t="str">
            <v>9001-2211-DS-0016-01-WM</v>
          </cell>
          <cell r="C557">
            <v>8</v>
          </cell>
          <cell r="E557" t="str">
            <v>SV</v>
          </cell>
          <cell r="F557" t="str">
            <v>100%MT&amp;UT</v>
          </cell>
          <cell r="G557" t="str">
            <v>D</v>
          </cell>
          <cell r="H557">
            <v>2552.8200000000002</v>
          </cell>
          <cell r="I557" t="str">
            <v>20/30</v>
          </cell>
          <cell r="K557" t="str">
            <v>WPS-TNHA-S06</v>
          </cell>
          <cell r="L557" t="str">
            <v>ST-08</v>
          </cell>
          <cell r="M557" t="str">
            <v>BÁCH</v>
          </cell>
          <cell r="N557">
            <v>45976</v>
          </cell>
          <cell r="O557" t="str">
            <v>F-085</v>
          </cell>
          <cell r="P557" t="str">
            <v>20/11/2025</v>
          </cell>
          <cell r="Q557" t="str">
            <v>PD-06;PD-31</v>
          </cell>
          <cell r="R557" t="str">
            <v>Bách</v>
          </cell>
          <cell r="S557">
            <v>45985</v>
          </cell>
          <cell r="T557" t="str">
            <v>V-089</v>
          </cell>
          <cell r="Y557" t="str">
            <v>FINISH</v>
          </cell>
          <cell r="Z557" t="str">
            <v>ACC</v>
          </cell>
          <cell r="AA557" t="str">
            <v>ACC</v>
          </cell>
          <cell r="AB557" t="str">
            <v>MT-2211-ST-08-0007</v>
          </cell>
          <cell r="AC557" t="str">
            <v>ACC</v>
          </cell>
          <cell r="AD557" t="str">
            <v>UT-2211-ST-08-0012</v>
          </cell>
          <cell r="AP557" t="str">
            <v>26/11/2025</v>
          </cell>
        </row>
        <row r="558">
          <cell r="A558" t="str">
            <v>9001-2211-DS-0016-01-WM9</v>
          </cell>
          <cell r="B558" t="str">
            <v>9001-2211-DS-0016-01-WM</v>
          </cell>
          <cell r="C558">
            <v>9</v>
          </cell>
          <cell r="E558" t="str">
            <v>SV</v>
          </cell>
          <cell r="F558" t="str">
            <v>100%MT&amp;UT</v>
          </cell>
          <cell r="G558" t="str">
            <v>D</v>
          </cell>
          <cell r="H558">
            <v>2552.8200000000002</v>
          </cell>
          <cell r="I558" t="str">
            <v>20/30</v>
          </cell>
          <cell r="K558" t="str">
            <v>WPS-TNHA-S06</v>
          </cell>
          <cell r="L558" t="str">
            <v>ST-08</v>
          </cell>
          <cell r="M558" t="str">
            <v>BÁCH</v>
          </cell>
          <cell r="N558">
            <v>45976</v>
          </cell>
          <cell r="O558" t="str">
            <v>F-085</v>
          </cell>
          <cell r="P558" t="str">
            <v>20/11/2025</v>
          </cell>
          <cell r="Q558" t="str">
            <v>DHN-SL-22;DHN-SL-29</v>
          </cell>
          <cell r="R558" t="str">
            <v>Bách</v>
          </cell>
          <cell r="S558">
            <v>45985</v>
          </cell>
          <cell r="T558" t="str">
            <v>V-089</v>
          </cell>
          <cell r="Y558" t="str">
            <v>FINISH</v>
          </cell>
          <cell r="Z558" t="str">
            <v>ACC</v>
          </cell>
          <cell r="AA558" t="str">
            <v>ACC</v>
          </cell>
          <cell r="AB558" t="str">
            <v>MT-2211-ST-08-0007</v>
          </cell>
          <cell r="AC558" t="str">
            <v>ACC</v>
          </cell>
          <cell r="AD558" t="str">
            <v>UT-2211-ST-08-0012</v>
          </cell>
          <cell r="AP558" t="str">
            <v>26/11/2025</v>
          </cell>
        </row>
        <row r="559">
          <cell r="A559" t="str">
            <v>9001-2211-DS-0016-01-WM10</v>
          </cell>
          <cell r="B559" t="str">
            <v>9001-2211-DS-0016-01-WM</v>
          </cell>
          <cell r="C559">
            <v>10</v>
          </cell>
          <cell r="E559" t="str">
            <v>SB</v>
          </cell>
          <cell r="F559" t="str">
            <v>100%MT&amp;UT</v>
          </cell>
          <cell r="G559" t="str">
            <v>D</v>
          </cell>
          <cell r="H559">
            <v>1595.1200000000001</v>
          </cell>
          <cell r="I559">
            <v>15</v>
          </cell>
          <cell r="K559" t="str">
            <v>WPS-TNHA-S07</v>
          </cell>
          <cell r="L559" t="str">
            <v>ST-08</v>
          </cell>
          <cell r="M559" t="str">
            <v>XUÂN</v>
          </cell>
          <cell r="N559">
            <v>46009</v>
          </cell>
          <cell r="O559" t="str">
            <v>F-139</v>
          </cell>
          <cell r="Y559" t="str">
            <v>NOT YET VISUAL</v>
          </cell>
        </row>
        <row r="560">
          <cell r="A560" t="str">
            <v>9001-2211-DS-0016-01-WM11</v>
          </cell>
          <cell r="B560" t="str">
            <v>9001-2211-DS-0016-01-WM</v>
          </cell>
          <cell r="C560">
            <v>11</v>
          </cell>
          <cell r="E560" t="str">
            <v>SV</v>
          </cell>
          <cell r="F560" t="str">
            <v>100%MT&amp;UT</v>
          </cell>
          <cell r="G560" t="str">
            <v>D</v>
          </cell>
          <cell r="H560">
            <v>2552.8200000000002</v>
          </cell>
          <cell r="I560" t="str">
            <v>15/30</v>
          </cell>
          <cell r="K560" t="str">
            <v>WPS-TNHA-S06</v>
          </cell>
          <cell r="L560" t="str">
            <v>ST-08</v>
          </cell>
          <cell r="M560" t="str">
            <v>BÁCH</v>
          </cell>
          <cell r="N560">
            <v>45976</v>
          </cell>
          <cell r="O560" t="str">
            <v>F-085</v>
          </cell>
          <cell r="P560" t="str">
            <v>20/11/2025</v>
          </cell>
          <cell r="Q560" t="str">
            <v>PD-06;PD-16</v>
          </cell>
          <cell r="R560" t="str">
            <v>Bách</v>
          </cell>
          <cell r="S560">
            <v>45985</v>
          </cell>
          <cell r="T560" t="str">
            <v>V-089</v>
          </cell>
          <cell r="Y560" t="str">
            <v>FINISH</v>
          </cell>
          <cell r="Z560" t="str">
            <v>ACC</v>
          </cell>
          <cell r="AA560" t="str">
            <v>ACC</v>
          </cell>
          <cell r="AB560" t="str">
            <v>MT-2211-ST-08-0007</v>
          </cell>
          <cell r="AC560" t="str">
            <v>ACC</v>
          </cell>
          <cell r="AD560" t="str">
            <v>UT-2211-ST-08-0013</v>
          </cell>
          <cell r="AP560" t="str">
            <v>26/11/2025</v>
          </cell>
        </row>
        <row r="561">
          <cell r="A561" t="str">
            <v>9001-2211-DS-0016-01-WM12</v>
          </cell>
          <cell r="B561" t="str">
            <v>9001-2211-DS-0016-01-WM</v>
          </cell>
          <cell r="C561">
            <v>12</v>
          </cell>
          <cell r="E561" t="str">
            <v>SB</v>
          </cell>
          <cell r="F561" t="str">
            <v>100%MT&amp;UT</v>
          </cell>
          <cell r="G561" t="str">
            <v>D</v>
          </cell>
          <cell r="H561">
            <v>2552.8200000000002</v>
          </cell>
          <cell r="I561">
            <v>15</v>
          </cell>
          <cell r="K561" t="str">
            <v>WPS-TNHA-S07</v>
          </cell>
          <cell r="L561" t="str">
            <v>ST-08</v>
          </cell>
          <cell r="Y561" t="str">
            <v>NOT YET FITUP</v>
          </cell>
        </row>
        <row r="562">
          <cell r="A562" t="str">
            <v>9001-2211-DS-0016-01-WM13</v>
          </cell>
          <cell r="B562" t="str">
            <v>9001-2211-DS-0016-01-WM</v>
          </cell>
          <cell r="C562">
            <v>13</v>
          </cell>
          <cell r="E562" t="str">
            <v>SB</v>
          </cell>
          <cell r="F562" t="str">
            <v>100%MT&amp;UT</v>
          </cell>
          <cell r="G562" t="str">
            <v>D</v>
          </cell>
          <cell r="H562">
            <v>2552.8200000000002</v>
          </cell>
          <cell r="I562">
            <v>30</v>
          </cell>
          <cell r="J562">
            <v>65</v>
          </cell>
          <cell r="K562" t="str">
            <v>WPS-TNHA-S07</v>
          </cell>
          <cell r="L562" t="str">
            <v>ST-08</v>
          </cell>
          <cell r="M562" t="str">
            <v>HIẾU</v>
          </cell>
          <cell r="N562">
            <v>46002</v>
          </cell>
          <cell r="O562" t="str">
            <v>F-128</v>
          </cell>
          <cell r="W562">
            <v>45987</v>
          </cell>
          <cell r="X562" t="str">
            <v>UL-005</v>
          </cell>
          <cell r="Y562" t="str">
            <v>NOT YET VISUAL</v>
          </cell>
          <cell r="AG562" t="str">
            <v>UL-2211-ST-08-0001</v>
          </cell>
        </row>
        <row r="563">
          <cell r="A563" t="str">
            <v>9001-2211-DS-0016-01-WM14</v>
          </cell>
          <cell r="B563" t="str">
            <v>9001-2211-DS-0016-01-WM</v>
          </cell>
          <cell r="C563">
            <v>14</v>
          </cell>
          <cell r="E563" t="str">
            <v>SB</v>
          </cell>
          <cell r="F563" t="str">
            <v>100%MT&amp;UT</v>
          </cell>
          <cell r="G563" t="str">
            <v>D</v>
          </cell>
          <cell r="H563">
            <v>2552.8200000000002</v>
          </cell>
          <cell r="I563">
            <v>30</v>
          </cell>
          <cell r="J563">
            <v>65</v>
          </cell>
          <cell r="K563" t="str">
            <v>WPS-TNHA-S07</v>
          </cell>
          <cell r="L563" t="str">
            <v>ST-08</v>
          </cell>
          <cell r="W563">
            <v>46012</v>
          </cell>
          <cell r="X563" t="str">
            <v>UL-006</v>
          </cell>
          <cell r="Y563" t="str">
            <v>NOT YET FITUP</v>
          </cell>
        </row>
        <row r="564">
          <cell r="A564" t="str">
            <v>9001-2211-DS-0016-01-WM15</v>
          </cell>
          <cell r="B564" t="str">
            <v>9001-2211-DS-0016-01-WM</v>
          </cell>
          <cell r="C564">
            <v>15</v>
          </cell>
          <cell r="E564" t="str">
            <v>SV</v>
          </cell>
          <cell r="F564" t="str">
            <v>100%MT&amp;UT</v>
          </cell>
          <cell r="G564" t="str">
            <v>D</v>
          </cell>
          <cell r="H564">
            <v>2552.8200000000002</v>
          </cell>
          <cell r="I564">
            <v>30</v>
          </cell>
          <cell r="K564" t="str">
            <v>WPS-TNHA-S06</v>
          </cell>
          <cell r="L564" t="str">
            <v>ST-08</v>
          </cell>
          <cell r="M564" t="str">
            <v>XUÂN</v>
          </cell>
          <cell r="N564">
            <v>45956</v>
          </cell>
          <cell r="O564" t="str">
            <v>F-061</v>
          </cell>
          <cell r="P564" t="str">
            <v>29/10/2025</v>
          </cell>
          <cell r="Q564" t="str">
            <v>BGT-0032;ND-01</v>
          </cell>
          <cell r="R564" t="str">
            <v>TUÂN</v>
          </cell>
          <cell r="S564">
            <v>45967</v>
          </cell>
          <cell r="T564" t="str">
            <v>V-059</v>
          </cell>
          <cell r="Y564" t="str">
            <v>REJ</v>
          </cell>
          <cell r="Z564" t="str">
            <v>REJ</v>
          </cell>
          <cell r="AA564" t="str">
            <v>ACC</v>
          </cell>
          <cell r="AB564" t="str">
            <v>MT-2201-ST-08-0001</v>
          </cell>
          <cell r="AC564" t="str">
            <v>REJ</v>
          </cell>
          <cell r="AD564" t="str">
            <v>UT-2201-ST-08-0001</v>
          </cell>
          <cell r="AH564">
            <v>25</v>
          </cell>
          <cell r="AJ564">
            <v>45993</v>
          </cell>
          <cell r="AK564" t="str">
            <v>FINAL-V-108</v>
          </cell>
          <cell r="AP564" t="str">
            <v>12/11/2025</v>
          </cell>
        </row>
        <row r="565">
          <cell r="A565" t="str">
            <v>9001-2211-DS-0016-01-WM15R1</v>
          </cell>
          <cell r="B565" t="str">
            <v>9001-2211-DS-0016-01-WM</v>
          </cell>
          <cell r="C565" t="str">
            <v>15R1</v>
          </cell>
          <cell r="E565" t="str">
            <v>SV</v>
          </cell>
          <cell r="F565" t="str">
            <v>100%MT&amp;UT</v>
          </cell>
          <cell r="G565" t="str">
            <v>L</v>
          </cell>
          <cell r="H565">
            <v>325</v>
          </cell>
          <cell r="I565">
            <v>30</v>
          </cell>
          <cell r="K565" t="str">
            <v>WPS-TNHA-S06</v>
          </cell>
          <cell r="L565" t="str">
            <v>ST-08</v>
          </cell>
          <cell r="M565" t="str">
            <v>NA</v>
          </cell>
          <cell r="N565" t="str">
            <v>NA</v>
          </cell>
          <cell r="O565" t="str">
            <v>NA</v>
          </cell>
          <cell r="P565" t="str">
            <v>14h 9/11/2025</v>
          </cell>
          <cell r="Q565" t="str">
            <v>ND-01</v>
          </cell>
          <cell r="R565" t="str">
            <v>TUÂN</v>
          </cell>
          <cell r="S565">
            <v>45972</v>
          </cell>
          <cell r="T565" t="str">
            <v>V-069</v>
          </cell>
          <cell r="U565">
            <v>45971</v>
          </cell>
          <cell r="V565" t="str">
            <v>BG-077</v>
          </cell>
          <cell r="Y565" t="str">
            <v>FINISH</v>
          </cell>
          <cell r="Z565" t="str">
            <v>ACC</v>
          </cell>
          <cell r="AA565" t="str">
            <v>ACC</v>
          </cell>
          <cell r="AB565" t="str">
            <v>MT-2201-ST-08-0001R1</v>
          </cell>
          <cell r="AC565" t="str">
            <v>ACC</v>
          </cell>
          <cell r="AD565" t="str">
            <v>UT-2211-ST-08-0001R1</v>
          </cell>
          <cell r="AI565">
            <v>125</v>
          </cell>
          <cell r="AJ565">
            <v>45993</v>
          </cell>
          <cell r="AK565" t="str">
            <v>FINAL-V-108</v>
          </cell>
          <cell r="AP565" t="str">
            <v>12/11/2025</v>
          </cell>
        </row>
        <row r="566">
          <cell r="A566" t="str">
            <v>9001-2211-DS-0016-01-WM16</v>
          </cell>
          <cell r="B566" t="str">
            <v>9001-2211-DS-0016-01-WM</v>
          </cell>
          <cell r="C566">
            <v>16</v>
          </cell>
          <cell r="E566" t="str">
            <v>SB</v>
          </cell>
          <cell r="F566" t="str">
            <v>100%MT&amp;UT</v>
          </cell>
          <cell r="G566" t="str">
            <v>D</v>
          </cell>
          <cell r="H566">
            <v>1595.1200000000001</v>
          </cell>
          <cell r="I566">
            <v>15</v>
          </cell>
          <cell r="K566" t="str">
            <v>WPS-TNHA-S06</v>
          </cell>
          <cell r="L566" t="str">
            <v>ST-08</v>
          </cell>
          <cell r="Y566" t="str">
            <v>NOT YET FITUP</v>
          </cell>
        </row>
        <row r="567">
          <cell r="A567" t="str">
            <v>9001-2211-DS-0016-01-WM17</v>
          </cell>
          <cell r="B567" t="str">
            <v>9001-2211-DS-0016-01-WM</v>
          </cell>
          <cell r="C567">
            <v>17</v>
          </cell>
          <cell r="E567" t="str">
            <v>SB</v>
          </cell>
          <cell r="F567" t="str">
            <v>100%MT&amp;UT</v>
          </cell>
          <cell r="G567" t="str">
            <v>D</v>
          </cell>
          <cell r="H567">
            <v>2232.54</v>
          </cell>
          <cell r="I567">
            <v>15</v>
          </cell>
          <cell r="K567" t="str">
            <v>WPS-TNHA-S06</v>
          </cell>
          <cell r="L567" t="str">
            <v>ST-08</v>
          </cell>
          <cell r="Y567" t="str">
            <v>NOT YET FITUP</v>
          </cell>
        </row>
        <row r="568">
          <cell r="A568" t="str">
            <v>9001-2211-DS-0016-01-WM18</v>
          </cell>
          <cell r="B568" t="str">
            <v>9001-2211-DS-0016-01-WM</v>
          </cell>
          <cell r="C568">
            <v>18</v>
          </cell>
          <cell r="E568" t="str">
            <v>SB</v>
          </cell>
          <cell r="F568" t="str">
            <v>100%MT&amp;UT</v>
          </cell>
          <cell r="G568" t="str">
            <v>D</v>
          </cell>
          <cell r="H568">
            <v>1915.4</v>
          </cell>
          <cell r="I568">
            <v>15</v>
          </cell>
          <cell r="K568" t="str">
            <v>WPS-TNHA-S06</v>
          </cell>
          <cell r="L568" t="str">
            <v>ST-08</v>
          </cell>
          <cell r="Y568" t="str">
            <v>NOT YET FITUP</v>
          </cell>
        </row>
        <row r="569">
          <cell r="A569" t="str">
            <v>9001-2211-DS-0016-01-WM19</v>
          </cell>
          <cell r="B569" t="str">
            <v>9001-2211-DS-0016-01-WM</v>
          </cell>
          <cell r="C569">
            <v>19</v>
          </cell>
          <cell r="E569" t="str">
            <v>SV</v>
          </cell>
          <cell r="F569" t="str">
            <v>100%MT&amp;UT</v>
          </cell>
          <cell r="G569" t="str">
            <v>D</v>
          </cell>
          <cell r="H569">
            <v>2552.8200000000002</v>
          </cell>
          <cell r="I569">
            <v>30</v>
          </cell>
          <cell r="K569" t="str">
            <v>WPS-TNHA-S06</v>
          </cell>
          <cell r="L569" t="str">
            <v>ST-08</v>
          </cell>
          <cell r="M569" t="str">
            <v>XUÂN</v>
          </cell>
          <cell r="N569">
            <v>45956</v>
          </cell>
          <cell r="O569" t="str">
            <v>F-061</v>
          </cell>
          <cell r="P569" t="str">
            <v>29/10/2025</v>
          </cell>
          <cell r="Q569" t="str">
            <v>BGT-0032;ND-01</v>
          </cell>
          <cell r="R569" t="str">
            <v>TUÂN</v>
          </cell>
          <cell r="S569">
            <v>45967</v>
          </cell>
          <cell r="T569" t="str">
            <v>V-059</v>
          </cell>
          <cell r="Y569" t="str">
            <v>REJ</v>
          </cell>
          <cell r="Z569" t="str">
            <v>REJ</v>
          </cell>
          <cell r="AA569" t="str">
            <v>ACC</v>
          </cell>
          <cell r="AB569" t="str">
            <v>MT-2201-ST-08-0001</v>
          </cell>
          <cell r="AC569" t="str">
            <v>REJ</v>
          </cell>
          <cell r="AD569" t="str">
            <v>UT-2201-ST-08-0002</v>
          </cell>
          <cell r="AH569">
            <v>35</v>
          </cell>
          <cell r="AJ569">
            <v>45993</v>
          </cell>
          <cell r="AK569" t="str">
            <v>FINAL-V-108</v>
          </cell>
          <cell r="AP569" t="str">
            <v>12/11/2025</v>
          </cell>
        </row>
        <row r="570">
          <cell r="A570" t="str">
            <v>9001-2211-DS-0016-01-WM19R1</v>
          </cell>
          <cell r="B570" t="str">
            <v>9001-2211-DS-0016-01-WM</v>
          </cell>
          <cell r="C570" t="str">
            <v>19R1</v>
          </cell>
          <cell r="E570" t="str">
            <v>SV</v>
          </cell>
          <cell r="F570" t="str">
            <v>100%MT&amp;UT</v>
          </cell>
          <cell r="G570" t="str">
            <v>L</v>
          </cell>
          <cell r="H570">
            <v>335</v>
          </cell>
          <cell r="I570">
            <v>30</v>
          </cell>
          <cell r="K570" t="str">
            <v>WPS-TNHA-S06</v>
          </cell>
          <cell r="L570" t="str">
            <v>ST-08</v>
          </cell>
          <cell r="M570" t="str">
            <v>NA</v>
          </cell>
          <cell r="N570" t="str">
            <v>NA</v>
          </cell>
          <cell r="O570" t="str">
            <v>NA</v>
          </cell>
          <cell r="P570" t="str">
            <v>14h 9/11/2025</v>
          </cell>
          <cell r="Q570" t="str">
            <v>ND-01</v>
          </cell>
          <cell r="R570" t="str">
            <v>TUÂN</v>
          </cell>
          <cell r="S570">
            <v>45972</v>
          </cell>
          <cell r="T570" t="str">
            <v>V-069</v>
          </cell>
          <cell r="U570">
            <v>45971</v>
          </cell>
          <cell r="V570" t="str">
            <v>BG-077</v>
          </cell>
          <cell r="Y570" t="str">
            <v>FINISH</v>
          </cell>
          <cell r="Z570" t="str">
            <v>ACC</v>
          </cell>
          <cell r="AA570" t="str">
            <v>ACC</v>
          </cell>
          <cell r="AB570" t="str">
            <v>MT-2201-ST-08-0001R1</v>
          </cell>
          <cell r="AC570" t="str">
            <v>ACC</v>
          </cell>
          <cell r="AD570" t="str">
            <v>UT-2221-ST-08-0002R1</v>
          </cell>
          <cell r="AI570">
            <v>135</v>
          </cell>
          <cell r="AJ570">
            <v>45993</v>
          </cell>
          <cell r="AK570" t="str">
            <v>FINAL-V-108</v>
          </cell>
          <cell r="AP570" t="str">
            <v>12/11/2025</v>
          </cell>
        </row>
        <row r="571">
          <cell r="A571" t="str">
            <v>9001-2211-DS-0016-01-WM20</v>
          </cell>
          <cell r="B571" t="str">
            <v>9001-2211-DS-0016-01-WM</v>
          </cell>
          <cell r="C571">
            <v>20</v>
          </cell>
          <cell r="E571" t="str">
            <v>SV</v>
          </cell>
          <cell r="F571" t="str">
            <v>100%MT&amp;UT</v>
          </cell>
          <cell r="G571" t="str">
            <v>D</v>
          </cell>
          <cell r="H571">
            <v>2552.8200000000002</v>
          </cell>
          <cell r="I571">
            <v>30</v>
          </cell>
          <cell r="K571" t="str">
            <v>WPS-TNHA-S06</v>
          </cell>
          <cell r="L571" t="str">
            <v>ST-08</v>
          </cell>
          <cell r="M571" t="str">
            <v>XUÂN</v>
          </cell>
          <cell r="N571">
            <v>45956</v>
          </cell>
          <cell r="O571" t="str">
            <v>F-061</v>
          </cell>
          <cell r="P571" t="str">
            <v>29/10/2025</v>
          </cell>
          <cell r="Q571" t="str">
            <v>BGT-0036;BGT-0006</v>
          </cell>
          <cell r="R571" t="str">
            <v>TUÂN</v>
          </cell>
          <cell r="S571">
            <v>45967</v>
          </cell>
          <cell r="T571" t="str">
            <v>V-059</v>
          </cell>
          <cell r="Y571" t="str">
            <v>FINISH</v>
          </cell>
          <cell r="Z571" t="str">
            <v>ACC</v>
          </cell>
          <cell r="AA571" t="str">
            <v>ACC</v>
          </cell>
          <cell r="AB571" t="str">
            <v>MT-2201-ST-08-0001</v>
          </cell>
          <cell r="AC571" t="str">
            <v>ACC</v>
          </cell>
          <cell r="AD571" t="str">
            <v>UT-2201-ST-08-0003</v>
          </cell>
          <cell r="AJ571">
            <v>45993</v>
          </cell>
          <cell r="AK571" t="str">
            <v>FINAL-V-108</v>
          </cell>
          <cell r="AP571" t="str">
            <v>12/11/2025</v>
          </cell>
        </row>
        <row r="572">
          <cell r="A572" t="str">
            <v>9001-2211-DS-0016-01-WM21</v>
          </cell>
          <cell r="B572" t="str">
            <v>9001-2211-DS-0016-01-WM</v>
          </cell>
          <cell r="C572">
            <v>21</v>
          </cell>
          <cell r="E572" t="str">
            <v>SB</v>
          </cell>
          <cell r="F572" t="str">
            <v>100%MT&amp;UT</v>
          </cell>
          <cell r="G572" t="str">
            <v>D</v>
          </cell>
          <cell r="H572">
            <v>2552.8200000000002</v>
          </cell>
          <cell r="I572">
            <v>30</v>
          </cell>
          <cell r="J572">
            <v>65</v>
          </cell>
          <cell r="K572" t="str">
            <v>WPS-TNHA-S07</v>
          </cell>
          <cell r="L572" t="str">
            <v>ST-08</v>
          </cell>
          <cell r="M572" t="str">
            <v>HIẾU</v>
          </cell>
          <cell r="N572">
            <v>46002</v>
          </cell>
          <cell r="O572" t="str">
            <v>F-128</v>
          </cell>
          <cell r="W572">
            <v>45987</v>
          </cell>
          <cell r="X572" t="str">
            <v>UL-005</v>
          </cell>
          <cell r="Y572" t="str">
            <v>NOT YET VISUAL</v>
          </cell>
          <cell r="AG572" t="str">
            <v>UL-2211-ST-08-0001</v>
          </cell>
        </row>
        <row r="573">
          <cell r="A573" t="str">
            <v>9001-2211-DS-0016-01-WM22</v>
          </cell>
          <cell r="B573" t="str">
            <v>9001-2211-DS-0016-01-WM</v>
          </cell>
          <cell r="C573">
            <v>22</v>
          </cell>
          <cell r="E573" t="str">
            <v>SV</v>
          </cell>
          <cell r="F573" t="str">
            <v>100%MT&amp;UT</v>
          </cell>
          <cell r="G573" t="str">
            <v>D</v>
          </cell>
          <cell r="H573">
            <v>2232.54</v>
          </cell>
          <cell r="I573" t="str">
            <v>15/35</v>
          </cell>
          <cell r="K573" t="str">
            <v>WPS-TNHA-S06</v>
          </cell>
          <cell r="L573" t="str">
            <v>ST-08</v>
          </cell>
          <cell r="M573" t="str">
            <v>BÁCH</v>
          </cell>
          <cell r="N573">
            <v>45966</v>
          </cell>
          <cell r="O573" t="str">
            <v>F-076</v>
          </cell>
          <cell r="P573" t="str">
            <v>12/11/2025</v>
          </cell>
          <cell r="Q573" t="str">
            <v>PD-06;PD-31</v>
          </cell>
          <cell r="R573" t="str">
            <v>THÁI</v>
          </cell>
          <cell r="S573">
            <v>45977</v>
          </cell>
          <cell r="T573" t="str">
            <v>V-078</v>
          </cell>
          <cell r="Y573" t="str">
            <v>FINISH</v>
          </cell>
          <cell r="Z573" t="str">
            <v>ACC</v>
          </cell>
          <cell r="AA573" t="str">
            <v>ACC</v>
          </cell>
          <cell r="AB573" t="str">
            <v>MT-2211-ST-08-0003</v>
          </cell>
          <cell r="AC573" t="str">
            <v>ACC</v>
          </cell>
          <cell r="AD573" t="str">
            <v>UT-2211-ST-08-0006</v>
          </cell>
          <cell r="AP573" t="str">
            <v>19/11/2025</v>
          </cell>
        </row>
        <row r="574">
          <cell r="A574" t="str">
            <v>9001-2211-DS-0016-01-WM23</v>
          </cell>
          <cell r="B574" t="str">
            <v>9001-2211-DS-0016-01-WM</v>
          </cell>
          <cell r="C574">
            <v>23</v>
          </cell>
          <cell r="E574" t="str">
            <v>SB</v>
          </cell>
          <cell r="F574" t="str">
            <v>100%MT&amp;UT</v>
          </cell>
          <cell r="G574" t="str">
            <v>D</v>
          </cell>
          <cell r="H574">
            <v>1595.1200000000001</v>
          </cell>
          <cell r="I574">
            <v>20</v>
          </cell>
          <cell r="K574" t="str">
            <v>WPS-TNHA-S07</v>
          </cell>
          <cell r="L574" t="str">
            <v>ST-08</v>
          </cell>
          <cell r="M574" t="str">
            <v>XUÂN</v>
          </cell>
          <cell r="N574">
            <v>45998</v>
          </cell>
          <cell r="O574" t="str">
            <v>F-116</v>
          </cell>
          <cell r="P574" t="str">
            <v>12h 7/12/2025</v>
          </cell>
          <cell r="Q574" t="str">
            <v>PD-16;DHN-SL-20</v>
          </cell>
          <cell r="R574" t="str">
            <v>XUÂN</v>
          </cell>
          <cell r="S574">
            <v>46000</v>
          </cell>
          <cell r="T574" t="str">
            <v>V-125</v>
          </cell>
          <cell r="Y574" t="str">
            <v>FINISH</v>
          </cell>
          <cell r="Z574" t="str">
            <v>ACC</v>
          </cell>
          <cell r="AA574" t="str">
            <v>ACC</v>
          </cell>
          <cell r="AB574" t="str">
            <v>MT-2211-ST-08-0011</v>
          </cell>
          <cell r="AC574" t="str">
            <v>ACC</v>
          </cell>
          <cell r="AD574" t="str">
            <v>UT-2211-ST-08-0015</v>
          </cell>
          <cell r="AP574" t="str">
            <v>10/12/2025</v>
          </cell>
        </row>
        <row r="575">
          <cell r="A575" t="str">
            <v>9001-2211-DS-0016-01-WM24</v>
          </cell>
          <cell r="B575" t="str">
            <v>9001-2211-DS-0016-01-WM</v>
          </cell>
          <cell r="C575">
            <v>24</v>
          </cell>
          <cell r="E575" t="str">
            <v>SB</v>
          </cell>
          <cell r="F575" t="str">
            <v>100%MT&amp;UT</v>
          </cell>
          <cell r="G575" t="str">
            <v>D</v>
          </cell>
          <cell r="H575">
            <v>1595.1200000000001</v>
          </cell>
          <cell r="I575">
            <v>20</v>
          </cell>
          <cell r="K575" t="str">
            <v>WPS-TNHA-S07</v>
          </cell>
          <cell r="L575" t="str">
            <v>ST-08</v>
          </cell>
          <cell r="M575" t="str">
            <v>XUÂN</v>
          </cell>
          <cell r="N575">
            <v>45998</v>
          </cell>
          <cell r="O575" t="str">
            <v>F-116</v>
          </cell>
          <cell r="P575" t="str">
            <v>16h 7/12/2025</v>
          </cell>
          <cell r="Q575" t="str">
            <v>PD-16;DHN-SL-20</v>
          </cell>
          <cell r="R575" t="str">
            <v>XUÂN</v>
          </cell>
          <cell r="S575">
            <v>46000</v>
          </cell>
          <cell r="T575" t="str">
            <v>V-125</v>
          </cell>
          <cell r="Y575" t="str">
            <v>FINISH</v>
          </cell>
          <cell r="Z575" t="str">
            <v>ACC</v>
          </cell>
          <cell r="AA575" t="str">
            <v>ACC</v>
          </cell>
          <cell r="AB575" t="str">
            <v>MT-2211-ST-08-0011</v>
          </cell>
          <cell r="AC575" t="str">
            <v>ACC</v>
          </cell>
          <cell r="AD575" t="str">
            <v>UT-2211-ST-08-0014</v>
          </cell>
          <cell r="AP575" t="str">
            <v>10/12/2025</v>
          </cell>
        </row>
        <row r="576">
          <cell r="A576" t="str">
            <v>9001-2211-DS-0016-01-WM25</v>
          </cell>
          <cell r="B576" t="str">
            <v>9001-2211-DS-0016-01-WM</v>
          </cell>
          <cell r="C576">
            <v>25</v>
          </cell>
          <cell r="E576" t="str">
            <v>SV</v>
          </cell>
          <cell r="F576" t="str">
            <v>100%MT&amp;UT</v>
          </cell>
          <cell r="G576" t="str">
            <v>D</v>
          </cell>
          <cell r="H576">
            <v>2232.54</v>
          </cell>
          <cell r="I576" t="str">
            <v>15/35</v>
          </cell>
          <cell r="K576" t="str">
            <v>WPS-TNHA-S06</v>
          </cell>
          <cell r="L576" t="str">
            <v>ST-08</v>
          </cell>
          <cell r="M576" t="str">
            <v>BÁCH</v>
          </cell>
          <cell r="N576">
            <v>45966</v>
          </cell>
          <cell r="O576" t="str">
            <v>F-076</v>
          </cell>
          <cell r="P576" t="str">
            <v>12/11/2025</v>
          </cell>
          <cell r="Q576" t="str">
            <v>PD-06;PD-31</v>
          </cell>
          <cell r="R576" t="str">
            <v>THÁI</v>
          </cell>
          <cell r="S576">
            <v>45977</v>
          </cell>
          <cell r="T576" t="str">
            <v>V-078</v>
          </cell>
          <cell r="Y576" t="str">
            <v>FINISH</v>
          </cell>
          <cell r="Z576" t="str">
            <v>ACC</v>
          </cell>
          <cell r="AA576" t="str">
            <v>ACC</v>
          </cell>
          <cell r="AB576" t="str">
            <v>MT-2211-ST-08-0003</v>
          </cell>
          <cell r="AC576" t="str">
            <v>ACC</v>
          </cell>
          <cell r="AD576" t="str">
            <v>UT-2211-ST-08-0007</v>
          </cell>
          <cell r="AP576" t="str">
            <v>19/11/2025</v>
          </cell>
        </row>
        <row r="577">
          <cell r="A577" t="str">
            <v>9001-2211-DS-0016-01-WM26</v>
          </cell>
          <cell r="B577" t="str">
            <v>9001-2211-DS-0016-01-WM</v>
          </cell>
          <cell r="C577">
            <v>26</v>
          </cell>
          <cell r="E577" t="str">
            <v>SB</v>
          </cell>
          <cell r="F577" t="str">
            <v>100%MT&amp;UT</v>
          </cell>
          <cell r="G577" t="str">
            <v>D</v>
          </cell>
          <cell r="H577">
            <v>2232.54</v>
          </cell>
          <cell r="I577">
            <v>15</v>
          </cell>
          <cell r="K577" t="str">
            <v>WPS-TNHA-S07</v>
          </cell>
          <cell r="L577" t="str">
            <v>ST-08</v>
          </cell>
          <cell r="Y577" t="str">
            <v>NOT YET FITUP</v>
          </cell>
        </row>
        <row r="578">
          <cell r="A578" t="str">
            <v>9001-2211-DS-0016-01-WM27</v>
          </cell>
          <cell r="B578" t="str">
            <v>9001-2211-DS-0016-01-WM</v>
          </cell>
          <cell r="C578">
            <v>27</v>
          </cell>
          <cell r="E578" t="str">
            <v>SV</v>
          </cell>
          <cell r="F578" t="str">
            <v>100%MT&amp;UT</v>
          </cell>
          <cell r="G578" t="str">
            <v>D</v>
          </cell>
          <cell r="H578">
            <v>2552.8200000000002</v>
          </cell>
          <cell r="I578">
            <v>30</v>
          </cell>
          <cell r="K578" t="str">
            <v>WPS-TNHA-S06</v>
          </cell>
          <cell r="L578" t="str">
            <v>ST-08</v>
          </cell>
          <cell r="M578" t="str">
            <v>BÁCH</v>
          </cell>
          <cell r="N578">
            <v>45970</v>
          </cell>
          <cell r="O578" t="str">
            <v>F-078</v>
          </cell>
          <cell r="P578" t="str">
            <v>14/11/2025</v>
          </cell>
          <cell r="Q578" t="str">
            <v>BGT-0036;ND-01</v>
          </cell>
          <cell r="R578" t="str">
            <v>THÁI</v>
          </cell>
          <cell r="S578">
            <v>45982</v>
          </cell>
          <cell r="T578" t="str">
            <v>V-086</v>
          </cell>
          <cell r="Y578" t="str">
            <v>FINISH</v>
          </cell>
          <cell r="Z578" t="str">
            <v>ACC</v>
          </cell>
          <cell r="AA578" t="str">
            <v>ACC</v>
          </cell>
          <cell r="AB578" t="str">
            <v>MT-2211-ST-08-0006</v>
          </cell>
          <cell r="AC578" t="str">
            <v>ACC</v>
          </cell>
          <cell r="AD578" t="str">
            <v>UT-2211-ST-08-0010</v>
          </cell>
          <cell r="AJ578">
            <v>45992</v>
          </cell>
          <cell r="AK578" t="str">
            <v>FINAL-V-105</v>
          </cell>
          <cell r="AP578" t="str">
            <v>26/11/2025</v>
          </cell>
        </row>
        <row r="579">
          <cell r="A579" t="str">
            <v>9001-2211-DS-0016-01-WM28</v>
          </cell>
          <cell r="B579" t="str">
            <v>9001-2211-DS-0016-01-WM</v>
          </cell>
          <cell r="C579">
            <v>28</v>
          </cell>
          <cell r="E579" t="str">
            <v>SB</v>
          </cell>
          <cell r="F579" t="str">
            <v>100%MT&amp;UT</v>
          </cell>
          <cell r="G579" t="str">
            <v>D</v>
          </cell>
          <cell r="H579">
            <v>1595.1200000000001</v>
          </cell>
          <cell r="I579">
            <v>15</v>
          </cell>
          <cell r="K579" t="str">
            <v>WPS-TNHA-S07</v>
          </cell>
          <cell r="L579" t="str">
            <v>ST-08</v>
          </cell>
          <cell r="Y579" t="str">
            <v>NOT YET FITUP</v>
          </cell>
        </row>
        <row r="580">
          <cell r="A580" t="str">
            <v>9001-2211-DS-0016-01-WM29</v>
          </cell>
          <cell r="B580" t="str">
            <v>9001-2211-DS-0016-01-WM</v>
          </cell>
          <cell r="C580">
            <v>29</v>
          </cell>
          <cell r="E580" t="str">
            <v>SB</v>
          </cell>
          <cell r="F580" t="str">
            <v>100%MT&amp;UT</v>
          </cell>
          <cell r="G580" t="str">
            <v>D</v>
          </cell>
          <cell r="H580">
            <v>1915.4</v>
          </cell>
          <cell r="I580">
            <v>15</v>
          </cell>
          <cell r="K580" t="str">
            <v>WPS-TNHA-S07</v>
          </cell>
          <cell r="L580" t="str">
            <v>ST-08</v>
          </cell>
          <cell r="Y580" t="str">
            <v>NOT YET FITUP</v>
          </cell>
        </row>
        <row r="581">
          <cell r="A581" t="str">
            <v>9001-2211-DS-0016-01-WM30</v>
          </cell>
          <cell r="B581" t="str">
            <v>9001-2211-DS-0016-01-WM</v>
          </cell>
          <cell r="C581">
            <v>30</v>
          </cell>
          <cell r="E581" t="str">
            <v>SV</v>
          </cell>
          <cell r="F581" t="str">
            <v>100%MT&amp;UT</v>
          </cell>
          <cell r="G581" t="str">
            <v>D</v>
          </cell>
          <cell r="H581">
            <v>2552.8200000000002</v>
          </cell>
          <cell r="I581">
            <v>30</v>
          </cell>
          <cell r="K581" t="str">
            <v>WPS-TNHA-S06</v>
          </cell>
          <cell r="L581" t="str">
            <v>ST-08</v>
          </cell>
          <cell r="M581" t="str">
            <v>BÁCH</v>
          </cell>
          <cell r="N581">
            <v>45970</v>
          </cell>
          <cell r="O581" t="str">
            <v>F-078</v>
          </cell>
          <cell r="P581" t="str">
            <v>14/11/2025</v>
          </cell>
          <cell r="Q581" t="str">
            <v>BGT0017;BGT-0024</v>
          </cell>
          <cell r="R581" t="str">
            <v>THÁI</v>
          </cell>
          <cell r="S581">
            <v>45982</v>
          </cell>
          <cell r="T581" t="str">
            <v>V-086</v>
          </cell>
          <cell r="Y581" t="str">
            <v>FINISH</v>
          </cell>
          <cell r="Z581" t="str">
            <v>ACC</v>
          </cell>
          <cell r="AA581" t="str">
            <v>ACC</v>
          </cell>
          <cell r="AB581" t="str">
            <v>MT-2211-ST-08-0006</v>
          </cell>
          <cell r="AC581" t="str">
            <v>ACC</v>
          </cell>
          <cell r="AD581" t="str">
            <v>UT-2211-ST-08-0010</v>
          </cell>
          <cell r="AJ581">
            <v>45992</v>
          </cell>
          <cell r="AK581" t="str">
            <v>FINAL-V-105</v>
          </cell>
          <cell r="AP581" t="str">
            <v>26/11/2025</v>
          </cell>
        </row>
        <row r="582">
          <cell r="A582" t="str">
            <v>9001-2211-DS-0016-01-WM31</v>
          </cell>
          <cell r="B582" t="str">
            <v>9001-2211-DS-0016-01-WM</v>
          </cell>
          <cell r="C582">
            <v>31</v>
          </cell>
          <cell r="E582" t="str">
            <v>SV</v>
          </cell>
          <cell r="F582" t="str">
            <v>100%MT&amp;UT</v>
          </cell>
          <cell r="G582" t="str">
            <v>D</v>
          </cell>
          <cell r="H582">
            <v>2552.8200000000002</v>
          </cell>
          <cell r="I582">
            <v>30</v>
          </cell>
          <cell r="K582" t="str">
            <v>WPS-TNHA-S06</v>
          </cell>
          <cell r="L582" t="str">
            <v>ST-08</v>
          </cell>
          <cell r="M582" t="str">
            <v>BÁCH</v>
          </cell>
          <cell r="N582">
            <v>45970</v>
          </cell>
          <cell r="O582" t="str">
            <v>F-078</v>
          </cell>
          <cell r="P582" t="str">
            <v>14/11/2025</v>
          </cell>
          <cell r="Q582" t="str">
            <v>BGT-0006;BGT-0024</v>
          </cell>
          <cell r="R582" t="str">
            <v>THÁI</v>
          </cell>
          <cell r="S582">
            <v>45982</v>
          </cell>
          <cell r="T582" t="str">
            <v>V-086</v>
          </cell>
          <cell r="Y582" t="str">
            <v>FINISH</v>
          </cell>
          <cell r="Z582" t="str">
            <v>ACC</v>
          </cell>
          <cell r="AA582" t="str">
            <v>ACC</v>
          </cell>
          <cell r="AB582" t="str">
            <v>MT-2211-ST-08-0006</v>
          </cell>
          <cell r="AC582" t="str">
            <v>ACC</v>
          </cell>
          <cell r="AD582" t="str">
            <v>UT-2211-ST-08-0010</v>
          </cell>
          <cell r="AJ582">
            <v>45992</v>
          </cell>
          <cell r="AK582" t="str">
            <v>FINAL-V-105</v>
          </cell>
          <cell r="AP582" t="str">
            <v>26/11/2025</v>
          </cell>
        </row>
        <row r="583">
          <cell r="A583" t="str">
            <v>9001-2211-DS-0016-01-WM32</v>
          </cell>
          <cell r="B583" t="str">
            <v>9001-2211-DS-0016-01-WM</v>
          </cell>
          <cell r="C583">
            <v>32</v>
          </cell>
          <cell r="E583" t="str">
            <v>SV</v>
          </cell>
          <cell r="F583" t="str">
            <v>100%MT&amp;UT</v>
          </cell>
          <cell r="G583" t="str">
            <v>D</v>
          </cell>
          <cell r="H583">
            <v>2552.8200000000002</v>
          </cell>
          <cell r="I583">
            <v>30</v>
          </cell>
          <cell r="K583" t="str">
            <v>WPS-TNHA-S06</v>
          </cell>
          <cell r="L583" t="str">
            <v>ST-08</v>
          </cell>
          <cell r="M583" t="str">
            <v>BÁCH</v>
          </cell>
          <cell r="N583">
            <v>45970</v>
          </cell>
          <cell r="O583" t="str">
            <v>F-078</v>
          </cell>
          <cell r="P583" t="str">
            <v>14/11/2025</v>
          </cell>
          <cell r="Q583" t="str">
            <v>BGT-0006;BGT-0024</v>
          </cell>
          <cell r="R583" t="str">
            <v>THÁI</v>
          </cell>
          <cell r="S583">
            <v>45982</v>
          </cell>
          <cell r="T583" t="str">
            <v>V-086</v>
          </cell>
          <cell r="Y583" t="str">
            <v>REJ</v>
          </cell>
          <cell r="Z583" t="str">
            <v>REJ</v>
          </cell>
          <cell r="AA583" t="str">
            <v>ACC</v>
          </cell>
          <cell r="AB583" t="str">
            <v>MT-2211-ST-08-0006</v>
          </cell>
          <cell r="AC583" t="str">
            <v>REJ</v>
          </cell>
          <cell r="AD583" t="str">
            <v>UT-2211-ST-08-0011</v>
          </cell>
          <cell r="AH583">
            <v>25</v>
          </cell>
          <cell r="AJ583">
            <v>45992</v>
          </cell>
          <cell r="AK583" t="str">
            <v>FINAL-V-105</v>
          </cell>
          <cell r="AP583" t="str">
            <v>26/11/2025</v>
          </cell>
        </row>
        <row r="584">
          <cell r="A584" t="str">
            <v>9001-2211-DS-0016-01-WM32R1</v>
          </cell>
          <cell r="B584" t="str">
            <v>9001-2211-DS-0016-01-WM</v>
          </cell>
          <cell r="C584" t="str">
            <v>32R1</v>
          </cell>
          <cell r="E584" t="str">
            <v>SV</v>
          </cell>
          <cell r="F584" t="str">
            <v>100%MT&amp;UT</v>
          </cell>
          <cell r="G584" t="str">
            <v>L</v>
          </cell>
          <cell r="H584">
            <v>275</v>
          </cell>
          <cell r="I584">
            <v>30</v>
          </cell>
          <cell r="K584" t="str">
            <v>WPS-TNHA-S06</v>
          </cell>
          <cell r="L584" t="str">
            <v>ST-08</v>
          </cell>
          <cell r="M584" t="str">
            <v>NA</v>
          </cell>
          <cell r="N584" t="str">
            <v>NA</v>
          </cell>
          <cell r="O584" t="str">
            <v>NA</v>
          </cell>
          <cell r="P584" t="str">
            <v>25/11/2025</v>
          </cell>
          <cell r="Q584" t="str">
            <v>BGT0017</v>
          </cell>
          <cell r="R584" t="str">
            <v>THÁI</v>
          </cell>
          <cell r="S584">
            <v>45989</v>
          </cell>
          <cell r="T584" t="str">
            <v>V-099</v>
          </cell>
          <cell r="U584">
            <v>45987</v>
          </cell>
          <cell r="V584" t="str">
            <v>BG-095</v>
          </cell>
          <cell r="Y584" t="str">
            <v>FINISH</v>
          </cell>
          <cell r="Z584" t="str">
            <v>ACC</v>
          </cell>
          <cell r="AA584" t="str">
            <v>ACC</v>
          </cell>
          <cell r="AB584" t="str">
            <v>MT-2211-ST-08-0006R1</v>
          </cell>
          <cell r="AC584" t="str">
            <v>ACC</v>
          </cell>
          <cell r="AD584" t="str">
            <v>UT-2211-ST-08-0011R1</v>
          </cell>
          <cell r="AI584">
            <v>75</v>
          </cell>
          <cell r="AJ584">
            <v>45992</v>
          </cell>
          <cell r="AK584" t="str">
            <v>FINAL-V-105</v>
          </cell>
          <cell r="AP584" t="str">
            <v>2/12/2025</v>
          </cell>
        </row>
        <row r="585">
          <cell r="A585" t="str">
            <v>9001-2211-DS-0016-01-WM32A</v>
          </cell>
          <cell r="B585" t="str">
            <v>9001-2211-DS-0016-01-WM</v>
          </cell>
          <cell r="C585" t="str">
            <v>32A</v>
          </cell>
          <cell r="E585" t="str">
            <v>SB</v>
          </cell>
          <cell r="F585" t="str">
            <v>100%MT&amp;UT</v>
          </cell>
          <cell r="G585" t="str">
            <v>D</v>
          </cell>
          <cell r="H585">
            <v>2552.8200000000002</v>
          </cell>
          <cell r="I585">
            <v>30</v>
          </cell>
          <cell r="J585">
            <v>65</v>
          </cell>
          <cell r="K585" t="str">
            <v>WPS-TNHA-S07</v>
          </cell>
          <cell r="L585" t="str">
            <v>ST-08</v>
          </cell>
          <cell r="W585">
            <v>46012</v>
          </cell>
          <cell r="X585" t="str">
            <v>UL-006</v>
          </cell>
          <cell r="Y585" t="str">
            <v>NOT YET FITUP</v>
          </cell>
        </row>
        <row r="586">
          <cell r="A586" t="str">
            <v>9001-2211-DS-0016-01-WM33</v>
          </cell>
          <cell r="B586" t="str">
            <v>9001-2211-DS-0016-01-WM</v>
          </cell>
          <cell r="C586">
            <v>33</v>
          </cell>
          <cell r="E586" t="str">
            <v>SV</v>
          </cell>
          <cell r="F586" t="str">
            <v>100%MT&amp;UT</v>
          </cell>
          <cell r="G586" t="str">
            <v>D</v>
          </cell>
          <cell r="H586">
            <v>1915.4</v>
          </cell>
          <cell r="I586">
            <v>15</v>
          </cell>
          <cell r="K586" t="str">
            <v>WPS-TNHA-S06</v>
          </cell>
          <cell r="L586" t="str">
            <v>ST-08</v>
          </cell>
          <cell r="M586" t="str">
            <v>THÁI</v>
          </cell>
          <cell r="N586">
            <v>45970</v>
          </cell>
          <cell r="O586" t="str">
            <v>F-079</v>
          </cell>
          <cell r="P586" t="str">
            <v>18h 17/11/1025</v>
          </cell>
          <cell r="Q586" t="str">
            <v>PD-06;PD-31</v>
          </cell>
          <cell r="R586" t="str">
            <v>TUÂN</v>
          </cell>
          <cell r="S586">
            <v>45980</v>
          </cell>
          <cell r="T586" t="str">
            <v>V-084</v>
          </cell>
          <cell r="Y586" t="str">
            <v>FINISH</v>
          </cell>
          <cell r="Z586" t="str">
            <v>ACC</v>
          </cell>
          <cell r="AA586" t="str">
            <v>ACC</v>
          </cell>
          <cell r="AB586" t="str">
            <v>MT-2211-ST-08-0005</v>
          </cell>
          <cell r="AC586" t="str">
            <v>ACC</v>
          </cell>
          <cell r="AD586" t="str">
            <v>UT-2211-ST-08-0009</v>
          </cell>
          <cell r="AP586" t="str">
            <v>26/11/2025</v>
          </cell>
        </row>
        <row r="587">
          <cell r="A587" t="str">
            <v>9001-2211-DS-0016-01-WM34</v>
          </cell>
          <cell r="B587" t="str">
            <v>9001-2211-DS-0016-01-WM</v>
          </cell>
          <cell r="C587">
            <v>34</v>
          </cell>
          <cell r="E587" t="str">
            <v>SV</v>
          </cell>
          <cell r="F587" t="str">
            <v>100%MT&amp;UT</v>
          </cell>
          <cell r="G587" t="str">
            <v>D</v>
          </cell>
          <cell r="H587">
            <v>1915.4</v>
          </cell>
          <cell r="I587">
            <v>15</v>
          </cell>
          <cell r="K587" t="str">
            <v>WPS-TNHA-S06</v>
          </cell>
          <cell r="L587" t="str">
            <v>ST-08</v>
          </cell>
          <cell r="M587" t="str">
            <v>THÁI</v>
          </cell>
          <cell r="N587">
            <v>45970</v>
          </cell>
          <cell r="O587" t="str">
            <v>F-079</v>
          </cell>
          <cell r="P587" t="str">
            <v>16h 18/11/1025</v>
          </cell>
          <cell r="Q587" t="str">
            <v>PD-06;PD-31</v>
          </cell>
          <cell r="R587" t="str">
            <v>TUÂN</v>
          </cell>
          <cell r="S587">
            <v>45980</v>
          </cell>
          <cell r="T587" t="str">
            <v>V-084</v>
          </cell>
          <cell r="Y587" t="str">
            <v>FINISH</v>
          </cell>
          <cell r="Z587" t="str">
            <v>ACC</v>
          </cell>
          <cell r="AA587" t="str">
            <v>ACC</v>
          </cell>
          <cell r="AB587" t="str">
            <v>MT-2211-ST-08-0005</v>
          </cell>
          <cell r="AC587" t="str">
            <v>ACC</v>
          </cell>
          <cell r="AD587" t="str">
            <v>UT-2211-ST-08-0009</v>
          </cell>
          <cell r="AP587" t="str">
            <v>26/11/2025</v>
          </cell>
        </row>
        <row r="588">
          <cell r="A588" t="str">
            <v>9001-2211-DS-0016-01-WM35</v>
          </cell>
          <cell r="B588" t="str">
            <v>9001-2211-DS-0016-01-WM</v>
          </cell>
          <cell r="C588">
            <v>35</v>
          </cell>
          <cell r="E588" t="str">
            <v>SV</v>
          </cell>
          <cell r="F588" t="str">
            <v>100%MT&amp;UT</v>
          </cell>
          <cell r="G588" t="str">
            <v>D</v>
          </cell>
          <cell r="H588">
            <v>1915.4</v>
          </cell>
          <cell r="I588">
            <v>15</v>
          </cell>
          <cell r="K588" t="str">
            <v>WPS-TNHA-S06</v>
          </cell>
          <cell r="L588" t="str">
            <v>ST-08</v>
          </cell>
          <cell r="M588" t="str">
            <v>THÁI</v>
          </cell>
          <cell r="N588">
            <v>45965</v>
          </cell>
          <cell r="O588" t="str">
            <v>F-074</v>
          </cell>
          <cell r="P588" t="str">
            <v>15h 17/11/1025</v>
          </cell>
          <cell r="Q588" t="str">
            <v>PD-06;PD-31</v>
          </cell>
          <cell r="R588" t="str">
            <v>TUÂN</v>
          </cell>
          <cell r="S588">
            <v>45980</v>
          </cell>
          <cell r="T588" t="str">
            <v>V-084</v>
          </cell>
          <cell r="Y588" t="str">
            <v>FINISH</v>
          </cell>
          <cell r="Z588" t="str">
            <v>ACC</v>
          </cell>
          <cell r="AA588" t="str">
            <v>ACC</v>
          </cell>
          <cell r="AB588" t="str">
            <v>MT-2211-ST-08-0004</v>
          </cell>
          <cell r="AC588" t="str">
            <v>ACC</v>
          </cell>
          <cell r="AD588" t="str">
            <v>UT-2211-ST-08-0008</v>
          </cell>
          <cell r="AP588" t="str">
            <v>26/11/2025</v>
          </cell>
        </row>
        <row r="589">
          <cell r="A589" t="str">
            <v>9001-2211-DS-0016-01-WM36</v>
          </cell>
          <cell r="B589" t="str">
            <v>9001-2211-DS-0016-01-WM</v>
          </cell>
          <cell r="C589">
            <v>36</v>
          </cell>
          <cell r="E589" t="str">
            <v>SB</v>
          </cell>
          <cell r="F589" t="str">
            <v>100%MT&amp;UT</v>
          </cell>
          <cell r="G589" t="str">
            <v>D</v>
          </cell>
          <cell r="H589">
            <v>2552.8200000000002</v>
          </cell>
          <cell r="I589">
            <v>15</v>
          </cell>
          <cell r="K589" t="str">
            <v>WPS-TNHA-S07</v>
          </cell>
          <cell r="L589" t="str">
            <v>ST-08</v>
          </cell>
          <cell r="Y589" t="str">
            <v>NOT YET FITUP</v>
          </cell>
        </row>
        <row r="590">
          <cell r="A590" t="str">
            <v>9001-2211-DS-0016-01-WM37</v>
          </cell>
          <cell r="B590" t="str">
            <v>9001-2211-DS-0016-01-WM</v>
          </cell>
          <cell r="C590">
            <v>37</v>
          </cell>
          <cell r="E590" t="str">
            <v>SV</v>
          </cell>
          <cell r="F590" t="str">
            <v>100%MT&amp;UT</v>
          </cell>
          <cell r="G590" t="str">
            <v>D</v>
          </cell>
          <cell r="H590">
            <v>2552.8200000000002</v>
          </cell>
          <cell r="I590" t="str">
            <v>15/25</v>
          </cell>
          <cell r="K590" t="str">
            <v>WPS-TNHA-S06</v>
          </cell>
          <cell r="L590" t="str">
            <v>ST-08</v>
          </cell>
          <cell r="M590" t="str">
            <v>THÁI</v>
          </cell>
          <cell r="N590">
            <v>45970</v>
          </cell>
          <cell r="O590" t="str">
            <v>F-079</v>
          </cell>
          <cell r="P590" t="str">
            <v>21h 11/11/2025</v>
          </cell>
          <cell r="Q590" t="str">
            <v>DHN-SL-22;DHN-SL-29</v>
          </cell>
          <cell r="R590" t="str">
            <v>BÁCH</v>
          </cell>
          <cell r="S590">
            <v>45976</v>
          </cell>
          <cell r="T590" t="str">
            <v>V-075</v>
          </cell>
          <cell r="Y590" t="str">
            <v>FINISH</v>
          </cell>
          <cell r="Z590" t="str">
            <v>ACC</v>
          </cell>
          <cell r="AA590" t="str">
            <v>ACC</v>
          </cell>
          <cell r="AB590" t="str">
            <v>MT-2211-ST-08-0002</v>
          </cell>
          <cell r="AC590" t="str">
            <v>ACC</v>
          </cell>
          <cell r="AD590" t="str">
            <v>UT-2211-ST-08-0004</v>
          </cell>
          <cell r="AP590" t="str">
            <v>19/11/2025</v>
          </cell>
        </row>
        <row r="591">
          <cell r="A591" t="str">
            <v>9001-2211-DS-0016-01-WM38</v>
          </cell>
          <cell r="B591" t="str">
            <v>9001-2211-DS-0016-01-WM</v>
          </cell>
          <cell r="C591">
            <v>38</v>
          </cell>
          <cell r="E591" t="str">
            <v>SB</v>
          </cell>
          <cell r="F591" t="str">
            <v>100%MT&amp;UT</v>
          </cell>
          <cell r="G591" t="str">
            <v>D</v>
          </cell>
          <cell r="H591">
            <v>1915.4</v>
          </cell>
          <cell r="I591">
            <v>15</v>
          </cell>
          <cell r="K591" t="str">
            <v>WPS-TNHA-S07</v>
          </cell>
          <cell r="L591" t="str">
            <v>ST-08</v>
          </cell>
          <cell r="Y591" t="str">
            <v>NOT YET FITUP</v>
          </cell>
        </row>
        <row r="592">
          <cell r="A592" t="str">
            <v>9001-2211-DS-0016-01-WM39</v>
          </cell>
          <cell r="B592" t="str">
            <v>9001-2211-DS-0016-01-WM</v>
          </cell>
          <cell r="C592">
            <v>39</v>
          </cell>
          <cell r="E592" t="str">
            <v>SB</v>
          </cell>
          <cell r="F592" t="str">
            <v>100%MT&amp;UT</v>
          </cell>
          <cell r="G592" t="str">
            <v>D</v>
          </cell>
          <cell r="H592">
            <v>1915.4</v>
          </cell>
          <cell r="I592">
            <v>15</v>
          </cell>
          <cell r="K592" t="str">
            <v>WPS-TNHA-S07</v>
          </cell>
          <cell r="L592" t="str">
            <v>ST-08</v>
          </cell>
          <cell r="Y592" t="str">
            <v>NOT YET FITUP</v>
          </cell>
        </row>
        <row r="593">
          <cell r="A593" t="str">
            <v>9001-2211-DS-0016-01-WM40</v>
          </cell>
          <cell r="B593" t="str">
            <v>9001-2211-DS-0016-01-WM</v>
          </cell>
          <cell r="C593">
            <v>40</v>
          </cell>
          <cell r="E593" t="str">
            <v>SV</v>
          </cell>
          <cell r="F593" t="str">
            <v>100%MT&amp;UT</v>
          </cell>
          <cell r="G593" t="str">
            <v>D</v>
          </cell>
          <cell r="H593">
            <v>2552.8200000000002</v>
          </cell>
          <cell r="I593" t="str">
            <v>15/25</v>
          </cell>
          <cell r="K593" t="str">
            <v>WPS-TNHA-S06</v>
          </cell>
          <cell r="L593" t="str">
            <v>ST-08</v>
          </cell>
          <cell r="M593" t="str">
            <v>THÁI</v>
          </cell>
          <cell r="N593">
            <v>45970</v>
          </cell>
          <cell r="O593" t="str">
            <v>F-079</v>
          </cell>
          <cell r="P593" t="str">
            <v>21h 11/11/2025</v>
          </cell>
          <cell r="Q593" t="str">
            <v>DHN-SL-36;DHN-SL-27</v>
          </cell>
          <cell r="R593" t="str">
            <v>BÁCH</v>
          </cell>
          <cell r="S593">
            <v>45976</v>
          </cell>
          <cell r="T593" t="str">
            <v>V-075</v>
          </cell>
          <cell r="Y593" t="str">
            <v>FINISH</v>
          </cell>
          <cell r="Z593" t="str">
            <v>ACC</v>
          </cell>
          <cell r="AA593" t="str">
            <v>ACC</v>
          </cell>
          <cell r="AB593" t="str">
            <v>MT-2211-ST-08-0002</v>
          </cell>
          <cell r="AC593" t="str">
            <v>ACC</v>
          </cell>
          <cell r="AD593" t="str">
            <v>UT-2211-ST-08-0005</v>
          </cell>
          <cell r="AP593" t="str">
            <v>19/11/2025</v>
          </cell>
        </row>
        <row r="594">
          <cell r="A594" t="str">
            <v>9001-2211-DS-0016-01-WM41</v>
          </cell>
          <cell r="B594" t="str">
            <v>9001-2211-DS-0016-01-WM</v>
          </cell>
          <cell r="C594">
            <v>41</v>
          </cell>
          <cell r="E594" t="str">
            <v>SB</v>
          </cell>
          <cell r="F594" t="str">
            <v>100%MT&amp;UT</v>
          </cell>
          <cell r="G594" t="str">
            <v>D</v>
          </cell>
          <cell r="H594">
            <v>2552.8200000000002</v>
          </cell>
          <cell r="I594">
            <v>15</v>
          </cell>
          <cell r="K594" t="str">
            <v>WPS-TNHA-S07</v>
          </cell>
          <cell r="L594" t="str">
            <v>ST-08</v>
          </cell>
          <cell r="Y594" t="str">
            <v>NOT YET FITUP</v>
          </cell>
        </row>
        <row r="595">
          <cell r="A595" t="str">
            <v>9001-2211-DL-0004-01-WM1</v>
          </cell>
          <cell r="B595" t="str">
            <v>9001-2211-DL-0004-01-WM</v>
          </cell>
          <cell r="C595">
            <v>1</v>
          </cell>
          <cell r="E595" t="str">
            <v>F</v>
          </cell>
          <cell r="F595" t="str">
            <v>10%MT</v>
          </cell>
          <cell r="G595" t="str">
            <v>L</v>
          </cell>
          <cell r="H595">
            <v>5260</v>
          </cell>
          <cell r="K595" t="str">
            <v>WPS-TNHA-S10</v>
          </cell>
          <cell r="L595" t="str">
            <v>ST-02</v>
          </cell>
          <cell r="M595" t="str">
            <v>TUÂN</v>
          </cell>
          <cell r="N595">
            <v>45952</v>
          </cell>
          <cell r="O595" t="str">
            <v>F-058</v>
          </cell>
          <cell r="Q595" t="str">
            <v>BGT-0005;BGT-0006</v>
          </cell>
          <cell r="R595" t="str">
            <v>THÁI</v>
          </cell>
          <cell r="S595">
            <v>45971</v>
          </cell>
          <cell r="T595" t="str">
            <v>V-064</v>
          </cell>
          <cell r="Y595" t="str">
            <v>FINISH</v>
          </cell>
          <cell r="Z595" t="str">
            <v>ACC</v>
          </cell>
          <cell r="AA595" t="str">
            <v>ACC</v>
          </cell>
          <cell r="AB595" t="str">
            <v>MT-2211-ST-02-0017</v>
          </cell>
          <cell r="AC595" t="str">
            <v/>
          </cell>
          <cell r="AD595" t="str">
            <v/>
          </cell>
        </row>
        <row r="596">
          <cell r="A596" t="str">
            <v>9001-2211-DL-0004-01-WM2</v>
          </cell>
          <cell r="B596" t="str">
            <v>9001-2211-DL-0004-01-WM</v>
          </cell>
          <cell r="C596">
            <v>2</v>
          </cell>
          <cell r="E596" t="str">
            <v>F</v>
          </cell>
          <cell r="F596" t="str">
            <v>10%MT</v>
          </cell>
          <cell r="G596" t="str">
            <v>L</v>
          </cell>
          <cell r="H596">
            <v>5260</v>
          </cell>
          <cell r="K596" t="str">
            <v>WPS-TNHA-S10</v>
          </cell>
          <cell r="L596" t="str">
            <v>ST-02</v>
          </cell>
          <cell r="M596" t="str">
            <v>TUÂN</v>
          </cell>
          <cell r="N596">
            <v>45952</v>
          </cell>
          <cell r="O596" t="str">
            <v>F-058</v>
          </cell>
          <cell r="Q596" t="str">
            <v>BGT-0005;BGT-0006</v>
          </cell>
          <cell r="R596" t="str">
            <v>THÁI</v>
          </cell>
          <cell r="S596">
            <v>45971</v>
          </cell>
          <cell r="T596" t="str">
            <v>V-064</v>
          </cell>
          <cell r="Y596" t="str">
            <v>FINISH</v>
          </cell>
          <cell r="Z596" t="str">
            <v>ACC</v>
          </cell>
          <cell r="AA596" t="str">
            <v>ACC</v>
          </cell>
          <cell r="AB596" t="str">
            <v>MT-2211-ST-02-0017</v>
          </cell>
          <cell r="AC596" t="str">
            <v/>
          </cell>
          <cell r="AD596" t="str">
            <v/>
          </cell>
        </row>
        <row r="597">
          <cell r="A597" t="str">
            <v>9001-2211-DL-0004-01-WM3</v>
          </cell>
          <cell r="B597" t="str">
            <v>9001-2211-DL-0004-01-WM</v>
          </cell>
          <cell r="C597">
            <v>3</v>
          </cell>
          <cell r="E597" t="str">
            <v>F</v>
          </cell>
          <cell r="F597" t="str">
            <v>10%MT</v>
          </cell>
          <cell r="G597" t="str">
            <v>L</v>
          </cell>
          <cell r="H597">
            <v>5260</v>
          </cell>
          <cell r="K597" t="str">
            <v>WPS-TNHA-S10</v>
          </cell>
          <cell r="L597" t="str">
            <v>ST-02</v>
          </cell>
          <cell r="M597" t="str">
            <v>TUÂN</v>
          </cell>
          <cell r="N597">
            <v>45952</v>
          </cell>
          <cell r="O597" t="str">
            <v>F-058</v>
          </cell>
          <cell r="Q597" t="str">
            <v>BGT-0005;BGT-0006</v>
          </cell>
          <cell r="R597" t="str">
            <v>THÁI</v>
          </cell>
          <cell r="S597">
            <v>45971</v>
          </cell>
          <cell r="T597" t="str">
            <v>V-064</v>
          </cell>
          <cell r="Y597" t="str">
            <v>FINISH</v>
          </cell>
          <cell r="Z597" t="str">
            <v>ACC</v>
          </cell>
          <cell r="AA597" t="str">
            <v>ACC</v>
          </cell>
          <cell r="AB597" t="str">
            <v>MT-2211-ST-02-0017</v>
          </cell>
          <cell r="AC597" t="str">
            <v/>
          </cell>
          <cell r="AD597" t="str">
            <v/>
          </cell>
        </row>
        <row r="598">
          <cell r="A598" t="str">
            <v>9001-2211-DL-0004-01-WM4</v>
          </cell>
          <cell r="B598" t="str">
            <v>9001-2211-DL-0004-01-WM</v>
          </cell>
          <cell r="C598">
            <v>4</v>
          </cell>
          <cell r="E598" t="str">
            <v>F</v>
          </cell>
          <cell r="F598" t="str">
            <v>10%MT</v>
          </cell>
          <cell r="G598" t="str">
            <v>L</v>
          </cell>
          <cell r="H598">
            <v>5260</v>
          </cell>
          <cell r="K598" t="str">
            <v>WPS-TNHA-S10</v>
          </cell>
          <cell r="L598" t="str">
            <v>ST-02</v>
          </cell>
          <cell r="M598" t="str">
            <v>TUÂN</v>
          </cell>
          <cell r="N598">
            <v>45952</v>
          </cell>
          <cell r="O598" t="str">
            <v>F-058</v>
          </cell>
          <cell r="Q598" t="str">
            <v>BGT-0005;BGT-0006</v>
          </cell>
          <cell r="R598" t="str">
            <v>THÁI</v>
          </cell>
          <cell r="S598">
            <v>45971</v>
          </cell>
          <cell r="T598" t="str">
            <v>V-064</v>
          </cell>
          <cell r="Y598" t="str">
            <v>FINISH</v>
          </cell>
          <cell r="Z598" t="str">
            <v>ACC</v>
          </cell>
          <cell r="AA598" t="str">
            <v>ACC</v>
          </cell>
          <cell r="AB598" t="str">
            <v>MT-2211-ST-02-0017</v>
          </cell>
          <cell r="AC598" t="str">
            <v/>
          </cell>
          <cell r="AD598" t="str">
            <v/>
          </cell>
        </row>
        <row r="599">
          <cell r="A599" t="str">
            <v>9001-2211-DL-0004-01-WM5</v>
          </cell>
          <cell r="B599" t="str">
            <v>9001-2211-DL-0004-01-WM</v>
          </cell>
          <cell r="C599">
            <v>5</v>
          </cell>
          <cell r="E599" t="str">
            <v>F</v>
          </cell>
          <cell r="F599" t="str">
            <v>10%MT</v>
          </cell>
          <cell r="G599" t="str">
            <v>L</v>
          </cell>
          <cell r="H599">
            <v>5260</v>
          </cell>
          <cell r="K599" t="str">
            <v>WPS-TNHA-S10</v>
          </cell>
          <cell r="L599" t="str">
            <v>ST-02</v>
          </cell>
          <cell r="M599" t="str">
            <v>TUÂN</v>
          </cell>
          <cell r="N599">
            <v>45952</v>
          </cell>
          <cell r="O599" t="str">
            <v>F-058</v>
          </cell>
          <cell r="Q599" t="str">
            <v>BGT-0005;BGT-0006</v>
          </cell>
          <cell r="R599" t="str">
            <v>THÁI</v>
          </cell>
          <cell r="S599">
            <v>45971</v>
          </cell>
          <cell r="T599" t="str">
            <v>V-064</v>
          </cell>
          <cell r="Y599" t="str">
            <v>FINISH</v>
          </cell>
          <cell r="Z599" t="str">
            <v>ACC</v>
          </cell>
          <cell r="AA599" t="str">
            <v>ACC</v>
          </cell>
          <cell r="AB599" t="str">
            <v>MT-2211-ST-02-0017</v>
          </cell>
          <cell r="AC599" t="str">
            <v/>
          </cell>
          <cell r="AD599" t="str">
            <v/>
          </cell>
        </row>
        <row r="600">
          <cell r="A600" t="str">
            <v>9001-2211-DL-0004-01-WM6</v>
          </cell>
          <cell r="B600" t="str">
            <v>9001-2211-DL-0004-01-WM</v>
          </cell>
          <cell r="C600">
            <v>6</v>
          </cell>
          <cell r="E600" t="str">
            <v>F</v>
          </cell>
          <cell r="F600" t="str">
            <v>10%MT</v>
          </cell>
          <cell r="G600" t="str">
            <v>L</v>
          </cell>
          <cell r="H600">
            <v>5260</v>
          </cell>
          <cell r="K600" t="str">
            <v>WPS-TNHA-S10</v>
          </cell>
          <cell r="L600" t="str">
            <v>ST-02</v>
          </cell>
          <cell r="M600" t="str">
            <v>TUÂN</v>
          </cell>
          <cell r="N600">
            <v>45952</v>
          </cell>
          <cell r="O600" t="str">
            <v>F-058</v>
          </cell>
          <cell r="Q600" t="str">
            <v>BGT-0005;BGT-0006</v>
          </cell>
          <cell r="R600" t="str">
            <v>THÁI</v>
          </cell>
          <cell r="S600">
            <v>45971</v>
          </cell>
          <cell r="T600" t="str">
            <v>V-064</v>
          </cell>
          <cell r="Y600" t="str">
            <v>FINISH</v>
          </cell>
          <cell r="Z600" t="str">
            <v>ACC</v>
          </cell>
          <cell r="AA600" t="str">
            <v>ACC</v>
          </cell>
          <cell r="AB600" t="str">
            <v>MT-2211-ST-02-0017</v>
          </cell>
          <cell r="AC600" t="str">
            <v/>
          </cell>
          <cell r="AD600" t="str">
            <v/>
          </cell>
        </row>
        <row r="601">
          <cell r="A601" t="str">
            <v>9001-2211-DL-0004-01-WM7</v>
          </cell>
          <cell r="B601" t="str">
            <v>9001-2211-DL-0004-01-WM</v>
          </cell>
          <cell r="C601">
            <v>7</v>
          </cell>
          <cell r="E601" t="str">
            <v>F</v>
          </cell>
          <cell r="F601" t="str">
            <v>10%MT</v>
          </cell>
          <cell r="G601" t="str">
            <v>L</v>
          </cell>
          <cell r="H601">
            <v>5260</v>
          </cell>
          <cell r="K601" t="str">
            <v>WPS-TNHA-S10</v>
          </cell>
          <cell r="L601" t="str">
            <v>ST-02</v>
          </cell>
          <cell r="M601" t="str">
            <v>TUÂN</v>
          </cell>
          <cell r="N601">
            <v>45952</v>
          </cell>
          <cell r="O601" t="str">
            <v>F-058</v>
          </cell>
          <cell r="Q601" t="str">
            <v>BGT-0005;BGT-0006</v>
          </cell>
          <cell r="R601" t="str">
            <v>THÁI</v>
          </cell>
          <cell r="S601">
            <v>45971</v>
          </cell>
          <cell r="T601" t="str">
            <v>V-064</v>
          </cell>
          <cell r="Y601" t="str">
            <v>FINISH</v>
          </cell>
          <cell r="Z601" t="str">
            <v>ACC</v>
          </cell>
          <cell r="AA601" t="str">
            <v>ACC</v>
          </cell>
          <cell r="AB601" t="str">
            <v>MT-2211-ST-02-0017</v>
          </cell>
          <cell r="AC601" t="str">
            <v/>
          </cell>
          <cell r="AD601" t="str">
            <v/>
          </cell>
        </row>
        <row r="602">
          <cell r="A602" t="str">
            <v>9001-2211-DL-0004-01-WM8</v>
          </cell>
          <cell r="B602" t="str">
            <v>9001-2211-DL-0004-01-WM</v>
          </cell>
          <cell r="C602">
            <v>8</v>
          </cell>
          <cell r="E602" t="str">
            <v>F</v>
          </cell>
          <cell r="F602" t="str">
            <v>10%MT</v>
          </cell>
          <cell r="G602" t="str">
            <v>L</v>
          </cell>
          <cell r="H602">
            <v>5260</v>
          </cell>
          <cell r="K602" t="str">
            <v>WPS-TNHA-S10</v>
          </cell>
          <cell r="L602" t="str">
            <v>ST-02</v>
          </cell>
          <cell r="M602" t="str">
            <v>TUÂN</v>
          </cell>
          <cell r="N602">
            <v>45952</v>
          </cell>
          <cell r="O602" t="str">
            <v>F-058</v>
          </cell>
          <cell r="Q602" t="str">
            <v>BGT-0005;BGT-0006</v>
          </cell>
          <cell r="R602" t="str">
            <v>THÁI</v>
          </cell>
          <cell r="S602">
            <v>45971</v>
          </cell>
          <cell r="T602" t="str">
            <v>V-064</v>
          </cell>
          <cell r="Y602" t="str">
            <v>FINISH</v>
          </cell>
          <cell r="Z602" t="str">
            <v>ACC</v>
          </cell>
          <cell r="AA602" t="str">
            <v>ACC</v>
          </cell>
          <cell r="AB602" t="str">
            <v>MT-2211-ST-02-0017</v>
          </cell>
          <cell r="AC602" t="str">
            <v/>
          </cell>
          <cell r="AD602" t="str">
            <v/>
          </cell>
        </row>
        <row r="603">
          <cell r="A603" t="str">
            <v>9001-2211-DL-0004-01-WM9</v>
          </cell>
          <cell r="B603" t="str">
            <v>9001-2211-DL-0004-01-WM</v>
          </cell>
          <cell r="C603">
            <v>9</v>
          </cell>
          <cell r="E603" t="str">
            <v>F</v>
          </cell>
          <cell r="F603" t="str">
            <v>10%MT</v>
          </cell>
          <cell r="G603" t="str">
            <v>L</v>
          </cell>
          <cell r="H603">
            <v>5260</v>
          </cell>
          <cell r="K603" t="str">
            <v>WPS-TNHA-S10</v>
          </cell>
          <cell r="L603" t="str">
            <v>ST-02</v>
          </cell>
          <cell r="M603" t="str">
            <v>TUÂN</v>
          </cell>
          <cell r="N603">
            <v>45965</v>
          </cell>
          <cell r="O603" t="str">
            <v>F-074</v>
          </cell>
          <cell r="P603" t="str">
            <v>10/11/2025</v>
          </cell>
          <cell r="Q603" t="str">
            <v>BGT0017;BGT-0032</v>
          </cell>
          <cell r="R603" t="str">
            <v>THÁI</v>
          </cell>
          <cell r="S603">
            <v>45986</v>
          </cell>
          <cell r="T603" t="str">
            <v>V-091</v>
          </cell>
          <cell r="Y603" t="str">
            <v>FINISH</v>
          </cell>
          <cell r="Z603" t="str">
            <v>ACC</v>
          </cell>
          <cell r="AA603" t="str">
            <v>ACC</v>
          </cell>
          <cell r="AB603" t="str">
            <v>MT-2211-ST-02-0023</v>
          </cell>
          <cell r="AC603" t="str">
            <v/>
          </cell>
          <cell r="AD603" t="str">
            <v/>
          </cell>
        </row>
        <row r="604">
          <cell r="A604" t="str">
            <v>9001-2211-DL-0004-01-WM10</v>
          </cell>
          <cell r="B604" t="str">
            <v>9001-2211-DL-0004-01-WM</v>
          </cell>
          <cell r="C604">
            <v>10</v>
          </cell>
          <cell r="E604" t="str">
            <v>F</v>
          </cell>
          <cell r="F604" t="str">
            <v>10%MT</v>
          </cell>
          <cell r="G604" t="str">
            <v>L</v>
          </cell>
          <cell r="H604">
            <v>5260</v>
          </cell>
          <cell r="K604" t="str">
            <v>WPS-TNHA-S10</v>
          </cell>
          <cell r="L604" t="str">
            <v>ST-02</v>
          </cell>
          <cell r="M604" t="str">
            <v>TUÂN</v>
          </cell>
          <cell r="N604">
            <v>45965</v>
          </cell>
          <cell r="O604" t="str">
            <v>F-074</v>
          </cell>
          <cell r="P604" t="str">
            <v>10/11/2025</v>
          </cell>
          <cell r="Q604" t="str">
            <v>BGT0017;BGT-0032</v>
          </cell>
          <cell r="R604" t="str">
            <v>THÁI</v>
          </cell>
          <cell r="S604">
            <v>45986</v>
          </cell>
          <cell r="T604" t="str">
            <v>V-091</v>
          </cell>
          <cell r="Y604" t="str">
            <v>FINISH</v>
          </cell>
          <cell r="Z604" t="str">
            <v>ACC</v>
          </cell>
          <cell r="AA604" t="str">
            <v>ACC</v>
          </cell>
          <cell r="AB604" t="str">
            <v>MT-2211-ST-02-0024</v>
          </cell>
          <cell r="AC604" t="str">
            <v/>
          </cell>
          <cell r="AD604" t="str">
            <v/>
          </cell>
        </row>
        <row r="605">
          <cell r="A605" t="str">
            <v>9001-2211-DL-0004-01-WM11</v>
          </cell>
          <cell r="B605" t="str">
            <v>9001-2211-DL-0004-01-WM</v>
          </cell>
          <cell r="C605">
            <v>11</v>
          </cell>
          <cell r="E605" t="str">
            <v>F</v>
          </cell>
          <cell r="F605" t="str">
            <v>10%MT</v>
          </cell>
          <cell r="G605" t="str">
            <v>L</v>
          </cell>
          <cell r="H605">
            <v>5260</v>
          </cell>
          <cell r="K605" t="str">
            <v>WPS-TNHA-S10</v>
          </cell>
          <cell r="L605" t="str">
            <v>ST-02</v>
          </cell>
          <cell r="M605" t="str">
            <v>TUÂN</v>
          </cell>
          <cell r="N605">
            <v>45965</v>
          </cell>
          <cell r="O605" t="str">
            <v>F-074</v>
          </cell>
          <cell r="P605" t="str">
            <v>10/11/2025</v>
          </cell>
          <cell r="Q605" t="str">
            <v>BGT0017;BGT-0032</v>
          </cell>
          <cell r="R605" t="str">
            <v>THÁI</v>
          </cell>
          <cell r="S605">
            <v>45986</v>
          </cell>
          <cell r="T605" t="str">
            <v>V-091</v>
          </cell>
          <cell r="Y605" t="str">
            <v>FINISH</v>
          </cell>
          <cell r="Z605" t="str">
            <v>ACC</v>
          </cell>
          <cell r="AA605" t="str">
            <v>ACC</v>
          </cell>
          <cell r="AB605" t="str">
            <v>MT-2211-ST-02-0024</v>
          </cell>
          <cell r="AC605" t="str">
            <v/>
          </cell>
          <cell r="AD605" t="str">
            <v/>
          </cell>
        </row>
        <row r="606">
          <cell r="A606" t="str">
            <v>9001-2211-DL-0004-01-WM12</v>
          </cell>
          <cell r="B606" t="str">
            <v>9001-2211-DL-0004-01-WM</v>
          </cell>
          <cell r="C606">
            <v>12</v>
          </cell>
          <cell r="E606" t="str">
            <v>F</v>
          </cell>
          <cell r="F606" t="str">
            <v>10%MT</v>
          </cell>
          <cell r="G606" t="str">
            <v>L</v>
          </cell>
          <cell r="H606">
            <v>5260</v>
          </cell>
          <cell r="K606" t="str">
            <v>WPS-TNHA-S10</v>
          </cell>
          <cell r="L606" t="str">
            <v>ST-02</v>
          </cell>
          <cell r="M606" t="str">
            <v>TUÂN</v>
          </cell>
          <cell r="N606">
            <v>45965</v>
          </cell>
          <cell r="O606" t="str">
            <v>F-074</v>
          </cell>
          <cell r="P606" t="str">
            <v>10/11/2025</v>
          </cell>
          <cell r="Q606" t="str">
            <v>BGT0017;BGT-0032</v>
          </cell>
          <cell r="R606" t="str">
            <v>THÁI</v>
          </cell>
          <cell r="S606">
            <v>45986</v>
          </cell>
          <cell r="T606" t="str">
            <v>V-091</v>
          </cell>
          <cell r="Y606" t="str">
            <v>FINISH</v>
          </cell>
          <cell r="Z606" t="str">
            <v>ACC</v>
          </cell>
          <cell r="AA606" t="str">
            <v>ACC</v>
          </cell>
          <cell r="AB606" t="str">
            <v>MT-2211-ST-02-0024</v>
          </cell>
          <cell r="AC606" t="str">
            <v/>
          </cell>
          <cell r="AD606" t="str">
            <v/>
          </cell>
        </row>
        <row r="607">
          <cell r="A607" t="str">
            <v>9001-2211-DL-0004-01-WM13</v>
          </cell>
          <cell r="B607" t="str">
            <v>9001-2211-DL-0004-01-WM</v>
          </cell>
          <cell r="C607">
            <v>13</v>
          </cell>
          <cell r="E607" t="str">
            <v>F</v>
          </cell>
          <cell r="F607" t="str">
            <v>10%MT</v>
          </cell>
          <cell r="G607" t="str">
            <v>L</v>
          </cell>
          <cell r="H607">
            <v>5260</v>
          </cell>
          <cell r="K607" t="str">
            <v>WPS-TNHA-S10</v>
          </cell>
          <cell r="L607" t="str">
            <v>ST-02</v>
          </cell>
          <cell r="M607" t="str">
            <v>TUÂN</v>
          </cell>
          <cell r="N607">
            <v>45965</v>
          </cell>
          <cell r="O607" t="str">
            <v>F-074</v>
          </cell>
          <cell r="P607" t="str">
            <v>10/11/2025</v>
          </cell>
          <cell r="Q607" t="str">
            <v>BGT0017;BGT-0032</v>
          </cell>
          <cell r="R607" t="str">
            <v>THÁI</v>
          </cell>
          <cell r="S607">
            <v>45986</v>
          </cell>
          <cell r="T607" t="str">
            <v>V-091</v>
          </cell>
          <cell r="Y607" t="str">
            <v>FINISH</v>
          </cell>
          <cell r="Z607" t="str">
            <v>ACC</v>
          </cell>
          <cell r="AA607" t="str">
            <v>ACC</v>
          </cell>
          <cell r="AB607" t="str">
            <v>MT-2211-ST-02-0024</v>
          </cell>
          <cell r="AC607" t="str">
            <v/>
          </cell>
          <cell r="AD607" t="str">
            <v/>
          </cell>
        </row>
        <row r="608">
          <cell r="A608" t="str">
            <v>9001-2211-DL-0004-01-WM14</v>
          </cell>
          <cell r="B608" t="str">
            <v>9001-2211-DL-0004-01-WM</v>
          </cell>
          <cell r="C608">
            <v>14</v>
          </cell>
          <cell r="E608" t="str">
            <v>F</v>
          </cell>
          <cell r="F608" t="str">
            <v>10%MT</v>
          </cell>
          <cell r="G608" t="str">
            <v>L</v>
          </cell>
          <cell r="H608">
            <v>5260</v>
          </cell>
          <cell r="K608" t="str">
            <v>WPS-TNHA-S10</v>
          </cell>
          <cell r="L608" t="str">
            <v>ST-02</v>
          </cell>
          <cell r="M608" t="str">
            <v>TUÂN</v>
          </cell>
          <cell r="N608">
            <v>45965</v>
          </cell>
          <cell r="O608" t="str">
            <v>F-074</v>
          </cell>
          <cell r="P608" t="str">
            <v>10/11/2025</v>
          </cell>
          <cell r="Q608" t="str">
            <v>BGT0017;BGT-0032</v>
          </cell>
          <cell r="R608" t="str">
            <v>THÁI</v>
          </cell>
          <cell r="S608">
            <v>45986</v>
          </cell>
          <cell r="T608" t="str">
            <v>V-091</v>
          </cell>
          <cell r="Y608" t="str">
            <v>FINISH</v>
          </cell>
          <cell r="Z608" t="str">
            <v>ACC</v>
          </cell>
          <cell r="AA608" t="str">
            <v>ACC</v>
          </cell>
          <cell r="AB608" t="str">
            <v>MT-2211-ST-02-0024</v>
          </cell>
          <cell r="AC608" t="str">
            <v/>
          </cell>
          <cell r="AD608" t="str">
            <v/>
          </cell>
        </row>
        <row r="609">
          <cell r="A609" t="str">
            <v>9001-2211-DL-0004-01-WM15</v>
          </cell>
          <cell r="B609" t="str">
            <v>9001-2211-DL-0004-01-WM</v>
          </cell>
          <cell r="C609">
            <v>15</v>
          </cell>
          <cell r="E609" t="str">
            <v>F</v>
          </cell>
          <cell r="F609" t="str">
            <v>10%MT</v>
          </cell>
          <cell r="G609" t="str">
            <v>L</v>
          </cell>
          <cell r="H609">
            <v>5260</v>
          </cell>
          <cell r="K609" t="str">
            <v>WPS-TNHA-S10</v>
          </cell>
          <cell r="L609" t="str">
            <v>ST-02</v>
          </cell>
          <cell r="M609" t="str">
            <v>TUÂN</v>
          </cell>
          <cell r="N609">
            <v>45965</v>
          </cell>
          <cell r="O609" t="str">
            <v>F-074</v>
          </cell>
          <cell r="P609" t="str">
            <v>10/11/2025</v>
          </cell>
          <cell r="Q609" t="str">
            <v>BGT0017;BGT-0032</v>
          </cell>
          <cell r="R609" t="str">
            <v>THÁI</v>
          </cell>
          <cell r="S609">
            <v>45986</v>
          </cell>
          <cell r="T609" t="str">
            <v>V-091</v>
          </cell>
          <cell r="Y609" t="str">
            <v>FINISH</v>
          </cell>
          <cell r="Z609" t="str">
            <v>ACC</v>
          </cell>
          <cell r="AA609" t="str">
            <v>ACC</v>
          </cell>
          <cell r="AB609" t="str">
            <v>MT-2211-ST-02-0024</v>
          </cell>
          <cell r="AC609" t="str">
            <v/>
          </cell>
          <cell r="AD609" t="str">
            <v/>
          </cell>
        </row>
        <row r="610">
          <cell r="A610" t="str">
            <v>9001-2211-DL-0004-01-WM16</v>
          </cell>
          <cell r="B610" t="str">
            <v>9001-2211-DL-0004-01-WM</v>
          </cell>
          <cell r="C610">
            <v>16</v>
          </cell>
          <cell r="E610" t="str">
            <v>F</v>
          </cell>
          <cell r="F610" t="str">
            <v>10%MT</v>
          </cell>
          <cell r="G610" t="str">
            <v>L</v>
          </cell>
          <cell r="H610">
            <v>5260</v>
          </cell>
          <cell r="K610" t="str">
            <v>WPS-TNHA-S10</v>
          </cell>
          <cell r="L610" t="str">
            <v>ST-02</v>
          </cell>
          <cell r="M610" t="str">
            <v>TUÂN</v>
          </cell>
          <cell r="N610">
            <v>45965</v>
          </cell>
          <cell r="O610" t="str">
            <v>F-074</v>
          </cell>
          <cell r="P610" t="str">
            <v>10/11/2025</v>
          </cell>
          <cell r="Q610" t="str">
            <v>BGT0017;BGT-0032</v>
          </cell>
          <cell r="R610" t="str">
            <v>THÁI</v>
          </cell>
          <cell r="S610">
            <v>45986</v>
          </cell>
          <cell r="T610" t="str">
            <v>V-091</v>
          </cell>
          <cell r="Y610" t="str">
            <v>FINISH</v>
          </cell>
          <cell r="Z610" t="str">
            <v>ACC</v>
          </cell>
          <cell r="AA610" t="str">
            <v>ACC</v>
          </cell>
          <cell r="AB610" t="str">
            <v>MT-2211-ST-02-0024</v>
          </cell>
          <cell r="AC610" t="str">
            <v/>
          </cell>
          <cell r="AD610" t="str">
            <v/>
          </cell>
        </row>
        <row r="611">
          <cell r="A611" t="str">
            <v>9001-2211-DL-0004-01-WM17</v>
          </cell>
          <cell r="B611" t="str">
            <v>9001-2211-DL-0004-01-WM</v>
          </cell>
          <cell r="C611">
            <v>17</v>
          </cell>
          <cell r="E611" t="str">
            <v>F</v>
          </cell>
          <cell r="F611" t="str">
            <v>10%MT</v>
          </cell>
          <cell r="G611" t="str">
            <v>L</v>
          </cell>
          <cell r="H611">
            <v>5260</v>
          </cell>
          <cell r="K611" t="str">
            <v>WPS-TNHA-S10</v>
          </cell>
          <cell r="L611" t="str">
            <v>ST-02</v>
          </cell>
          <cell r="M611" t="str">
            <v>TUÂN</v>
          </cell>
          <cell r="N611">
            <v>45965</v>
          </cell>
          <cell r="O611" t="str">
            <v>F-074</v>
          </cell>
          <cell r="P611" t="str">
            <v>10/11/2025</v>
          </cell>
          <cell r="Q611" t="str">
            <v>BGT0017;BGT-0032</v>
          </cell>
          <cell r="R611" t="str">
            <v>THÁI</v>
          </cell>
          <cell r="S611">
            <v>45986</v>
          </cell>
          <cell r="T611" t="str">
            <v>V-091</v>
          </cell>
          <cell r="Y611" t="str">
            <v>FINISH</v>
          </cell>
          <cell r="Z611" t="str">
            <v>ACC</v>
          </cell>
          <cell r="AA611" t="str">
            <v>ACC</v>
          </cell>
          <cell r="AB611" t="str">
            <v>MT-2211-ST-02-0024</v>
          </cell>
          <cell r="AC611" t="str">
            <v/>
          </cell>
          <cell r="AD611" t="str">
            <v/>
          </cell>
        </row>
        <row r="612">
          <cell r="A612" t="str">
            <v>9001-2211-DL-0004-01-WM18</v>
          </cell>
          <cell r="B612" t="str">
            <v>9001-2211-DL-0004-01-WM</v>
          </cell>
          <cell r="C612">
            <v>18</v>
          </cell>
          <cell r="E612" t="str">
            <v>F</v>
          </cell>
          <cell r="F612" t="str">
            <v>10%MT</v>
          </cell>
          <cell r="G612" t="str">
            <v>L</v>
          </cell>
          <cell r="H612">
            <v>5260</v>
          </cell>
          <cell r="K612" t="str">
            <v>WPS-TNHA-S10</v>
          </cell>
          <cell r="L612" t="str">
            <v>ST-02</v>
          </cell>
          <cell r="M612" t="str">
            <v>TUÂN</v>
          </cell>
          <cell r="N612">
            <v>45965</v>
          </cell>
          <cell r="O612" t="str">
            <v>F-074</v>
          </cell>
          <cell r="P612" t="str">
            <v>10/11/2025</v>
          </cell>
          <cell r="Q612" t="str">
            <v>BGT0017;BGT-0032</v>
          </cell>
          <cell r="R612" t="str">
            <v>THÁI</v>
          </cell>
          <cell r="S612">
            <v>45986</v>
          </cell>
          <cell r="T612" t="str">
            <v>V-091</v>
          </cell>
          <cell r="Y612" t="str">
            <v>FINISH</v>
          </cell>
          <cell r="Z612" t="str">
            <v>ACC</v>
          </cell>
          <cell r="AA612" t="str">
            <v>ACC</v>
          </cell>
          <cell r="AB612" t="str">
            <v>MT-2211-ST-02-0024</v>
          </cell>
          <cell r="AC612" t="str">
            <v/>
          </cell>
          <cell r="AD612" t="str">
            <v/>
          </cell>
        </row>
        <row r="613">
          <cell r="A613" t="str">
            <v>9001-2211-DL-0004-01-WM19</v>
          </cell>
          <cell r="B613" t="str">
            <v>9001-2211-DL-0004-01-WM</v>
          </cell>
          <cell r="C613">
            <v>19</v>
          </cell>
          <cell r="E613" t="str">
            <v>F</v>
          </cell>
          <cell r="F613" t="str">
            <v>10%MT</v>
          </cell>
          <cell r="G613" t="str">
            <v>L</v>
          </cell>
          <cell r="H613">
            <v>5260</v>
          </cell>
          <cell r="K613" t="str">
            <v>WPS-TNHA-S10</v>
          </cell>
          <cell r="L613" t="str">
            <v>ST-02</v>
          </cell>
          <cell r="M613" t="str">
            <v>TUÂN</v>
          </cell>
          <cell r="N613">
            <v>45965</v>
          </cell>
          <cell r="O613" t="str">
            <v>F-074</v>
          </cell>
          <cell r="P613" t="str">
            <v>10/11/2025</v>
          </cell>
          <cell r="Q613" t="str">
            <v>BGT0017;BGT-0032</v>
          </cell>
          <cell r="R613" t="str">
            <v>THÁI</v>
          </cell>
          <cell r="S613">
            <v>45986</v>
          </cell>
          <cell r="T613" t="str">
            <v>V-091</v>
          </cell>
          <cell r="Y613" t="str">
            <v>FINISH</v>
          </cell>
          <cell r="Z613" t="str">
            <v>ACC</v>
          </cell>
          <cell r="AA613" t="str">
            <v>ACC</v>
          </cell>
          <cell r="AB613" t="str">
            <v>MT-2211-ST-02-0024</v>
          </cell>
          <cell r="AC613" t="str">
            <v/>
          </cell>
          <cell r="AD613" t="str">
            <v/>
          </cell>
        </row>
        <row r="614">
          <cell r="A614" t="str">
            <v>9001-2211-DL-0004-01-WM20</v>
          </cell>
          <cell r="B614" t="str">
            <v>9001-2211-DL-0004-01-WM</v>
          </cell>
          <cell r="C614">
            <v>20</v>
          </cell>
          <cell r="E614" t="str">
            <v>F</v>
          </cell>
          <cell r="F614" t="str">
            <v>10%MT</v>
          </cell>
          <cell r="G614" t="str">
            <v>L</v>
          </cell>
          <cell r="H614">
            <v>5260</v>
          </cell>
          <cell r="K614" t="str">
            <v>WPS-TNHA-S10</v>
          </cell>
          <cell r="L614" t="str">
            <v>ST-02</v>
          </cell>
          <cell r="M614" t="str">
            <v>TUÂN</v>
          </cell>
          <cell r="N614">
            <v>45965</v>
          </cell>
          <cell r="O614" t="str">
            <v>F-074</v>
          </cell>
          <cell r="P614" t="str">
            <v>10/11/2025</v>
          </cell>
          <cell r="Q614" t="str">
            <v>BGT0017;BGT-0032</v>
          </cell>
          <cell r="R614" t="str">
            <v>THÁI</v>
          </cell>
          <cell r="S614">
            <v>45986</v>
          </cell>
          <cell r="T614" t="str">
            <v>V-091</v>
          </cell>
          <cell r="Y614" t="str">
            <v>FINISH</v>
          </cell>
          <cell r="Z614" t="str">
            <v>ACC</v>
          </cell>
          <cell r="AA614" t="str">
            <v>ACC</v>
          </cell>
          <cell r="AB614" t="str">
            <v>MT-2211-ST-02-0024</v>
          </cell>
          <cell r="AC614" t="str">
            <v/>
          </cell>
          <cell r="AD614" t="str">
            <v/>
          </cell>
        </row>
        <row r="615">
          <cell r="A615" t="str">
            <v>9001-2211-DL-0004-01-WM21</v>
          </cell>
          <cell r="B615" t="str">
            <v>9001-2211-DL-0004-01-WM</v>
          </cell>
          <cell r="C615">
            <v>21</v>
          </cell>
          <cell r="E615" t="str">
            <v>F</v>
          </cell>
          <cell r="F615" t="str">
            <v>10%MT</v>
          </cell>
          <cell r="G615" t="str">
            <v>L</v>
          </cell>
          <cell r="H615">
            <v>5260</v>
          </cell>
          <cell r="K615" t="str">
            <v>WPS-TNHA-S10</v>
          </cell>
          <cell r="L615" t="str">
            <v>ST-02</v>
          </cell>
          <cell r="M615" t="str">
            <v>THÁI</v>
          </cell>
          <cell r="N615">
            <v>45971</v>
          </cell>
          <cell r="O615" t="str">
            <v>F-080</v>
          </cell>
          <cell r="P615" t="str">
            <v>26/11/2025</v>
          </cell>
          <cell r="Q615" t="str">
            <v>GTC-07;BGT-0032</v>
          </cell>
          <cell r="R615" t="str">
            <v>THÁI</v>
          </cell>
          <cell r="S615">
            <v>45990</v>
          </cell>
          <cell r="T615" t="str">
            <v>V-100</v>
          </cell>
          <cell r="Y615" t="str">
            <v>FINISH</v>
          </cell>
          <cell r="Z615" t="str">
            <v>ACC</v>
          </cell>
          <cell r="AA615" t="str">
            <v>ACC</v>
          </cell>
          <cell r="AB615" t="str">
            <v>MT-2211-ST-02-0026</v>
          </cell>
          <cell r="AC615" t="str">
            <v/>
          </cell>
          <cell r="AD615" t="str">
            <v/>
          </cell>
          <cell r="AJ615">
            <v>45992</v>
          </cell>
          <cell r="AK615" t="str">
            <v>FINAL-V-105</v>
          </cell>
        </row>
        <row r="616">
          <cell r="A616" t="str">
            <v>9001-2211-DL-0004-01-WM22</v>
          </cell>
          <cell r="B616" t="str">
            <v>9001-2211-DL-0004-01-WM</v>
          </cell>
          <cell r="C616">
            <v>22</v>
          </cell>
          <cell r="E616" t="str">
            <v>F</v>
          </cell>
          <cell r="F616" t="str">
            <v>10%MT</v>
          </cell>
          <cell r="G616" t="str">
            <v>L</v>
          </cell>
          <cell r="H616">
            <v>5260</v>
          </cell>
          <cell r="K616" t="str">
            <v>WPS-TNHA-S10</v>
          </cell>
          <cell r="L616" t="str">
            <v>ST-02</v>
          </cell>
          <cell r="M616" t="str">
            <v>THÁI</v>
          </cell>
          <cell r="N616">
            <v>45971</v>
          </cell>
          <cell r="O616" t="str">
            <v>F-080</v>
          </cell>
          <cell r="P616" t="str">
            <v>26/11/2025</v>
          </cell>
          <cell r="Q616" t="str">
            <v>GTC-07;BGT-0032</v>
          </cell>
          <cell r="R616" t="str">
            <v>THÁI</v>
          </cell>
          <cell r="S616">
            <v>45990</v>
          </cell>
          <cell r="T616" t="str">
            <v>V-100</v>
          </cell>
          <cell r="Y616" t="str">
            <v>FINISH</v>
          </cell>
          <cell r="Z616" t="str">
            <v>ACC</v>
          </cell>
          <cell r="AA616" t="str">
            <v>ACC</v>
          </cell>
          <cell r="AB616" t="str">
            <v>MT-2211-ST-02-0026</v>
          </cell>
          <cell r="AC616" t="str">
            <v/>
          </cell>
          <cell r="AD616" t="str">
            <v/>
          </cell>
          <cell r="AJ616">
            <v>45992</v>
          </cell>
          <cell r="AK616" t="str">
            <v>FINAL-V-105</v>
          </cell>
        </row>
        <row r="617">
          <cell r="A617" t="str">
            <v>9001-2211-DL-0004-01-WM23</v>
          </cell>
          <cell r="B617" t="str">
            <v>9001-2211-DL-0004-01-WM</v>
          </cell>
          <cell r="C617">
            <v>23</v>
          </cell>
          <cell r="E617" t="str">
            <v>F</v>
          </cell>
          <cell r="F617" t="str">
            <v>10%MT</v>
          </cell>
          <cell r="G617" t="str">
            <v>L</v>
          </cell>
          <cell r="H617">
            <v>5260</v>
          </cell>
          <cell r="K617" t="str">
            <v>WPS-TNHA-S10</v>
          </cell>
          <cell r="L617" t="str">
            <v>ST-02</v>
          </cell>
          <cell r="M617" t="str">
            <v>THÁI</v>
          </cell>
          <cell r="N617">
            <v>45971</v>
          </cell>
          <cell r="O617" t="str">
            <v>F-080</v>
          </cell>
          <cell r="P617" t="str">
            <v>26/11/2025</v>
          </cell>
          <cell r="Q617" t="str">
            <v>GTC-07;BGT-0032</v>
          </cell>
          <cell r="R617" t="str">
            <v>THÁI</v>
          </cell>
          <cell r="S617">
            <v>45990</v>
          </cell>
          <cell r="T617" t="str">
            <v>V-100</v>
          </cell>
          <cell r="Y617" t="str">
            <v>FINISH</v>
          </cell>
          <cell r="Z617" t="str">
            <v>ACC</v>
          </cell>
          <cell r="AA617" t="str">
            <v>ACC</v>
          </cell>
          <cell r="AB617" t="str">
            <v>MT-2211-ST-02-0026</v>
          </cell>
          <cell r="AC617" t="str">
            <v/>
          </cell>
          <cell r="AD617" t="str">
            <v/>
          </cell>
          <cell r="AJ617">
            <v>45992</v>
          </cell>
          <cell r="AK617" t="str">
            <v>FINAL-V-105</v>
          </cell>
        </row>
        <row r="618">
          <cell r="A618" t="str">
            <v>9001-2211-DL-0004-01-WM24</v>
          </cell>
          <cell r="B618" t="str">
            <v>9001-2211-DL-0004-01-WM</v>
          </cell>
          <cell r="C618">
            <v>24</v>
          </cell>
          <cell r="E618" t="str">
            <v>F</v>
          </cell>
          <cell r="F618" t="str">
            <v>10%MT</v>
          </cell>
          <cell r="G618" t="str">
            <v>L</v>
          </cell>
          <cell r="H618">
            <v>5260</v>
          </cell>
          <cell r="K618" t="str">
            <v>WPS-TNHA-S10</v>
          </cell>
          <cell r="L618" t="str">
            <v>ST-02</v>
          </cell>
          <cell r="M618" t="str">
            <v>THÁI</v>
          </cell>
          <cell r="N618">
            <v>45971</v>
          </cell>
          <cell r="O618" t="str">
            <v>F-080</v>
          </cell>
          <cell r="P618" t="str">
            <v>26/11/2025</v>
          </cell>
          <cell r="Q618" t="str">
            <v>GTC-07;BGT-0032</v>
          </cell>
          <cell r="R618" t="str">
            <v>THÁI</v>
          </cell>
          <cell r="S618">
            <v>45990</v>
          </cell>
          <cell r="T618" t="str">
            <v>V-100</v>
          </cell>
          <cell r="Y618" t="str">
            <v>FINISH</v>
          </cell>
          <cell r="Z618" t="str">
            <v>ACC</v>
          </cell>
          <cell r="AA618" t="str">
            <v>ACC</v>
          </cell>
          <cell r="AB618" t="str">
            <v>MT-2211-ST-02-0026</v>
          </cell>
          <cell r="AC618" t="str">
            <v/>
          </cell>
          <cell r="AD618" t="str">
            <v/>
          </cell>
          <cell r="AJ618">
            <v>45992</v>
          </cell>
          <cell r="AK618" t="str">
            <v>FINAL-V-105</v>
          </cell>
        </row>
        <row r="619">
          <cell r="A619" t="str">
            <v>9001-2211-DL-0004-01-WM25</v>
          </cell>
          <cell r="B619" t="str">
            <v>9001-2211-DL-0004-01-WM</v>
          </cell>
          <cell r="C619">
            <v>25</v>
          </cell>
          <cell r="E619" t="str">
            <v>F</v>
          </cell>
          <cell r="F619" t="str">
            <v>10%MT</v>
          </cell>
          <cell r="G619" t="str">
            <v>L</v>
          </cell>
          <cell r="H619">
            <v>5260</v>
          </cell>
          <cell r="K619" t="str">
            <v>WPS-TNHA-S10</v>
          </cell>
          <cell r="L619" t="str">
            <v>ST-02</v>
          </cell>
          <cell r="M619" t="str">
            <v>THÁI</v>
          </cell>
          <cell r="N619">
            <v>45971</v>
          </cell>
          <cell r="O619" t="str">
            <v>F-080</v>
          </cell>
          <cell r="P619" t="str">
            <v>26/11/2025</v>
          </cell>
          <cell r="Q619" t="str">
            <v>GTC-07;BGT-0032</v>
          </cell>
          <cell r="R619" t="str">
            <v>THÁI</v>
          </cell>
          <cell r="S619">
            <v>45990</v>
          </cell>
          <cell r="T619" t="str">
            <v>V-100</v>
          </cell>
          <cell r="Y619" t="str">
            <v>FINISH</v>
          </cell>
          <cell r="Z619" t="str">
            <v>ACC</v>
          </cell>
          <cell r="AA619" t="str">
            <v>ACC</v>
          </cell>
          <cell r="AB619" t="str">
            <v>MT-2211-ST-02-0026</v>
          </cell>
          <cell r="AC619" t="str">
            <v/>
          </cell>
          <cell r="AD619" t="str">
            <v/>
          </cell>
          <cell r="AJ619">
            <v>45992</v>
          </cell>
          <cell r="AK619" t="str">
            <v>FINAL-V-105</v>
          </cell>
        </row>
        <row r="620">
          <cell r="A620" t="str">
            <v>9001-2211-DL-0004-01-WM26</v>
          </cell>
          <cell r="B620" t="str">
            <v>9001-2211-DL-0004-01-WM</v>
          </cell>
          <cell r="C620">
            <v>26</v>
          </cell>
          <cell r="E620" t="str">
            <v>F</v>
          </cell>
          <cell r="F620" t="str">
            <v>10%MT</v>
          </cell>
          <cell r="G620" t="str">
            <v>L</v>
          </cell>
          <cell r="H620">
            <v>5260</v>
          </cell>
          <cell r="K620" t="str">
            <v>WPS-TNHA-S10</v>
          </cell>
          <cell r="L620" t="str">
            <v>ST-02</v>
          </cell>
          <cell r="M620" t="str">
            <v>THÁI</v>
          </cell>
          <cell r="N620">
            <v>45971</v>
          </cell>
          <cell r="O620" t="str">
            <v>F-080</v>
          </cell>
          <cell r="P620" t="str">
            <v>26/11/2025</v>
          </cell>
          <cell r="Q620" t="str">
            <v>GTC-07;BGT-0032</v>
          </cell>
          <cell r="R620" t="str">
            <v>THÁI</v>
          </cell>
          <cell r="S620">
            <v>45990</v>
          </cell>
          <cell r="T620" t="str">
            <v>V-100</v>
          </cell>
          <cell r="Y620" t="str">
            <v>FINISH</v>
          </cell>
          <cell r="Z620" t="str">
            <v>ACC</v>
          </cell>
          <cell r="AA620" t="str">
            <v>ACC</v>
          </cell>
          <cell r="AB620" t="str">
            <v>MT-2211-ST-02-0026</v>
          </cell>
          <cell r="AC620" t="str">
            <v/>
          </cell>
          <cell r="AD620" t="str">
            <v/>
          </cell>
          <cell r="AJ620">
            <v>45992</v>
          </cell>
          <cell r="AK620" t="str">
            <v>FINAL-V-105</v>
          </cell>
        </row>
        <row r="621">
          <cell r="A621" t="str">
            <v>9001-2211-DL-0004-01-WM27</v>
          </cell>
          <cell r="B621" t="str">
            <v>9001-2211-DL-0004-01-WM</v>
          </cell>
          <cell r="C621">
            <v>27</v>
          </cell>
          <cell r="E621" t="str">
            <v>F</v>
          </cell>
          <cell r="F621" t="str">
            <v>10%MT</v>
          </cell>
          <cell r="G621" t="str">
            <v>L</v>
          </cell>
          <cell r="H621">
            <v>5260</v>
          </cell>
          <cell r="K621" t="str">
            <v>WPS-TNHA-S10</v>
          </cell>
          <cell r="L621" t="str">
            <v>ST-02</v>
          </cell>
          <cell r="M621" t="str">
            <v>THÁI</v>
          </cell>
          <cell r="N621">
            <v>45971</v>
          </cell>
          <cell r="O621" t="str">
            <v>F-080</v>
          </cell>
          <cell r="P621" t="str">
            <v>26/11/2025</v>
          </cell>
          <cell r="Q621" t="str">
            <v>GTC-07;BGT-0032</v>
          </cell>
          <cell r="R621" t="str">
            <v>THÁI</v>
          </cell>
          <cell r="S621">
            <v>45990</v>
          </cell>
          <cell r="T621" t="str">
            <v>V-100</v>
          </cell>
          <cell r="Y621" t="str">
            <v>FINISH</v>
          </cell>
          <cell r="Z621" t="str">
            <v>ACC</v>
          </cell>
          <cell r="AA621" t="str">
            <v>ACC</v>
          </cell>
          <cell r="AB621" t="str">
            <v>MT-2211-ST-02-0026</v>
          </cell>
          <cell r="AC621" t="str">
            <v/>
          </cell>
          <cell r="AD621" t="str">
            <v/>
          </cell>
          <cell r="AJ621">
            <v>45992</v>
          </cell>
          <cell r="AK621" t="str">
            <v>FINAL-V-105</v>
          </cell>
        </row>
        <row r="622">
          <cell r="A622" t="str">
            <v>9001-2211-DL-0004-01-WM28</v>
          </cell>
          <cell r="B622" t="str">
            <v>9001-2211-DL-0004-01-WM</v>
          </cell>
          <cell r="C622">
            <v>28</v>
          </cell>
          <cell r="E622" t="str">
            <v>F</v>
          </cell>
          <cell r="F622" t="str">
            <v>10%MT</v>
          </cell>
          <cell r="G622" t="str">
            <v>L</v>
          </cell>
          <cell r="H622">
            <v>5260</v>
          </cell>
          <cell r="K622" t="str">
            <v>WPS-TNHA-S10</v>
          </cell>
          <cell r="L622" t="str">
            <v>ST-02</v>
          </cell>
          <cell r="M622" t="str">
            <v>THÁI</v>
          </cell>
          <cell r="N622">
            <v>45971</v>
          </cell>
          <cell r="O622" t="str">
            <v>F-080</v>
          </cell>
          <cell r="P622" t="str">
            <v>26/11/2025</v>
          </cell>
          <cell r="Q622" t="str">
            <v>GTC-07;BGT-0032</v>
          </cell>
          <cell r="R622" t="str">
            <v>THÁI</v>
          </cell>
          <cell r="S622">
            <v>45990</v>
          </cell>
          <cell r="T622" t="str">
            <v>V-100</v>
          </cell>
          <cell r="Y622" t="str">
            <v>FINISH</v>
          </cell>
          <cell r="Z622" t="str">
            <v>ACC</v>
          </cell>
          <cell r="AA622" t="str">
            <v>ACC</v>
          </cell>
          <cell r="AB622" t="str">
            <v>MT-2211-ST-02-0026</v>
          </cell>
          <cell r="AC622" t="str">
            <v/>
          </cell>
          <cell r="AD622" t="str">
            <v/>
          </cell>
          <cell r="AJ622">
            <v>45992</v>
          </cell>
          <cell r="AK622" t="str">
            <v>FINAL-V-105</v>
          </cell>
        </row>
        <row r="623">
          <cell r="A623" t="str">
            <v>9001-2211-DL-0004-01-WM29</v>
          </cell>
          <cell r="B623" t="str">
            <v>9001-2211-DL-0004-01-WM</v>
          </cell>
          <cell r="C623">
            <v>29</v>
          </cell>
          <cell r="E623" t="str">
            <v>F</v>
          </cell>
          <cell r="F623" t="str">
            <v>10%MT</v>
          </cell>
          <cell r="G623" t="str">
            <v>L</v>
          </cell>
          <cell r="H623">
            <v>5260</v>
          </cell>
          <cell r="K623" t="str">
            <v>WPS-TNHA-S10</v>
          </cell>
          <cell r="L623" t="str">
            <v>ST-02</v>
          </cell>
          <cell r="M623" t="str">
            <v>THÁI</v>
          </cell>
          <cell r="N623">
            <v>45971</v>
          </cell>
          <cell r="O623" t="str">
            <v>F-080</v>
          </cell>
          <cell r="P623" t="str">
            <v>26/11/2025</v>
          </cell>
          <cell r="Q623" t="str">
            <v>GTC-07;BGT-0032</v>
          </cell>
          <cell r="R623" t="str">
            <v>THÁI</v>
          </cell>
          <cell r="S623">
            <v>45990</v>
          </cell>
          <cell r="T623" t="str">
            <v>V-100</v>
          </cell>
          <cell r="Y623" t="str">
            <v>FINISH</v>
          </cell>
          <cell r="Z623" t="str">
            <v>ACC</v>
          </cell>
          <cell r="AA623" t="str">
            <v>ACC</v>
          </cell>
          <cell r="AB623" t="str">
            <v>MT-2211-ST-02-0026</v>
          </cell>
          <cell r="AC623" t="str">
            <v/>
          </cell>
          <cell r="AD623" t="str">
            <v/>
          </cell>
          <cell r="AJ623">
            <v>45992</v>
          </cell>
          <cell r="AK623" t="str">
            <v>FINAL-V-105</v>
          </cell>
        </row>
        <row r="624">
          <cell r="A624" t="str">
            <v>9001-2211-DL-0004-01-WM30</v>
          </cell>
          <cell r="B624" t="str">
            <v>9001-2211-DL-0004-01-WM</v>
          </cell>
          <cell r="C624">
            <v>30</v>
          </cell>
          <cell r="E624" t="str">
            <v>F</v>
          </cell>
          <cell r="F624" t="str">
            <v>10%MT</v>
          </cell>
          <cell r="G624" t="str">
            <v>L</v>
          </cell>
          <cell r="H624">
            <v>5260</v>
          </cell>
          <cell r="K624" t="str">
            <v>WPS-TNHA-S10</v>
          </cell>
          <cell r="L624" t="str">
            <v>ST-02</v>
          </cell>
          <cell r="M624" t="str">
            <v>THÁI</v>
          </cell>
          <cell r="N624">
            <v>45971</v>
          </cell>
          <cell r="O624" t="str">
            <v>F-080</v>
          </cell>
          <cell r="P624" t="str">
            <v>26/11/2025</v>
          </cell>
          <cell r="Q624" t="str">
            <v>GTC-07;BGT-0032</v>
          </cell>
          <cell r="R624" t="str">
            <v>THÁI</v>
          </cell>
          <cell r="S624">
            <v>45990</v>
          </cell>
          <cell r="T624" t="str">
            <v>V-100</v>
          </cell>
          <cell r="Y624" t="str">
            <v>FINISH</v>
          </cell>
          <cell r="Z624" t="str">
            <v>ACC</v>
          </cell>
          <cell r="AA624" t="str">
            <v>ACC</v>
          </cell>
          <cell r="AB624" t="str">
            <v>MT-2211-ST-02-0026</v>
          </cell>
          <cell r="AC624" t="str">
            <v/>
          </cell>
          <cell r="AD624" t="str">
            <v/>
          </cell>
          <cell r="AJ624">
            <v>45992</v>
          </cell>
          <cell r="AK624" t="str">
            <v>FINAL-V-105</v>
          </cell>
        </row>
        <row r="625">
          <cell r="A625" t="str">
            <v>9001-2211-DL-0004-01-WM31</v>
          </cell>
          <cell r="B625" t="str">
            <v>9001-2211-DL-0004-01-WM</v>
          </cell>
          <cell r="C625">
            <v>31</v>
          </cell>
          <cell r="E625" t="str">
            <v>F</v>
          </cell>
          <cell r="F625" t="str">
            <v>10%MT</v>
          </cell>
          <cell r="G625" t="str">
            <v>L</v>
          </cell>
          <cell r="H625">
            <v>5260</v>
          </cell>
          <cell r="K625" t="str">
            <v>WPS-TNHA-S10</v>
          </cell>
          <cell r="L625" t="str">
            <v>ST-02</v>
          </cell>
          <cell r="M625" t="str">
            <v>THÁI</v>
          </cell>
          <cell r="N625">
            <v>45971</v>
          </cell>
          <cell r="O625" t="str">
            <v>F-080</v>
          </cell>
          <cell r="P625" t="str">
            <v>26/11/2025</v>
          </cell>
          <cell r="Q625" t="str">
            <v>GTC-07;BGT-0032</v>
          </cell>
          <cell r="R625" t="str">
            <v>THÁI</v>
          </cell>
          <cell r="S625">
            <v>45990</v>
          </cell>
          <cell r="T625" t="str">
            <v>V-100</v>
          </cell>
          <cell r="Y625" t="str">
            <v>FINISH</v>
          </cell>
          <cell r="Z625" t="str">
            <v>ACC</v>
          </cell>
          <cell r="AA625" t="str">
            <v>ACC</v>
          </cell>
          <cell r="AB625" t="str">
            <v>MT-2211-ST-02-0027</v>
          </cell>
          <cell r="AC625" t="str">
            <v/>
          </cell>
          <cell r="AD625" t="str">
            <v/>
          </cell>
          <cell r="AJ625">
            <v>45992</v>
          </cell>
          <cell r="AK625" t="str">
            <v>FINAL-V-105</v>
          </cell>
        </row>
        <row r="626">
          <cell r="A626" t="str">
            <v>9001-2211-DL-0004-01-WM32</v>
          </cell>
          <cell r="B626" t="str">
            <v>9001-2211-DL-0004-01-WM</v>
          </cell>
          <cell r="C626">
            <v>32</v>
          </cell>
          <cell r="E626" t="str">
            <v>F</v>
          </cell>
          <cell r="F626" t="str">
            <v>10%MT</v>
          </cell>
          <cell r="G626" t="str">
            <v>L</v>
          </cell>
          <cell r="H626">
            <v>5260</v>
          </cell>
          <cell r="K626" t="str">
            <v>WPS-TNHA-S10</v>
          </cell>
          <cell r="L626" t="str">
            <v>ST-02</v>
          </cell>
          <cell r="M626" t="str">
            <v>THÁI</v>
          </cell>
          <cell r="N626">
            <v>45971</v>
          </cell>
          <cell r="O626" t="str">
            <v>F-080</v>
          </cell>
          <cell r="P626" t="str">
            <v>26/11/2025</v>
          </cell>
          <cell r="Q626" t="str">
            <v>GTC-07;BGT-0032</v>
          </cell>
          <cell r="R626" t="str">
            <v>THÁI</v>
          </cell>
          <cell r="S626">
            <v>45990</v>
          </cell>
          <cell r="T626" t="str">
            <v>V-100</v>
          </cell>
          <cell r="Y626" t="str">
            <v>FINISH</v>
          </cell>
          <cell r="Z626" t="str">
            <v>ACC</v>
          </cell>
          <cell r="AA626" t="str">
            <v>ACC</v>
          </cell>
          <cell r="AB626" t="str">
            <v>MT-2211-ST-02-0027</v>
          </cell>
          <cell r="AC626" t="str">
            <v/>
          </cell>
          <cell r="AD626" t="str">
            <v/>
          </cell>
          <cell r="AJ626">
            <v>45992</v>
          </cell>
          <cell r="AK626" t="str">
            <v>FINAL-V-105</v>
          </cell>
        </row>
        <row r="627">
          <cell r="A627" t="str">
            <v>9001-2211-DL-0005-01-WM1</v>
          </cell>
          <cell r="B627" t="str">
            <v>9001-2211-DL-0005-01-WM</v>
          </cell>
          <cell r="C627">
            <v>1</v>
          </cell>
          <cell r="E627" t="str">
            <v>F</v>
          </cell>
          <cell r="F627" t="str">
            <v>10%MT</v>
          </cell>
          <cell r="G627" t="str">
            <v>L</v>
          </cell>
          <cell r="H627">
            <v>5260</v>
          </cell>
          <cell r="K627" t="str">
            <v>WPS-TNHA-S10</v>
          </cell>
          <cell r="L627" t="str">
            <v>ST-03</v>
          </cell>
          <cell r="Y627" t="str">
            <v>NOT YET FITUP</v>
          </cell>
        </row>
        <row r="628">
          <cell r="A628" t="str">
            <v>9001-2211-DL-0005-01-WM2</v>
          </cell>
          <cell r="B628" t="str">
            <v>9001-2211-DL-0005-01-WM</v>
          </cell>
          <cell r="C628">
            <v>2</v>
          </cell>
          <cell r="E628" t="str">
            <v>F</v>
          </cell>
          <cell r="F628" t="str">
            <v>10%MT</v>
          </cell>
          <cell r="G628" t="str">
            <v>L</v>
          </cell>
          <cell r="H628">
            <v>5260</v>
          </cell>
          <cell r="K628" t="str">
            <v>WPS-TNHA-S10</v>
          </cell>
          <cell r="L628" t="str">
            <v>ST-03</v>
          </cell>
          <cell r="Y628" t="str">
            <v>NOT YET FITUP</v>
          </cell>
        </row>
        <row r="629">
          <cell r="A629" t="str">
            <v>9001-2211-DL-0005-01-WM3</v>
          </cell>
          <cell r="B629" t="str">
            <v>9001-2211-DL-0005-01-WM</v>
          </cell>
          <cell r="C629">
            <v>3</v>
          </cell>
          <cell r="E629" t="str">
            <v>F</v>
          </cell>
          <cell r="F629" t="str">
            <v>10%MT</v>
          </cell>
          <cell r="G629" t="str">
            <v>L</v>
          </cell>
          <cell r="H629">
            <v>5260</v>
          </cell>
          <cell r="K629" t="str">
            <v>WPS-TNHA-S10</v>
          </cell>
          <cell r="L629" t="str">
            <v>ST-03</v>
          </cell>
          <cell r="Y629" t="str">
            <v>NOT YET FITUP</v>
          </cell>
        </row>
        <row r="630">
          <cell r="A630" t="str">
            <v>9001-2211-DL-0005-01-WM4</v>
          </cell>
          <cell r="B630" t="str">
            <v>9001-2211-DL-0005-01-WM</v>
          </cell>
          <cell r="C630">
            <v>4</v>
          </cell>
          <cell r="E630" t="str">
            <v>F</v>
          </cell>
          <cell r="F630" t="str">
            <v>10%MT</v>
          </cell>
          <cell r="G630" t="str">
            <v>L</v>
          </cell>
          <cell r="H630">
            <v>5260</v>
          </cell>
          <cell r="K630" t="str">
            <v>WPS-TNHA-S10</v>
          </cell>
          <cell r="L630" t="str">
            <v>ST-03</v>
          </cell>
          <cell r="Y630" t="str">
            <v>NOT YET FITUP</v>
          </cell>
        </row>
        <row r="631">
          <cell r="A631" t="str">
            <v>9001-2211-DL-0005-01-WM5</v>
          </cell>
          <cell r="B631" t="str">
            <v>9001-2211-DL-0005-01-WM</v>
          </cell>
          <cell r="C631">
            <v>5</v>
          </cell>
          <cell r="E631" t="str">
            <v>F</v>
          </cell>
          <cell r="F631" t="str">
            <v>10%MT</v>
          </cell>
          <cell r="G631" t="str">
            <v>L</v>
          </cell>
          <cell r="H631">
            <v>5260</v>
          </cell>
          <cell r="K631" t="str">
            <v>WPS-TNHA-S10</v>
          </cell>
          <cell r="L631" t="str">
            <v>ST-03</v>
          </cell>
          <cell r="Y631" t="str">
            <v>NOT YET FITUP</v>
          </cell>
        </row>
        <row r="632">
          <cell r="A632" t="str">
            <v>9001-2211-DL-0005-01-WM6</v>
          </cell>
          <cell r="B632" t="str">
            <v>9001-2211-DL-0005-01-WM</v>
          </cell>
          <cell r="C632">
            <v>6</v>
          </cell>
          <cell r="E632" t="str">
            <v>F</v>
          </cell>
          <cell r="F632" t="str">
            <v>10%MT</v>
          </cell>
          <cell r="G632" t="str">
            <v>L</v>
          </cell>
          <cell r="H632">
            <v>5260</v>
          </cell>
          <cell r="K632" t="str">
            <v>WPS-TNHA-S10</v>
          </cell>
          <cell r="L632" t="str">
            <v>ST-03</v>
          </cell>
          <cell r="Y632" t="str">
            <v>NOT YET FITUP</v>
          </cell>
        </row>
        <row r="633">
          <cell r="A633" t="str">
            <v>9001-2211-DL-0005-01-WM7</v>
          </cell>
          <cell r="B633" t="str">
            <v>9001-2211-DL-0005-01-WM</v>
          </cell>
          <cell r="C633">
            <v>7</v>
          </cell>
          <cell r="E633" t="str">
            <v>F</v>
          </cell>
          <cell r="F633" t="str">
            <v>10%MT</v>
          </cell>
          <cell r="G633" t="str">
            <v>L</v>
          </cell>
          <cell r="H633">
            <v>5260</v>
          </cell>
          <cell r="K633" t="str">
            <v>WPS-TNHA-S10</v>
          </cell>
          <cell r="L633" t="str">
            <v>ST-03</v>
          </cell>
          <cell r="Y633" t="str">
            <v>NOT YET FITUP</v>
          </cell>
        </row>
        <row r="634">
          <cell r="A634" t="str">
            <v>9001-2211-DL-0005-01-WM8</v>
          </cell>
          <cell r="B634" t="str">
            <v>9001-2211-DL-0005-01-WM</v>
          </cell>
          <cell r="C634">
            <v>8</v>
          </cell>
          <cell r="E634" t="str">
            <v>F</v>
          </cell>
          <cell r="F634" t="str">
            <v>10%MT</v>
          </cell>
          <cell r="G634" t="str">
            <v>L</v>
          </cell>
          <cell r="H634">
            <v>5260</v>
          </cell>
          <cell r="K634" t="str">
            <v>WPS-TNHA-S10</v>
          </cell>
          <cell r="L634" t="str">
            <v>ST-03</v>
          </cell>
          <cell r="Y634" t="str">
            <v>NOT YET FITUP</v>
          </cell>
        </row>
        <row r="635">
          <cell r="A635" t="str">
            <v>9001-2211-DL-0005-01-WM9</v>
          </cell>
          <cell r="B635" t="str">
            <v>9001-2211-DL-0005-01-WM</v>
          </cell>
          <cell r="C635">
            <v>9</v>
          </cell>
          <cell r="E635" t="str">
            <v>F</v>
          </cell>
          <cell r="F635" t="str">
            <v>10%MT</v>
          </cell>
          <cell r="G635" t="str">
            <v>L</v>
          </cell>
          <cell r="H635">
            <v>5260</v>
          </cell>
          <cell r="K635" t="str">
            <v>WPS-TNHA-S10</v>
          </cell>
          <cell r="L635" t="str">
            <v>ST-03</v>
          </cell>
          <cell r="Y635" t="str">
            <v>NOT YET FITUP</v>
          </cell>
        </row>
        <row r="636">
          <cell r="A636" t="str">
            <v>9001-2211-DL-0005-01-WM10</v>
          </cell>
          <cell r="B636" t="str">
            <v>9001-2211-DL-0005-01-WM</v>
          </cell>
          <cell r="C636">
            <v>10</v>
          </cell>
          <cell r="E636" t="str">
            <v>F</v>
          </cell>
          <cell r="F636" t="str">
            <v>10%MT</v>
          </cell>
          <cell r="G636" t="str">
            <v>L</v>
          </cell>
          <cell r="H636">
            <v>5260</v>
          </cell>
          <cell r="K636" t="str">
            <v>WPS-TNHA-S10</v>
          </cell>
          <cell r="L636" t="str">
            <v>ST-03</v>
          </cell>
          <cell r="Y636" t="str">
            <v>NOT YET FITUP</v>
          </cell>
        </row>
        <row r="637">
          <cell r="A637" t="str">
            <v>9001-2211-DL-0005-01-WM11</v>
          </cell>
          <cell r="B637" t="str">
            <v>9001-2211-DL-0005-01-WM</v>
          </cell>
          <cell r="C637">
            <v>11</v>
          </cell>
          <cell r="E637" t="str">
            <v>F</v>
          </cell>
          <cell r="F637" t="str">
            <v>10%MT</v>
          </cell>
          <cell r="G637" t="str">
            <v>L</v>
          </cell>
          <cell r="H637">
            <v>5260</v>
          </cell>
          <cell r="K637" t="str">
            <v>WPS-TNHA-S10</v>
          </cell>
          <cell r="L637" t="str">
            <v>ST-03</v>
          </cell>
          <cell r="Y637" t="str">
            <v>NOT YET FITUP</v>
          </cell>
        </row>
        <row r="638">
          <cell r="A638" t="str">
            <v>9001-2211-DL-0005-01-WM12</v>
          </cell>
          <cell r="B638" t="str">
            <v>9001-2211-DL-0005-01-WM</v>
          </cell>
          <cell r="C638">
            <v>12</v>
          </cell>
          <cell r="E638" t="str">
            <v>F</v>
          </cell>
          <cell r="F638" t="str">
            <v>10%MT</v>
          </cell>
          <cell r="G638" t="str">
            <v>L</v>
          </cell>
          <cell r="H638">
            <v>5260</v>
          </cell>
          <cell r="K638" t="str">
            <v>WPS-TNHA-S10</v>
          </cell>
          <cell r="L638" t="str">
            <v>ST-03</v>
          </cell>
          <cell r="Y638" t="str">
            <v>NOT YET FITUP</v>
          </cell>
        </row>
        <row r="639">
          <cell r="A639" t="str">
            <v>9001-2211-DL-0005-01-WM13</v>
          </cell>
          <cell r="B639" t="str">
            <v>9001-2211-DL-0005-01-WM</v>
          </cell>
          <cell r="C639">
            <v>13</v>
          </cell>
          <cell r="E639" t="str">
            <v>F</v>
          </cell>
          <cell r="F639" t="str">
            <v>10%MT</v>
          </cell>
          <cell r="G639" t="str">
            <v>L</v>
          </cell>
          <cell r="H639">
            <v>5260</v>
          </cell>
          <cell r="K639" t="str">
            <v>WPS-TNHA-S10</v>
          </cell>
          <cell r="L639" t="str">
            <v>ST-03</v>
          </cell>
          <cell r="Y639" t="str">
            <v>NOT YET FITUP</v>
          </cell>
        </row>
        <row r="640">
          <cell r="A640" t="str">
            <v>9001-2211-DL-0005-01-WM14</v>
          </cell>
          <cell r="B640" t="str">
            <v>9001-2211-DL-0005-01-WM</v>
          </cell>
          <cell r="C640">
            <v>14</v>
          </cell>
          <cell r="E640" t="str">
            <v>F</v>
          </cell>
          <cell r="F640" t="str">
            <v>10%MT</v>
          </cell>
          <cell r="G640" t="str">
            <v>L</v>
          </cell>
          <cell r="H640">
            <v>5260</v>
          </cell>
          <cell r="K640" t="str">
            <v>WPS-TNHA-S10</v>
          </cell>
          <cell r="L640" t="str">
            <v>ST-03</v>
          </cell>
          <cell r="Y640" t="str">
            <v>NOT YET FITUP</v>
          </cell>
        </row>
        <row r="641">
          <cell r="A641" t="str">
            <v>9001-2211-DL-0005-01-WM15</v>
          </cell>
          <cell r="B641" t="str">
            <v>9001-2211-DL-0005-01-WM</v>
          </cell>
          <cell r="C641">
            <v>15</v>
          </cell>
          <cell r="E641" t="str">
            <v>F</v>
          </cell>
          <cell r="F641" t="str">
            <v>10%MT</v>
          </cell>
          <cell r="G641" t="str">
            <v>L</v>
          </cell>
          <cell r="H641">
            <v>5260</v>
          </cell>
          <cell r="K641" t="str">
            <v>WPS-TNHA-S10</v>
          </cell>
          <cell r="L641" t="str">
            <v>ST-03</v>
          </cell>
          <cell r="Y641" t="str">
            <v>NOT YET FITUP</v>
          </cell>
        </row>
        <row r="642">
          <cell r="A642" t="str">
            <v>9001-2211-DL-0005-01-WM16</v>
          </cell>
          <cell r="B642" t="str">
            <v>9001-2211-DL-0005-01-WM</v>
          </cell>
          <cell r="C642">
            <v>16</v>
          </cell>
          <cell r="E642" t="str">
            <v>F</v>
          </cell>
          <cell r="F642" t="str">
            <v>10%MT</v>
          </cell>
          <cell r="G642" t="str">
            <v>L</v>
          </cell>
          <cell r="H642">
            <v>5260</v>
          </cell>
          <cell r="K642" t="str">
            <v>WPS-TNHA-S10</v>
          </cell>
          <cell r="L642" t="str">
            <v>ST-03</v>
          </cell>
          <cell r="Y642" t="str">
            <v>NOT YET FITUP</v>
          </cell>
        </row>
        <row r="643">
          <cell r="A643" t="str">
            <v>9001-2211-DL-0005-01-WM17</v>
          </cell>
          <cell r="B643" t="str">
            <v>9001-2211-DL-0005-01-WM</v>
          </cell>
          <cell r="C643">
            <v>17</v>
          </cell>
          <cell r="E643" t="str">
            <v>F</v>
          </cell>
          <cell r="F643" t="str">
            <v>10%MT</v>
          </cell>
          <cell r="G643" t="str">
            <v>L</v>
          </cell>
          <cell r="H643">
            <v>5260</v>
          </cell>
          <cell r="K643" t="str">
            <v>WPS-TNHA-S10</v>
          </cell>
          <cell r="L643" t="str">
            <v>ST-03</v>
          </cell>
          <cell r="Y643" t="str">
            <v>NOT YET FITUP</v>
          </cell>
        </row>
        <row r="644">
          <cell r="A644" t="str">
            <v>9001-2211-DL-0005-01-WM18</v>
          </cell>
          <cell r="B644" t="str">
            <v>9001-2211-DL-0005-01-WM</v>
          </cell>
          <cell r="C644">
            <v>18</v>
          </cell>
          <cell r="E644" t="str">
            <v>F</v>
          </cell>
          <cell r="F644" t="str">
            <v>10%MT</v>
          </cell>
          <cell r="G644" t="str">
            <v>L</v>
          </cell>
          <cell r="H644">
            <v>5260</v>
          </cell>
          <cell r="K644" t="str">
            <v>WPS-TNHA-S10</v>
          </cell>
          <cell r="L644" t="str">
            <v>ST-03</v>
          </cell>
          <cell r="Y644" t="str">
            <v>NOT YET FITUP</v>
          </cell>
        </row>
        <row r="645">
          <cell r="A645" t="str">
            <v>9001-2211-DL-0005-01-WM19</v>
          </cell>
          <cell r="B645" t="str">
            <v>9001-2211-DL-0005-01-WM</v>
          </cell>
          <cell r="C645">
            <v>19</v>
          </cell>
          <cell r="E645" t="str">
            <v>F</v>
          </cell>
          <cell r="F645" t="str">
            <v>10%MT</v>
          </cell>
          <cell r="G645" t="str">
            <v>L</v>
          </cell>
          <cell r="H645">
            <v>5260</v>
          </cell>
          <cell r="K645" t="str">
            <v>WPS-TNHA-S10</v>
          </cell>
          <cell r="L645" t="str">
            <v>ST-03</v>
          </cell>
          <cell r="Y645" t="str">
            <v>NOT YET FITUP</v>
          </cell>
        </row>
        <row r="646">
          <cell r="A646" t="str">
            <v>9001-2211-DL-0005-01-WM20</v>
          </cell>
          <cell r="B646" t="str">
            <v>9001-2211-DL-0005-01-WM</v>
          </cell>
          <cell r="C646">
            <v>20</v>
          </cell>
          <cell r="E646" t="str">
            <v>F</v>
          </cell>
          <cell r="F646" t="str">
            <v>10%MT</v>
          </cell>
          <cell r="G646" t="str">
            <v>L</v>
          </cell>
          <cell r="H646">
            <v>5260</v>
          </cell>
          <cell r="K646" t="str">
            <v>WPS-TNHA-S10</v>
          </cell>
          <cell r="L646" t="str">
            <v>ST-03</v>
          </cell>
          <cell r="Y646" t="str">
            <v>NOT YET FITUP</v>
          </cell>
        </row>
        <row r="647">
          <cell r="A647" t="str">
            <v>9001-2211-DL-0005-01-WM21</v>
          </cell>
          <cell r="B647" t="str">
            <v>9001-2211-DL-0005-01-WM</v>
          </cell>
          <cell r="C647">
            <v>21</v>
          </cell>
          <cell r="E647" t="str">
            <v>F</v>
          </cell>
          <cell r="F647" t="str">
            <v>10%MT</v>
          </cell>
          <cell r="G647" t="str">
            <v>L</v>
          </cell>
          <cell r="H647">
            <v>5260</v>
          </cell>
          <cell r="K647" t="str">
            <v>WPS-TNHA-S10</v>
          </cell>
          <cell r="L647" t="str">
            <v>ST-03</v>
          </cell>
          <cell r="Y647" t="str">
            <v>NOT YET FITUP</v>
          </cell>
        </row>
        <row r="648">
          <cell r="A648" t="str">
            <v>9001-2211-DL-0005-01-WM22</v>
          </cell>
          <cell r="B648" t="str">
            <v>9001-2211-DL-0005-01-WM</v>
          </cell>
          <cell r="C648">
            <v>22</v>
          </cell>
          <cell r="E648" t="str">
            <v>F</v>
          </cell>
          <cell r="F648" t="str">
            <v>10%MT</v>
          </cell>
          <cell r="G648" t="str">
            <v>L</v>
          </cell>
          <cell r="H648">
            <v>5260</v>
          </cell>
          <cell r="K648" t="str">
            <v>WPS-TNHA-S10</v>
          </cell>
          <cell r="L648" t="str">
            <v>ST-03</v>
          </cell>
          <cell r="Y648" t="str">
            <v>NOT YET FITUP</v>
          </cell>
        </row>
        <row r="649">
          <cell r="A649" t="str">
            <v>9001-2211-DL-0005-01-WM23</v>
          </cell>
          <cell r="B649" t="str">
            <v>9001-2211-DL-0005-01-WM</v>
          </cell>
          <cell r="C649">
            <v>23</v>
          </cell>
          <cell r="E649" t="str">
            <v>F</v>
          </cell>
          <cell r="F649" t="str">
            <v>10%MT</v>
          </cell>
          <cell r="G649" t="str">
            <v>L</v>
          </cell>
          <cell r="H649">
            <v>5260</v>
          </cell>
          <cell r="K649" t="str">
            <v>WPS-TNHA-S10</v>
          </cell>
          <cell r="L649" t="str">
            <v>ST-03</v>
          </cell>
          <cell r="Y649" t="str">
            <v>NOT YET FITUP</v>
          </cell>
        </row>
        <row r="650">
          <cell r="A650" t="str">
            <v>9001-2211-DL-0005-01-WM24</v>
          </cell>
          <cell r="B650" t="str">
            <v>9001-2211-DL-0005-01-WM</v>
          </cell>
          <cell r="C650">
            <v>24</v>
          </cell>
          <cell r="E650" t="str">
            <v>F</v>
          </cell>
          <cell r="F650" t="str">
            <v>10%MT</v>
          </cell>
          <cell r="G650" t="str">
            <v>L</v>
          </cell>
          <cell r="H650">
            <v>5260</v>
          </cell>
          <cell r="K650" t="str">
            <v>WPS-TNHA-S10</v>
          </cell>
          <cell r="L650" t="str">
            <v>ST-03</v>
          </cell>
          <cell r="Y650" t="str">
            <v>NOT YET FITUP</v>
          </cell>
        </row>
        <row r="651">
          <cell r="A651" t="str">
            <v>9001-2211-DL-0005-01-WM25</v>
          </cell>
          <cell r="B651" t="str">
            <v>9001-2211-DL-0005-01-WM</v>
          </cell>
          <cell r="C651">
            <v>25</v>
          </cell>
          <cell r="E651" t="str">
            <v>F</v>
          </cell>
          <cell r="F651" t="str">
            <v>10%MT</v>
          </cell>
          <cell r="G651" t="str">
            <v>L</v>
          </cell>
          <cell r="H651">
            <v>5260</v>
          </cell>
          <cell r="K651" t="str">
            <v>WPS-TNHA-S10</v>
          </cell>
          <cell r="L651" t="str">
            <v>ST-03</v>
          </cell>
          <cell r="Y651" t="str">
            <v>NOT YET FITUP</v>
          </cell>
        </row>
        <row r="652">
          <cell r="A652" t="str">
            <v>9001-2211-DL-0005-01-WM26</v>
          </cell>
          <cell r="B652" t="str">
            <v>9001-2211-DL-0005-01-WM</v>
          </cell>
          <cell r="C652">
            <v>26</v>
          </cell>
          <cell r="E652" t="str">
            <v>F</v>
          </cell>
          <cell r="F652" t="str">
            <v>10%MT</v>
          </cell>
          <cell r="G652" t="str">
            <v>L</v>
          </cell>
          <cell r="H652">
            <v>5260</v>
          </cell>
          <cell r="K652" t="str">
            <v>WPS-TNHA-S10</v>
          </cell>
          <cell r="L652" t="str">
            <v>ST-03</v>
          </cell>
          <cell r="Y652" t="str">
            <v>NOT YET FITUP</v>
          </cell>
        </row>
        <row r="653">
          <cell r="A653" t="str">
            <v>9001-2211-DL-0005-01-WM27</v>
          </cell>
          <cell r="B653" t="str">
            <v>9001-2211-DL-0005-01-WM</v>
          </cell>
          <cell r="C653">
            <v>27</v>
          </cell>
          <cell r="E653" t="str">
            <v>F</v>
          </cell>
          <cell r="F653" t="str">
            <v>10%MT</v>
          </cell>
          <cell r="G653" t="str">
            <v>L</v>
          </cell>
          <cell r="H653">
            <v>5260</v>
          </cell>
          <cell r="K653" t="str">
            <v>WPS-TNHA-S10</v>
          </cell>
          <cell r="L653" t="str">
            <v>ST-03</v>
          </cell>
          <cell r="Y653" t="str">
            <v>NOT YET FITUP</v>
          </cell>
        </row>
        <row r="654">
          <cell r="A654" t="str">
            <v>9001-2211-DL-0005-01-WM28</v>
          </cell>
          <cell r="B654" t="str">
            <v>9001-2211-DL-0005-01-WM</v>
          </cell>
          <cell r="C654">
            <v>28</v>
          </cell>
          <cell r="E654" t="str">
            <v>F</v>
          </cell>
          <cell r="F654" t="str">
            <v>10%MT</v>
          </cell>
          <cell r="G654" t="str">
            <v>L</v>
          </cell>
          <cell r="H654">
            <v>5260</v>
          </cell>
          <cell r="K654" t="str">
            <v>WPS-TNHA-S10</v>
          </cell>
          <cell r="L654" t="str">
            <v>ST-03</v>
          </cell>
          <cell r="Y654" t="str">
            <v>NOT YET FITUP</v>
          </cell>
        </row>
        <row r="655">
          <cell r="A655" t="str">
            <v>9001-2211-DL-0006-01-WM1</v>
          </cell>
          <cell r="B655" t="str">
            <v>9001-2211-DL-0006-01-WM</v>
          </cell>
          <cell r="C655">
            <v>1</v>
          </cell>
          <cell r="E655" t="str">
            <v>F</v>
          </cell>
          <cell r="F655" t="str">
            <v>10%MT</v>
          </cell>
          <cell r="G655" t="str">
            <v>L</v>
          </cell>
          <cell r="H655">
            <v>5260</v>
          </cell>
          <cell r="K655" t="str">
            <v>WPS-TNHA-S10</v>
          </cell>
          <cell r="L655" t="str">
            <v>ST-04</v>
          </cell>
          <cell r="Y655" t="str">
            <v>NOT YET FITUP</v>
          </cell>
        </row>
        <row r="656">
          <cell r="A656" t="str">
            <v>9001-2211-DL-0006-01-WM2</v>
          </cell>
          <cell r="B656" t="str">
            <v>9001-2211-DL-0006-01-WM</v>
          </cell>
          <cell r="C656">
            <v>2</v>
          </cell>
          <cell r="E656" t="str">
            <v>F</v>
          </cell>
          <cell r="F656" t="str">
            <v>10%MT</v>
          </cell>
          <cell r="G656" t="str">
            <v>L</v>
          </cell>
          <cell r="H656">
            <v>5260</v>
          </cell>
          <cell r="K656" t="str">
            <v>WPS-TNHA-S10</v>
          </cell>
          <cell r="L656" t="str">
            <v>ST-04</v>
          </cell>
          <cell r="Y656" t="str">
            <v>NOT YET FITUP</v>
          </cell>
        </row>
        <row r="657">
          <cell r="A657" t="str">
            <v>9001-2211-DL-0006-01-WM3</v>
          </cell>
          <cell r="B657" t="str">
            <v>9001-2211-DL-0006-01-WM</v>
          </cell>
          <cell r="C657">
            <v>3</v>
          </cell>
          <cell r="E657" t="str">
            <v>F</v>
          </cell>
          <cell r="F657" t="str">
            <v>10%MT</v>
          </cell>
          <cell r="G657" t="str">
            <v>L</v>
          </cell>
          <cell r="H657">
            <v>5260</v>
          </cell>
          <cell r="K657" t="str">
            <v>WPS-TNHA-S10</v>
          </cell>
          <cell r="L657" t="str">
            <v>ST-04</v>
          </cell>
          <cell r="Y657" t="str">
            <v>NOT YET FITUP</v>
          </cell>
        </row>
        <row r="658">
          <cell r="A658" t="str">
            <v>9001-2211-DL-0006-01-WM4</v>
          </cell>
          <cell r="B658" t="str">
            <v>9001-2211-DL-0006-01-WM</v>
          </cell>
          <cell r="C658">
            <v>4</v>
          </cell>
          <cell r="E658" t="str">
            <v>F</v>
          </cell>
          <cell r="F658" t="str">
            <v>10%MT</v>
          </cell>
          <cell r="G658" t="str">
            <v>L</v>
          </cell>
          <cell r="H658">
            <v>5260</v>
          </cell>
          <cell r="K658" t="str">
            <v>WPS-TNHA-S10</v>
          </cell>
          <cell r="L658" t="str">
            <v>ST-04</v>
          </cell>
          <cell r="Y658" t="str">
            <v>NOT YET FITUP</v>
          </cell>
        </row>
        <row r="659">
          <cell r="A659" t="str">
            <v>9001-2211-DL-0006-01-WM5</v>
          </cell>
          <cell r="B659" t="str">
            <v>9001-2211-DL-0006-01-WM</v>
          </cell>
          <cell r="C659">
            <v>5</v>
          </cell>
          <cell r="E659" t="str">
            <v>F</v>
          </cell>
          <cell r="F659" t="str">
            <v>10%MT</v>
          </cell>
          <cell r="G659" t="str">
            <v>L</v>
          </cell>
          <cell r="H659">
            <v>5260</v>
          </cell>
          <cell r="K659" t="str">
            <v>WPS-TNHA-S10</v>
          </cell>
          <cell r="L659" t="str">
            <v>ST-04</v>
          </cell>
          <cell r="Y659" t="str">
            <v>NOT YET FITUP</v>
          </cell>
        </row>
        <row r="660">
          <cell r="A660" t="str">
            <v>9001-2211-DL-0006-01-WM6</v>
          </cell>
          <cell r="B660" t="str">
            <v>9001-2211-DL-0006-01-WM</v>
          </cell>
          <cell r="C660">
            <v>6</v>
          </cell>
          <cell r="E660" t="str">
            <v>F</v>
          </cell>
          <cell r="F660" t="str">
            <v>10%MT</v>
          </cell>
          <cell r="G660" t="str">
            <v>L</v>
          </cell>
          <cell r="H660">
            <v>5260</v>
          </cell>
          <cell r="K660" t="str">
            <v>WPS-TNHA-S10</v>
          </cell>
          <cell r="L660" t="str">
            <v>ST-04</v>
          </cell>
          <cell r="Y660" t="str">
            <v>NOT YET FITUP</v>
          </cell>
        </row>
        <row r="661">
          <cell r="A661" t="str">
            <v>9001-2211-DL-0006-01-WM7</v>
          </cell>
          <cell r="B661" t="str">
            <v>9001-2211-DL-0006-01-WM</v>
          </cell>
          <cell r="C661">
            <v>7</v>
          </cell>
          <cell r="E661" t="str">
            <v>F</v>
          </cell>
          <cell r="F661" t="str">
            <v>10%MT</v>
          </cell>
          <cell r="G661" t="str">
            <v>L</v>
          </cell>
          <cell r="H661">
            <v>5260</v>
          </cell>
          <cell r="K661" t="str">
            <v>WPS-TNHA-S10</v>
          </cell>
          <cell r="L661" t="str">
            <v>ST-04</v>
          </cell>
          <cell r="Y661" t="str">
            <v>NOT YET FITUP</v>
          </cell>
        </row>
        <row r="662">
          <cell r="A662" t="str">
            <v>9001-2211-DL-0006-01-WM8</v>
          </cell>
          <cell r="B662" t="str">
            <v>9001-2211-DL-0006-01-WM</v>
          </cell>
          <cell r="C662">
            <v>8</v>
          </cell>
          <cell r="E662" t="str">
            <v>F</v>
          </cell>
          <cell r="F662" t="str">
            <v>10%MT</v>
          </cell>
          <cell r="G662" t="str">
            <v>L</v>
          </cell>
          <cell r="H662">
            <v>5260</v>
          </cell>
          <cell r="K662" t="str">
            <v>WPS-TNHA-S10</v>
          </cell>
          <cell r="L662" t="str">
            <v>ST-04</v>
          </cell>
          <cell r="Y662" t="str">
            <v>NOT YET FITUP</v>
          </cell>
        </row>
        <row r="663">
          <cell r="A663" t="str">
            <v>9001-2211-DL-0006-01-WM9</v>
          </cell>
          <cell r="B663" t="str">
            <v>9001-2211-DL-0006-01-WM</v>
          </cell>
          <cell r="C663">
            <v>9</v>
          </cell>
          <cell r="E663" t="str">
            <v>F</v>
          </cell>
          <cell r="F663" t="str">
            <v>10%MT</v>
          </cell>
          <cell r="G663" t="str">
            <v>L</v>
          </cell>
          <cell r="H663">
            <v>5260</v>
          </cell>
          <cell r="K663" t="str">
            <v>WPS-TNHA-S10</v>
          </cell>
          <cell r="L663" t="str">
            <v>ST-04</v>
          </cell>
          <cell r="Y663" t="str">
            <v>NOT YET FITUP</v>
          </cell>
        </row>
        <row r="664">
          <cell r="A664" t="str">
            <v>9001-2211-DL-0006-01-WM10</v>
          </cell>
          <cell r="B664" t="str">
            <v>9001-2211-DL-0006-01-WM</v>
          </cell>
          <cell r="C664">
            <v>10</v>
          </cell>
          <cell r="E664" t="str">
            <v>F</v>
          </cell>
          <cell r="F664" t="str">
            <v>10%MT</v>
          </cell>
          <cell r="G664" t="str">
            <v>L</v>
          </cell>
          <cell r="H664">
            <v>5260</v>
          </cell>
          <cell r="K664" t="str">
            <v>WPS-TNHA-S10</v>
          </cell>
          <cell r="L664" t="str">
            <v>ST-04</v>
          </cell>
          <cell r="Y664" t="str">
            <v>NOT YET FITUP</v>
          </cell>
        </row>
        <row r="665">
          <cell r="A665" t="str">
            <v>9001-2211-DL-0006-01-WM11</v>
          </cell>
          <cell r="B665" t="str">
            <v>9001-2211-DL-0006-01-WM</v>
          </cell>
          <cell r="C665">
            <v>11</v>
          </cell>
          <cell r="E665" t="str">
            <v>F</v>
          </cell>
          <cell r="F665" t="str">
            <v>10%MT</v>
          </cell>
          <cell r="G665" t="str">
            <v>L</v>
          </cell>
          <cell r="H665">
            <v>5260</v>
          </cell>
          <cell r="K665" t="str">
            <v>WPS-TNHA-S10</v>
          </cell>
          <cell r="L665" t="str">
            <v>ST-04</v>
          </cell>
          <cell r="Y665" t="str">
            <v>NOT YET FITUP</v>
          </cell>
        </row>
        <row r="666">
          <cell r="A666" t="str">
            <v>9001-2211-DL-0006-01-WM12</v>
          </cell>
          <cell r="B666" t="str">
            <v>9001-2211-DL-0006-01-WM</v>
          </cell>
          <cell r="C666">
            <v>12</v>
          </cell>
          <cell r="E666" t="str">
            <v>F</v>
          </cell>
          <cell r="F666" t="str">
            <v>10%MT</v>
          </cell>
          <cell r="G666" t="str">
            <v>L</v>
          </cell>
          <cell r="H666">
            <v>5260</v>
          </cell>
          <cell r="K666" t="str">
            <v>WPS-TNHA-S10</v>
          </cell>
          <cell r="L666" t="str">
            <v>ST-04</v>
          </cell>
          <cell r="Y666" t="str">
            <v>NOT YET FITUP</v>
          </cell>
        </row>
        <row r="667">
          <cell r="A667" t="str">
            <v>9001-2211-DL-0006-01-WM13</v>
          </cell>
          <cell r="B667" t="str">
            <v>9001-2211-DL-0006-01-WM</v>
          </cell>
          <cell r="C667">
            <v>13</v>
          </cell>
          <cell r="E667" t="str">
            <v>F</v>
          </cell>
          <cell r="F667" t="str">
            <v>10%MT</v>
          </cell>
          <cell r="G667" t="str">
            <v>L</v>
          </cell>
          <cell r="H667">
            <v>5260</v>
          </cell>
          <cell r="K667" t="str">
            <v>WPS-TNHA-S10</v>
          </cell>
          <cell r="L667" t="str">
            <v>ST-04</v>
          </cell>
          <cell r="Y667" t="str">
            <v>NOT YET FITUP</v>
          </cell>
        </row>
        <row r="668">
          <cell r="A668" t="str">
            <v>9001-2211-DL-0006-01-WM14</v>
          </cell>
          <cell r="B668" t="str">
            <v>9001-2211-DL-0006-01-WM</v>
          </cell>
          <cell r="C668">
            <v>14</v>
          </cell>
          <cell r="E668" t="str">
            <v>F</v>
          </cell>
          <cell r="F668" t="str">
            <v>10%MT</v>
          </cell>
          <cell r="G668" t="str">
            <v>L</v>
          </cell>
          <cell r="H668">
            <v>5260</v>
          </cell>
          <cell r="K668" t="str">
            <v>WPS-TNHA-S10</v>
          </cell>
          <cell r="L668" t="str">
            <v>ST-04</v>
          </cell>
          <cell r="Y668" t="str">
            <v>NOT YET FITUP</v>
          </cell>
        </row>
        <row r="669">
          <cell r="A669" t="str">
            <v>9001-2211-DL-0006-01-WM15</v>
          </cell>
          <cell r="B669" t="str">
            <v>9001-2211-DL-0006-01-WM</v>
          </cell>
          <cell r="C669">
            <v>15</v>
          </cell>
          <cell r="E669" t="str">
            <v>F</v>
          </cell>
          <cell r="F669" t="str">
            <v>10%MT</v>
          </cell>
          <cell r="G669" t="str">
            <v>L</v>
          </cell>
          <cell r="H669">
            <v>5260</v>
          </cell>
          <cell r="K669" t="str">
            <v>WPS-TNHA-S10</v>
          </cell>
          <cell r="L669" t="str">
            <v>ST-04</v>
          </cell>
          <cell r="Y669" t="str">
            <v>NOT YET FITUP</v>
          </cell>
        </row>
        <row r="670">
          <cell r="A670" t="str">
            <v>9001-2211-DL-0006-01-WM16</v>
          </cell>
          <cell r="B670" t="str">
            <v>9001-2211-DL-0006-01-WM</v>
          </cell>
          <cell r="C670">
            <v>16</v>
          </cell>
          <cell r="E670" t="str">
            <v>F</v>
          </cell>
          <cell r="F670" t="str">
            <v>10%MT</v>
          </cell>
          <cell r="G670" t="str">
            <v>L</v>
          </cell>
          <cell r="H670">
            <v>5260</v>
          </cell>
          <cell r="K670" t="str">
            <v>WPS-TNHA-S10</v>
          </cell>
          <cell r="L670" t="str">
            <v>ST-04</v>
          </cell>
          <cell r="Y670" t="str">
            <v>NOT YET FITUP</v>
          </cell>
        </row>
        <row r="671">
          <cell r="A671" t="str">
            <v>9001-2211-DL-0006-01-WM17</v>
          </cell>
          <cell r="B671" t="str">
            <v>9001-2211-DL-0006-01-WM</v>
          </cell>
          <cell r="C671">
            <v>17</v>
          </cell>
          <cell r="E671" t="str">
            <v>F</v>
          </cell>
          <cell r="F671" t="str">
            <v>10%MT</v>
          </cell>
          <cell r="G671" t="str">
            <v>L</v>
          </cell>
          <cell r="H671">
            <v>5260</v>
          </cell>
          <cell r="K671" t="str">
            <v>WPS-TNHA-S10</v>
          </cell>
          <cell r="L671" t="str">
            <v>ST-04</v>
          </cell>
          <cell r="Y671" t="str">
            <v>NOT YET FITUP</v>
          </cell>
        </row>
        <row r="672">
          <cell r="A672" t="str">
            <v>9001-2211-DL-0006-01-WM18</v>
          </cell>
          <cell r="B672" t="str">
            <v>9001-2211-DL-0006-01-WM</v>
          </cell>
          <cell r="C672">
            <v>18</v>
          </cell>
          <cell r="E672" t="str">
            <v>F</v>
          </cell>
          <cell r="F672" t="str">
            <v>10%MT</v>
          </cell>
          <cell r="G672" t="str">
            <v>L</v>
          </cell>
          <cell r="H672">
            <v>5260</v>
          </cell>
          <cell r="K672" t="str">
            <v>WPS-TNHA-S10</v>
          </cell>
          <cell r="L672" t="str">
            <v>ST-04</v>
          </cell>
          <cell r="Y672" t="str">
            <v>NOT YET FITUP</v>
          </cell>
        </row>
        <row r="673">
          <cell r="A673" t="str">
            <v>9001-2211-DL-0006-01-WM19</v>
          </cell>
          <cell r="B673" t="str">
            <v>9001-2211-DL-0006-01-WM</v>
          </cell>
          <cell r="C673">
            <v>19</v>
          </cell>
          <cell r="E673" t="str">
            <v>F</v>
          </cell>
          <cell r="F673" t="str">
            <v>10%MT</v>
          </cell>
          <cell r="G673" t="str">
            <v>L</v>
          </cell>
          <cell r="H673">
            <v>5260</v>
          </cell>
          <cell r="K673" t="str">
            <v>WPS-TNHA-S10</v>
          </cell>
          <cell r="L673" t="str">
            <v>ST-04</v>
          </cell>
          <cell r="Y673" t="str">
            <v>NOT YET FITUP</v>
          </cell>
        </row>
        <row r="674">
          <cell r="A674" t="str">
            <v>9001-2211-DL-0006-01-WM20</v>
          </cell>
          <cell r="B674" t="str">
            <v>9001-2211-DL-0006-01-WM</v>
          </cell>
          <cell r="C674">
            <v>20</v>
          </cell>
          <cell r="E674" t="str">
            <v>F</v>
          </cell>
          <cell r="F674" t="str">
            <v>10%MT</v>
          </cell>
          <cell r="G674" t="str">
            <v>L</v>
          </cell>
          <cell r="H674">
            <v>5260</v>
          </cell>
          <cell r="K674" t="str">
            <v>WPS-TNHA-S10</v>
          </cell>
          <cell r="L674" t="str">
            <v>ST-04</v>
          </cell>
          <cell r="Y674" t="str">
            <v>NOT YET FITUP</v>
          </cell>
        </row>
        <row r="675">
          <cell r="A675" t="str">
            <v>9001-2211-DL-0006-01-WM21</v>
          </cell>
          <cell r="B675" t="str">
            <v>9001-2211-DL-0006-01-WM</v>
          </cell>
          <cell r="C675">
            <v>21</v>
          </cell>
          <cell r="E675" t="str">
            <v>F</v>
          </cell>
          <cell r="F675" t="str">
            <v>10%MT</v>
          </cell>
          <cell r="G675" t="str">
            <v>L</v>
          </cell>
          <cell r="H675">
            <v>5260</v>
          </cell>
          <cell r="K675" t="str">
            <v>WPS-TNHA-S10</v>
          </cell>
          <cell r="L675" t="str">
            <v>ST-04</v>
          </cell>
          <cell r="Y675" t="str">
            <v>NOT YET FITUP</v>
          </cell>
        </row>
        <row r="676">
          <cell r="A676" t="str">
            <v>9001-2211-DL-0006-01-WM22</v>
          </cell>
          <cell r="B676" t="str">
            <v>9001-2211-DL-0006-01-WM</v>
          </cell>
          <cell r="C676">
            <v>22</v>
          </cell>
          <cell r="E676" t="str">
            <v>F</v>
          </cell>
          <cell r="F676" t="str">
            <v>10%MT</v>
          </cell>
          <cell r="G676" t="str">
            <v>L</v>
          </cell>
          <cell r="H676">
            <v>5260</v>
          </cell>
          <cell r="K676" t="str">
            <v>WPS-TNHA-S10</v>
          </cell>
          <cell r="L676" t="str">
            <v>ST-04</v>
          </cell>
          <cell r="Y676" t="str">
            <v>NOT YET FITUP</v>
          </cell>
        </row>
        <row r="677">
          <cell r="A677" t="str">
            <v>9001-2211-DL-0006-01-WM23</v>
          </cell>
          <cell r="B677" t="str">
            <v>9001-2211-DL-0006-01-WM</v>
          </cell>
          <cell r="C677">
            <v>23</v>
          </cell>
          <cell r="E677" t="str">
            <v>F</v>
          </cell>
          <cell r="F677" t="str">
            <v>10%MT</v>
          </cell>
          <cell r="G677" t="str">
            <v>L</v>
          </cell>
          <cell r="H677">
            <v>5260</v>
          </cell>
          <cell r="K677" t="str">
            <v>WPS-TNHA-S10</v>
          </cell>
          <cell r="L677" t="str">
            <v>ST-04</v>
          </cell>
          <cell r="Y677" t="str">
            <v>NOT YET FITUP</v>
          </cell>
        </row>
        <row r="678">
          <cell r="A678" t="str">
            <v>9001-2211-DL-0006-01-WM24</v>
          </cell>
          <cell r="B678" t="str">
            <v>9001-2211-DL-0006-01-WM</v>
          </cell>
          <cell r="C678">
            <v>24</v>
          </cell>
          <cell r="E678" t="str">
            <v>F</v>
          </cell>
          <cell r="F678" t="str">
            <v>10%MT</v>
          </cell>
          <cell r="G678" t="str">
            <v>L</v>
          </cell>
          <cell r="H678">
            <v>5260</v>
          </cell>
          <cell r="K678" t="str">
            <v>WPS-TNHA-S10</v>
          </cell>
          <cell r="L678" t="str">
            <v>ST-04</v>
          </cell>
          <cell r="Y678" t="str">
            <v>NOT YET FITUP</v>
          </cell>
        </row>
        <row r="679">
          <cell r="A679" t="str">
            <v>9001-2211-DL-0006-01-WM25</v>
          </cell>
          <cell r="B679" t="str">
            <v>9001-2211-DL-0006-01-WM</v>
          </cell>
          <cell r="C679">
            <v>25</v>
          </cell>
          <cell r="E679" t="str">
            <v>F</v>
          </cell>
          <cell r="F679" t="str">
            <v>10%MT</v>
          </cell>
          <cell r="G679" t="str">
            <v>L</v>
          </cell>
          <cell r="H679">
            <v>5260</v>
          </cell>
          <cell r="K679" t="str">
            <v>WPS-TNHA-S10</v>
          </cell>
          <cell r="L679" t="str">
            <v>ST-04</v>
          </cell>
          <cell r="Y679" t="str">
            <v>NOT YET FITUP</v>
          </cell>
        </row>
        <row r="680">
          <cell r="A680" t="str">
            <v>9001-2211-DL-0006-01-WM26</v>
          </cell>
          <cell r="B680" t="str">
            <v>9001-2211-DL-0006-01-WM</v>
          </cell>
          <cell r="C680">
            <v>26</v>
          </cell>
          <cell r="E680" t="str">
            <v>F</v>
          </cell>
          <cell r="F680" t="str">
            <v>10%MT</v>
          </cell>
          <cell r="G680" t="str">
            <v>L</v>
          </cell>
          <cell r="H680">
            <v>5260</v>
          </cell>
          <cell r="K680" t="str">
            <v>WPS-TNHA-S10</v>
          </cell>
          <cell r="L680" t="str">
            <v>ST-04</v>
          </cell>
          <cell r="Y680" t="str">
            <v>NOT YET FITUP</v>
          </cell>
        </row>
        <row r="681">
          <cell r="A681" t="str">
            <v>9001-2211-DL-0006-01-WM27</v>
          </cell>
          <cell r="B681" t="str">
            <v>9001-2211-DL-0006-01-WM</v>
          </cell>
          <cell r="C681">
            <v>27</v>
          </cell>
          <cell r="E681" t="str">
            <v>F</v>
          </cell>
          <cell r="F681" t="str">
            <v>10%MT</v>
          </cell>
          <cell r="G681" t="str">
            <v>L</v>
          </cell>
          <cell r="H681">
            <v>5260</v>
          </cell>
          <cell r="K681" t="str">
            <v>WPS-TNHA-S10</v>
          </cell>
          <cell r="L681" t="str">
            <v>ST-04</v>
          </cell>
          <cell r="Y681" t="str">
            <v>NOT YET FITUP</v>
          </cell>
        </row>
        <row r="682">
          <cell r="A682" t="str">
            <v>9001-2211-DL-0006-01-WM28</v>
          </cell>
          <cell r="B682" t="str">
            <v>9001-2211-DL-0006-01-WM</v>
          </cell>
          <cell r="C682">
            <v>28</v>
          </cell>
          <cell r="E682" t="str">
            <v>F</v>
          </cell>
          <cell r="F682" t="str">
            <v>10%MT</v>
          </cell>
          <cell r="G682" t="str">
            <v>L</v>
          </cell>
          <cell r="H682">
            <v>5260</v>
          </cell>
          <cell r="K682" t="str">
            <v>WPS-TNHA-S10</v>
          </cell>
          <cell r="L682" t="str">
            <v>ST-04</v>
          </cell>
          <cell r="Y682" t="str">
            <v>NOT YET FITUP</v>
          </cell>
        </row>
        <row r="683">
          <cell r="A683" t="str">
            <v>9001-2211-DL-0007-01-WM1</v>
          </cell>
          <cell r="B683" t="str">
            <v>9001-2211-DL-0007-01-WM</v>
          </cell>
          <cell r="C683">
            <v>1</v>
          </cell>
          <cell r="E683" t="str">
            <v>F</v>
          </cell>
          <cell r="F683" t="str">
            <v>10%MT</v>
          </cell>
          <cell r="G683" t="str">
            <v>L</v>
          </cell>
          <cell r="H683">
            <v>5260</v>
          </cell>
          <cell r="K683" t="str">
            <v>WPS-TNHA-S10</v>
          </cell>
          <cell r="L683" t="str">
            <v>ST-06</v>
          </cell>
          <cell r="Y683" t="str">
            <v>NOT YET FITUP</v>
          </cell>
        </row>
        <row r="684">
          <cell r="A684" t="str">
            <v>9001-2211-DL-0007-01-WM2</v>
          </cell>
          <cell r="B684" t="str">
            <v>9001-2211-DL-0007-01-WM</v>
          </cell>
          <cell r="C684">
            <v>2</v>
          </cell>
          <cell r="E684" t="str">
            <v>F</v>
          </cell>
          <cell r="F684" t="str">
            <v>10%MT</v>
          </cell>
          <cell r="G684" t="str">
            <v>L</v>
          </cell>
          <cell r="H684">
            <v>5260</v>
          </cell>
          <cell r="K684" t="str">
            <v>WPS-TNHA-S10</v>
          </cell>
          <cell r="L684" t="str">
            <v>ST-06</v>
          </cell>
          <cell r="M684" t="str">
            <v>THÁI</v>
          </cell>
          <cell r="N684">
            <v>45978</v>
          </cell>
          <cell r="O684" t="str">
            <v>F-087</v>
          </cell>
          <cell r="P684" t="str">
            <v>20/11/2025</v>
          </cell>
          <cell r="Q684" t="str">
            <v>GTC-07</v>
          </cell>
          <cell r="R684" t="str">
            <v>THÁI</v>
          </cell>
          <cell r="S684">
            <v>45992</v>
          </cell>
          <cell r="T684" t="str">
            <v>V-104</v>
          </cell>
          <cell r="Y684" t="str">
            <v>FINISH</v>
          </cell>
          <cell r="Z684" t="str">
            <v>ACC</v>
          </cell>
          <cell r="AA684" t="str">
            <v>ACC</v>
          </cell>
          <cell r="AB684" t="str">
            <v>MT-2211-ST-06-0009</v>
          </cell>
          <cell r="AC684" t="str">
            <v/>
          </cell>
          <cell r="AD684" t="str">
            <v/>
          </cell>
          <cell r="AJ684">
            <v>45993</v>
          </cell>
          <cell r="AK684" t="str">
            <v>FINAL-V-108</v>
          </cell>
        </row>
        <row r="685">
          <cell r="A685" t="str">
            <v>9001-2211-DL-0007-01-WM3</v>
          </cell>
          <cell r="B685" t="str">
            <v>9001-2211-DL-0007-01-WM</v>
          </cell>
          <cell r="C685">
            <v>3</v>
          </cell>
          <cell r="E685" t="str">
            <v>F</v>
          </cell>
          <cell r="F685" t="str">
            <v>10%MT</v>
          </cell>
          <cell r="G685" t="str">
            <v>L</v>
          </cell>
          <cell r="H685">
            <v>5260</v>
          </cell>
          <cell r="K685" t="str">
            <v>WPS-TNHA-S10</v>
          </cell>
          <cell r="L685" t="str">
            <v>ST-06</v>
          </cell>
          <cell r="M685" t="str">
            <v>TUÂN</v>
          </cell>
          <cell r="N685">
            <v>45983</v>
          </cell>
          <cell r="O685" t="str">
            <v>F-098</v>
          </cell>
          <cell r="P685" t="str">
            <v>20/11/2025</v>
          </cell>
          <cell r="Q685" t="str">
            <v>GTC-07</v>
          </cell>
          <cell r="R685" t="str">
            <v>THÁI</v>
          </cell>
          <cell r="S685">
            <v>45994</v>
          </cell>
          <cell r="T685" t="str">
            <v>V-112</v>
          </cell>
          <cell r="Y685" t="str">
            <v>FINISH</v>
          </cell>
          <cell r="Z685" t="str">
            <v>ACC</v>
          </cell>
          <cell r="AA685" t="str">
            <v>ACC</v>
          </cell>
          <cell r="AB685" t="str">
            <v>MT-2211-ST-06-0011</v>
          </cell>
          <cell r="AC685" t="str">
            <v/>
          </cell>
          <cell r="AD685" t="str">
            <v/>
          </cell>
          <cell r="AJ685">
            <v>45995</v>
          </cell>
          <cell r="AK685" t="str">
            <v>FINAL-V-116</v>
          </cell>
        </row>
        <row r="686">
          <cell r="A686" t="str">
            <v>9001-2211-DL-0007-01-WM4</v>
          </cell>
          <cell r="B686" t="str">
            <v>9001-2211-DL-0007-01-WM</v>
          </cell>
          <cell r="C686">
            <v>4</v>
          </cell>
          <cell r="E686" t="str">
            <v>F</v>
          </cell>
          <cell r="F686" t="str">
            <v>10%MT</v>
          </cell>
          <cell r="G686" t="str">
            <v>L</v>
          </cell>
          <cell r="H686">
            <v>5260</v>
          </cell>
          <cell r="K686" t="str">
            <v>WPS-TNHA-S10</v>
          </cell>
          <cell r="L686" t="str">
            <v>ST-06</v>
          </cell>
          <cell r="Y686" t="str">
            <v>NOT YET FITUP</v>
          </cell>
        </row>
        <row r="687">
          <cell r="A687" t="str">
            <v>9001-2211-DL-0007-01-WM5</v>
          </cell>
          <cell r="B687" t="str">
            <v>9001-2211-DL-0007-01-WM</v>
          </cell>
          <cell r="C687">
            <v>5</v>
          </cell>
          <cell r="E687" t="str">
            <v>F</v>
          </cell>
          <cell r="F687" t="str">
            <v>10%MT</v>
          </cell>
          <cell r="G687" t="str">
            <v>L</v>
          </cell>
          <cell r="H687">
            <v>5260</v>
          </cell>
          <cell r="K687" t="str">
            <v>WPS-TNHA-S10</v>
          </cell>
          <cell r="L687" t="str">
            <v>ST-06</v>
          </cell>
          <cell r="Y687" t="str">
            <v>NOT YET FITUP</v>
          </cell>
        </row>
        <row r="688">
          <cell r="A688" t="str">
            <v>9001-2211-DL-0007-01-WM6</v>
          </cell>
          <cell r="B688" t="str">
            <v>9001-2211-DL-0007-01-WM</v>
          </cell>
          <cell r="C688">
            <v>6</v>
          </cell>
          <cell r="E688" t="str">
            <v>F</v>
          </cell>
          <cell r="F688" t="str">
            <v>10%MT</v>
          </cell>
          <cell r="G688" t="str">
            <v>L</v>
          </cell>
          <cell r="H688">
            <v>5260</v>
          </cell>
          <cell r="K688" t="str">
            <v>WPS-TNHA-S10</v>
          </cell>
          <cell r="L688" t="str">
            <v>ST-06</v>
          </cell>
          <cell r="M688" t="str">
            <v>THÁI</v>
          </cell>
          <cell r="N688">
            <v>45978</v>
          </cell>
          <cell r="O688" t="str">
            <v>F-087</v>
          </cell>
          <cell r="P688" t="str">
            <v>20/11/2025</v>
          </cell>
          <cell r="Q688" t="str">
            <v>GTC-07</v>
          </cell>
          <cell r="R688" t="str">
            <v>THÁI</v>
          </cell>
          <cell r="S688">
            <v>45992</v>
          </cell>
          <cell r="T688" t="str">
            <v>V-104</v>
          </cell>
          <cell r="Y688" t="str">
            <v>FINISH</v>
          </cell>
          <cell r="Z688" t="str">
            <v>ACC</v>
          </cell>
          <cell r="AA688" t="str">
            <v>ACC</v>
          </cell>
          <cell r="AB688" t="str">
            <v>MT-2211-ST-06-0009</v>
          </cell>
          <cell r="AC688" t="str">
            <v/>
          </cell>
          <cell r="AD688" t="str">
            <v/>
          </cell>
          <cell r="AJ688">
            <v>45993</v>
          </cell>
          <cell r="AK688" t="str">
            <v>FINAL-V-108</v>
          </cell>
        </row>
        <row r="689">
          <cell r="A689" t="str">
            <v>9001-2211-DL-0007-01-WM7</v>
          </cell>
          <cell r="B689" t="str">
            <v>9001-2211-DL-0007-01-WM</v>
          </cell>
          <cell r="C689">
            <v>7</v>
          </cell>
          <cell r="E689" t="str">
            <v>F</v>
          </cell>
          <cell r="F689" t="str">
            <v>10%MT</v>
          </cell>
          <cell r="G689" t="str">
            <v>L</v>
          </cell>
          <cell r="H689">
            <v>5260</v>
          </cell>
          <cell r="K689" t="str">
            <v>WPS-TNHA-S10</v>
          </cell>
          <cell r="L689" t="str">
            <v>ST-06</v>
          </cell>
          <cell r="Y689" t="str">
            <v>NOT YET FITUP</v>
          </cell>
        </row>
        <row r="690">
          <cell r="A690" t="str">
            <v>9001-2211-DL-0007-01-WM8</v>
          </cell>
          <cell r="B690" t="str">
            <v>9001-2211-DL-0007-01-WM</v>
          </cell>
          <cell r="C690">
            <v>8</v>
          </cell>
          <cell r="E690" t="str">
            <v>F</v>
          </cell>
          <cell r="F690" t="str">
            <v>10%MT</v>
          </cell>
          <cell r="G690" t="str">
            <v>L</v>
          </cell>
          <cell r="H690">
            <v>5260</v>
          </cell>
          <cell r="K690" t="str">
            <v>WPS-TNHA-S10</v>
          </cell>
          <cell r="L690" t="str">
            <v>ST-06</v>
          </cell>
          <cell r="Y690" t="str">
            <v>NOT YET FITUP</v>
          </cell>
        </row>
        <row r="691">
          <cell r="A691" t="str">
            <v>9001-2211-DL-0007-01-WM9</v>
          </cell>
          <cell r="B691" t="str">
            <v>9001-2211-DL-0007-01-WM</v>
          </cell>
          <cell r="C691">
            <v>9</v>
          </cell>
          <cell r="E691" t="str">
            <v>F</v>
          </cell>
          <cell r="F691" t="str">
            <v>10%MT</v>
          </cell>
          <cell r="G691" t="str">
            <v>L</v>
          </cell>
          <cell r="H691">
            <v>5260</v>
          </cell>
          <cell r="K691" t="str">
            <v>WPS-TNHA-S10</v>
          </cell>
          <cell r="L691" t="str">
            <v>ST-06</v>
          </cell>
          <cell r="Y691" t="str">
            <v>NOT YET FITUP</v>
          </cell>
        </row>
        <row r="692">
          <cell r="A692" t="str">
            <v>9001-2211-DL-0007-01-WM10</v>
          </cell>
          <cell r="B692" t="str">
            <v>9001-2211-DL-0007-01-WM</v>
          </cell>
          <cell r="C692">
            <v>10</v>
          </cell>
          <cell r="E692" t="str">
            <v>F</v>
          </cell>
          <cell r="F692" t="str">
            <v>10%MT</v>
          </cell>
          <cell r="G692" t="str">
            <v>L</v>
          </cell>
          <cell r="H692">
            <v>5260</v>
          </cell>
          <cell r="K692" t="str">
            <v>WPS-TNHA-S10</v>
          </cell>
          <cell r="L692" t="str">
            <v>ST-06</v>
          </cell>
          <cell r="Y692" t="str">
            <v>NOT YET FITUP</v>
          </cell>
        </row>
        <row r="693">
          <cell r="A693" t="str">
            <v>9001-2211-DL-0007-01-WM11</v>
          </cell>
          <cell r="B693" t="str">
            <v>9001-2211-DL-0007-01-WM</v>
          </cell>
          <cell r="C693">
            <v>11</v>
          </cell>
          <cell r="E693" t="str">
            <v>F</v>
          </cell>
          <cell r="F693" t="str">
            <v>10%MT</v>
          </cell>
          <cell r="G693" t="str">
            <v>L</v>
          </cell>
          <cell r="H693">
            <v>5260</v>
          </cell>
          <cell r="K693" t="str">
            <v>WPS-TNHA-S10</v>
          </cell>
          <cell r="L693" t="str">
            <v>ST-06</v>
          </cell>
          <cell r="M693" t="str">
            <v>TUÂN</v>
          </cell>
          <cell r="N693">
            <v>45983</v>
          </cell>
          <cell r="O693" t="str">
            <v>F-098</v>
          </cell>
          <cell r="P693" t="str">
            <v>20/11/2025</v>
          </cell>
          <cell r="Q693" t="str">
            <v>GTC-07</v>
          </cell>
          <cell r="R693" t="str">
            <v>THÁI</v>
          </cell>
          <cell r="S693">
            <v>45994</v>
          </cell>
          <cell r="T693" t="str">
            <v>V-112</v>
          </cell>
          <cell r="Y693" t="str">
            <v>FINISH</v>
          </cell>
          <cell r="Z693" t="str">
            <v>ACC</v>
          </cell>
          <cell r="AA693" t="str">
            <v>ACC</v>
          </cell>
          <cell r="AB693" t="str">
            <v>MT-2211-ST-06-0011</v>
          </cell>
          <cell r="AC693" t="str">
            <v/>
          </cell>
          <cell r="AD693" t="str">
            <v/>
          </cell>
          <cell r="AJ693">
            <v>45995</v>
          </cell>
          <cell r="AK693" t="str">
            <v>FINAL-V-116</v>
          </cell>
        </row>
        <row r="694">
          <cell r="A694" t="str">
            <v>9001-2211-DL-0007-01-WM12</v>
          </cell>
          <cell r="B694" t="str">
            <v>9001-2211-DL-0007-01-WM</v>
          </cell>
          <cell r="C694">
            <v>12</v>
          </cell>
          <cell r="E694" t="str">
            <v>F</v>
          </cell>
          <cell r="F694" t="str">
            <v>10%MT</v>
          </cell>
          <cell r="G694" t="str">
            <v>L</v>
          </cell>
          <cell r="H694">
            <v>5260</v>
          </cell>
          <cell r="K694" t="str">
            <v>WPS-TNHA-S10</v>
          </cell>
          <cell r="L694" t="str">
            <v>ST-06</v>
          </cell>
          <cell r="Y694" t="str">
            <v>NOT YET FITUP</v>
          </cell>
        </row>
        <row r="695">
          <cell r="A695" t="str">
            <v>9001-2211-DL-0007-01-WM13</v>
          </cell>
          <cell r="B695" t="str">
            <v>9001-2211-DL-0007-01-WM</v>
          </cell>
          <cell r="C695">
            <v>13</v>
          </cell>
          <cell r="E695" t="str">
            <v>F</v>
          </cell>
          <cell r="F695" t="str">
            <v>10%MT</v>
          </cell>
          <cell r="G695" t="str">
            <v>L</v>
          </cell>
          <cell r="H695">
            <v>5260</v>
          </cell>
          <cell r="K695" t="str">
            <v>WPS-TNHA-S10</v>
          </cell>
          <cell r="L695" t="str">
            <v>ST-06</v>
          </cell>
          <cell r="Y695" t="str">
            <v>NOT YET FITUP</v>
          </cell>
        </row>
        <row r="696">
          <cell r="A696" t="str">
            <v>9001-2211-DL-0008-01-WM1</v>
          </cell>
          <cell r="B696" t="str">
            <v>9001-2211-DL-0008-01-WM</v>
          </cell>
          <cell r="C696">
            <v>1</v>
          </cell>
          <cell r="E696" t="str">
            <v>F</v>
          </cell>
          <cell r="F696" t="str">
            <v>10%MT</v>
          </cell>
          <cell r="G696" t="str">
            <v>L</v>
          </cell>
          <cell r="H696">
            <v>5260</v>
          </cell>
          <cell r="K696" t="str">
            <v>WPS-TNHA-S10</v>
          </cell>
          <cell r="L696" t="str">
            <v>ST-07</v>
          </cell>
          <cell r="Y696" t="str">
            <v>NOT YET FITUP</v>
          </cell>
        </row>
        <row r="697">
          <cell r="A697" t="str">
            <v>9001-2211-DL-0008-01-WM2</v>
          </cell>
          <cell r="B697" t="str">
            <v>9001-2211-DL-0008-01-WM</v>
          </cell>
          <cell r="C697">
            <v>2</v>
          </cell>
          <cell r="E697" t="str">
            <v>F</v>
          </cell>
          <cell r="F697" t="str">
            <v>10%MT</v>
          </cell>
          <cell r="G697" t="str">
            <v>L</v>
          </cell>
          <cell r="H697">
            <v>5260</v>
          </cell>
          <cell r="K697" t="str">
            <v>WPS-TNHA-S10</v>
          </cell>
          <cell r="L697" t="str">
            <v>ST-07</v>
          </cell>
          <cell r="Y697" t="str">
            <v>NOT YET FITUP</v>
          </cell>
        </row>
        <row r="698">
          <cell r="A698" t="str">
            <v>9001-2211-DL-0008-01-WM3</v>
          </cell>
          <cell r="B698" t="str">
            <v>9001-2211-DL-0008-01-WM</v>
          </cell>
          <cell r="C698">
            <v>3</v>
          </cell>
          <cell r="E698" t="str">
            <v>F</v>
          </cell>
          <cell r="F698" t="str">
            <v>10%MT</v>
          </cell>
          <cell r="G698" t="str">
            <v>L</v>
          </cell>
          <cell r="H698">
            <v>5260</v>
          </cell>
          <cell r="K698" t="str">
            <v>WPS-TNHA-S10</v>
          </cell>
          <cell r="L698" t="str">
            <v>ST-07</v>
          </cell>
          <cell r="M698" t="str">
            <v>THÁI</v>
          </cell>
          <cell r="N698">
            <v>45978</v>
          </cell>
          <cell r="O698" t="str">
            <v>F-087</v>
          </cell>
          <cell r="P698" t="str">
            <v>20/11/2025</v>
          </cell>
          <cell r="Q698" t="str">
            <v>GTC-07</v>
          </cell>
          <cell r="R698" t="str">
            <v>Bách</v>
          </cell>
          <cell r="S698">
            <v>45985</v>
          </cell>
          <cell r="T698" t="str">
            <v>V-089</v>
          </cell>
          <cell r="Y698" t="str">
            <v>FINISH</v>
          </cell>
          <cell r="Z698" t="str">
            <v>ACC</v>
          </cell>
          <cell r="AA698" t="str">
            <v>ACC</v>
          </cell>
          <cell r="AB698" t="str">
            <v>MT-2211-ST-07-0007</v>
          </cell>
          <cell r="AC698" t="str">
            <v/>
          </cell>
          <cell r="AD698" t="str">
            <v/>
          </cell>
          <cell r="AJ698">
            <v>45992</v>
          </cell>
          <cell r="AK698" t="str">
            <v>FINAL-V-105</v>
          </cell>
        </row>
        <row r="699">
          <cell r="A699" t="str">
            <v>9001-2211-DL-0008-01-WM4</v>
          </cell>
          <cell r="B699" t="str">
            <v>9001-2211-DL-0008-01-WM</v>
          </cell>
          <cell r="C699">
            <v>4</v>
          </cell>
          <cell r="E699" t="str">
            <v>F</v>
          </cell>
          <cell r="F699" t="str">
            <v>10%MT</v>
          </cell>
          <cell r="G699" t="str">
            <v>L</v>
          </cell>
          <cell r="H699">
            <v>5260</v>
          </cell>
          <cell r="K699" t="str">
            <v>WPS-TNHA-S10</v>
          </cell>
          <cell r="L699" t="str">
            <v>ST-07</v>
          </cell>
          <cell r="M699" t="str">
            <v>THÁI</v>
          </cell>
          <cell r="N699">
            <v>45978</v>
          </cell>
          <cell r="O699" t="str">
            <v>F-087</v>
          </cell>
          <cell r="P699" t="str">
            <v>26/11/2025</v>
          </cell>
          <cell r="Q699" t="str">
            <v>GTC-07</v>
          </cell>
          <cell r="R699" t="str">
            <v>THÁI</v>
          </cell>
          <cell r="S699">
            <v>45994</v>
          </cell>
          <cell r="T699" t="str">
            <v>V-112</v>
          </cell>
          <cell r="Y699" t="str">
            <v>FINISH</v>
          </cell>
          <cell r="Z699" t="str">
            <v>ACC</v>
          </cell>
          <cell r="AA699" t="str">
            <v>ACC</v>
          </cell>
          <cell r="AB699" t="str">
            <v>MT-2211-ST-07-0010</v>
          </cell>
          <cell r="AC699" t="str">
            <v/>
          </cell>
          <cell r="AD699" t="str">
            <v/>
          </cell>
          <cell r="AJ699">
            <v>45995</v>
          </cell>
          <cell r="AK699" t="str">
            <v>FINAL-V-116</v>
          </cell>
        </row>
        <row r="700">
          <cell r="A700" t="str">
            <v>9001-2211-DL-0008-01-WM5</v>
          </cell>
          <cell r="B700" t="str">
            <v>9001-2211-DL-0008-01-WM</v>
          </cell>
          <cell r="C700">
            <v>5</v>
          </cell>
          <cell r="E700" t="str">
            <v>F</v>
          </cell>
          <cell r="F700" t="str">
            <v>10%MT</v>
          </cell>
          <cell r="G700" t="str">
            <v>L</v>
          </cell>
          <cell r="H700">
            <v>5260</v>
          </cell>
          <cell r="K700" t="str">
            <v>WPS-TNHA-S10</v>
          </cell>
          <cell r="L700" t="str">
            <v>ST-07</v>
          </cell>
          <cell r="Y700" t="str">
            <v>NOT YET FITUP</v>
          </cell>
        </row>
        <row r="701">
          <cell r="A701" t="str">
            <v>9001-2211-DL-0008-01-WM6</v>
          </cell>
          <cell r="B701" t="str">
            <v>9001-2211-DL-0008-01-WM</v>
          </cell>
          <cell r="C701">
            <v>6</v>
          </cell>
          <cell r="E701" t="str">
            <v>F</v>
          </cell>
          <cell r="F701" t="str">
            <v>10%MT</v>
          </cell>
          <cell r="G701" t="str">
            <v>L</v>
          </cell>
          <cell r="H701">
            <v>5260</v>
          </cell>
          <cell r="K701" t="str">
            <v>WPS-TNHA-S10</v>
          </cell>
          <cell r="L701" t="str">
            <v>ST-07</v>
          </cell>
          <cell r="Y701" t="str">
            <v>NOT YET FITUP</v>
          </cell>
        </row>
        <row r="702">
          <cell r="A702" t="str">
            <v>9001-2211-DL-0008-01-WM7</v>
          </cell>
          <cell r="B702" t="str">
            <v>9001-2211-DL-0008-01-WM</v>
          </cell>
          <cell r="C702">
            <v>7</v>
          </cell>
          <cell r="E702" t="str">
            <v>F</v>
          </cell>
          <cell r="F702" t="str">
            <v>10%MT</v>
          </cell>
          <cell r="G702" t="str">
            <v>L</v>
          </cell>
          <cell r="H702">
            <v>5260</v>
          </cell>
          <cell r="K702" t="str">
            <v>WPS-TNHA-S10</v>
          </cell>
          <cell r="L702" t="str">
            <v>ST-07</v>
          </cell>
          <cell r="M702" t="str">
            <v>THÁI</v>
          </cell>
          <cell r="N702">
            <v>45978</v>
          </cell>
          <cell r="O702" t="str">
            <v>F-087</v>
          </cell>
          <cell r="P702" t="str">
            <v>20/11/2025</v>
          </cell>
          <cell r="Q702" t="str">
            <v>GTC-07</v>
          </cell>
          <cell r="R702" t="str">
            <v>Bách</v>
          </cell>
          <cell r="S702">
            <v>45985</v>
          </cell>
          <cell r="T702" t="str">
            <v>V-089</v>
          </cell>
          <cell r="Y702" t="str">
            <v>FINISH</v>
          </cell>
          <cell r="Z702" t="str">
            <v>ACC</v>
          </cell>
          <cell r="AA702" t="str">
            <v>ACC</v>
          </cell>
          <cell r="AB702" t="str">
            <v>MT-2211-ST-07-0007</v>
          </cell>
          <cell r="AC702" t="str">
            <v/>
          </cell>
          <cell r="AD702" t="str">
            <v/>
          </cell>
          <cell r="AJ702">
            <v>45992</v>
          </cell>
          <cell r="AK702" t="str">
            <v>FINAL-V-105</v>
          </cell>
        </row>
        <row r="703">
          <cell r="A703" t="str">
            <v>9001-2211-DL-0008-01-WM8</v>
          </cell>
          <cell r="B703" t="str">
            <v>9001-2211-DL-0008-01-WM</v>
          </cell>
          <cell r="C703">
            <v>8</v>
          </cell>
          <cell r="E703" t="str">
            <v>F</v>
          </cell>
          <cell r="F703" t="str">
            <v>10%MT</v>
          </cell>
          <cell r="G703" t="str">
            <v>L</v>
          </cell>
          <cell r="H703">
            <v>5260</v>
          </cell>
          <cell r="K703" t="str">
            <v>WPS-TNHA-S10</v>
          </cell>
          <cell r="L703" t="str">
            <v>ST-07</v>
          </cell>
          <cell r="M703" t="str">
            <v>THÁI</v>
          </cell>
          <cell r="N703">
            <v>45978</v>
          </cell>
          <cell r="O703" t="str">
            <v>F-087</v>
          </cell>
          <cell r="P703" t="str">
            <v>20/11/2025</v>
          </cell>
          <cell r="Q703" t="str">
            <v>GTC-07</v>
          </cell>
          <cell r="R703" t="str">
            <v>Bách</v>
          </cell>
          <cell r="S703">
            <v>45985</v>
          </cell>
          <cell r="T703" t="str">
            <v>V-089</v>
          </cell>
          <cell r="Y703" t="str">
            <v>FINISH</v>
          </cell>
          <cell r="Z703" t="str">
            <v>ACC</v>
          </cell>
          <cell r="AA703" t="str">
            <v>ACC</v>
          </cell>
          <cell r="AB703" t="str">
            <v>MT-2211-ST-07-0007</v>
          </cell>
          <cell r="AC703" t="str">
            <v/>
          </cell>
          <cell r="AD703" t="str">
            <v/>
          </cell>
          <cell r="AJ703">
            <v>45992</v>
          </cell>
          <cell r="AK703" t="str">
            <v>FINAL-V-105</v>
          </cell>
        </row>
        <row r="704">
          <cell r="A704" t="str">
            <v>9001-2211-DL-0008-01-WM9</v>
          </cell>
          <cell r="B704" t="str">
            <v>9001-2211-DL-0008-01-WM</v>
          </cell>
          <cell r="C704">
            <v>9</v>
          </cell>
          <cell r="E704" t="str">
            <v>F</v>
          </cell>
          <cell r="F704" t="str">
            <v>10%MT</v>
          </cell>
          <cell r="G704" t="str">
            <v>L</v>
          </cell>
          <cell r="H704">
            <v>5260</v>
          </cell>
          <cell r="K704" t="str">
            <v>WPS-TNHA-S10</v>
          </cell>
          <cell r="L704" t="str">
            <v>ST-07</v>
          </cell>
          <cell r="Y704" t="str">
            <v>NOT YET FITUP</v>
          </cell>
        </row>
        <row r="705">
          <cell r="A705" t="str">
            <v>9001-2211-DL-0008-01-WM10</v>
          </cell>
          <cell r="B705" t="str">
            <v>9001-2211-DL-0008-01-WM</v>
          </cell>
          <cell r="C705">
            <v>10</v>
          </cell>
          <cell r="E705" t="str">
            <v>F</v>
          </cell>
          <cell r="F705" t="str">
            <v>10%MT</v>
          </cell>
          <cell r="G705" t="str">
            <v>L</v>
          </cell>
          <cell r="H705">
            <v>5260</v>
          </cell>
          <cell r="K705" t="str">
            <v>WPS-TNHA-S10</v>
          </cell>
          <cell r="L705" t="str">
            <v>ST-07</v>
          </cell>
          <cell r="Y705" t="str">
            <v>NOT YET FITUP</v>
          </cell>
        </row>
        <row r="706">
          <cell r="A706" t="str">
            <v>9001-2211-DL-0008-01-WM11</v>
          </cell>
          <cell r="B706" t="str">
            <v>9001-2211-DL-0008-01-WM</v>
          </cell>
          <cell r="C706">
            <v>11</v>
          </cell>
          <cell r="E706" t="str">
            <v>F</v>
          </cell>
          <cell r="F706" t="str">
            <v>10%MT</v>
          </cell>
          <cell r="G706" t="str">
            <v>L</v>
          </cell>
          <cell r="H706">
            <v>5260</v>
          </cell>
          <cell r="K706" t="str">
            <v>WPS-TNHA-S10</v>
          </cell>
          <cell r="L706" t="str">
            <v>ST-07</v>
          </cell>
          <cell r="Y706" t="str">
            <v>NOT YET FITUP</v>
          </cell>
        </row>
        <row r="707">
          <cell r="A707" t="str">
            <v>9001-2211-DL-0008-01-WM12</v>
          </cell>
          <cell r="B707" t="str">
            <v>9001-2211-DL-0008-01-WM</v>
          </cell>
          <cell r="C707">
            <v>12</v>
          </cell>
          <cell r="E707" t="str">
            <v>F</v>
          </cell>
          <cell r="F707" t="str">
            <v>10%MT</v>
          </cell>
          <cell r="G707" t="str">
            <v>L</v>
          </cell>
          <cell r="H707">
            <v>5260</v>
          </cell>
          <cell r="K707" t="str">
            <v>WPS-TNHA-S10</v>
          </cell>
          <cell r="L707" t="str">
            <v>ST-07</v>
          </cell>
          <cell r="Y707" t="str">
            <v>NOT YET FITUP</v>
          </cell>
        </row>
        <row r="708">
          <cell r="A708" t="str">
            <v>9001-2211-DL-0008-01-WM13</v>
          </cell>
          <cell r="B708" t="str">
            <v>9001-2211-DL-0008-01-WM</v>
          </cell>
          <cell r="C708">
            <v>13</v>
          </cell>
          <cell r="E708" t="str">
            <v>F</v>
          </cell>
          <cell r="F708" t="str">
            <v>10%MT</v>
          </cell>
          <cell r="G708" t="str">
            <v>L</v>
          </cell>
          <cell r="H708">
            <v>5260</v>
          </cell>
          <cell r="K708" t="str">
            <v>WPS-TNHA-S10</v>
          </cell>
          <cell r="L708" t="str">
            <v>ST-07</v>
          </cell>
          <cell r="Y708" t="str">
            <v>NOT YET FITUP</v>
          </cell>
        </row>
        <row r="709">
          <cell r="A709" t="str">
            <v>9001-2211-DL-0008-01-WM14</v>
          </cell>
          <cell r="B709" t="str">
            <v>9001-2211-DL-0008-01-WM</v>
          </cell>
          <cell r="C709">
            <v>14</v>
          </cell>
          <cell r="E709" t="str">
            <v>F</v>
          </cell>
          <cell r="F709" t="str">
            <v>10%MT</v>
          </cell>
          <cell r="G709" t="str">
            <v>L</v>
          </cell>
          <cell r="H709">
            <v>5260</v>
          </cell>
          <cell r="K709" t="str">
            <v>WPS-TNHA-S10</v>
          </cell>
          <cell r="L709" t="str">
            <v>ST-07</v>
          </cell>
          <cell r="Y709" t="str">
            <v>NOT YET FITUP</v>
          </cell>
        </row>
        <row r="710">
          <cell r="A710" t="str">
            <v>9001-2211-DL-0008-01-WM15</v>
          </cell>
          <cell r="B710" t="str">
            <v>9001-2211-DL-0008-01-WM</v>
          </cell>
          <cell r="C710">
            <v>15</v>
          </cell>
          <cell r="E710" t="str">
            <v>F</v>
          </cell>
          <cell r="F710" t="str">
            <v>10%MT</v>
          </cell>
          <cell r="G710" t="str">
            <v>L</v>
          </cell>
          <cell r="H710">
            <v>5260</v>
          </cell>
          <cell r="K710" t="str">
            <v>WPS-TNHA-S10</v>
          </cell>
          <cell r="L710" t="str">
            <v>ST-07</v>
          </cell>
          <cell r="M710" t="str">
            <v>THÁI</v>
          </cell>
          <cell r="N710">
            <v>45978</v>
          </cell>
          <cell r="O710" t="str">
            <v>F-087</v>
          </cell>
          <cell r="P710" t="str">
            <v>26/11/2025</v>
          </cell>
          <cell r="Q710" t="str">
            <v>GTC-07</v>
          </cell>
          <cell r="R710" t="str">
            <v>THÁI</v>
          </cell>
          <cell r="S710">
            <v>45994</v>
          </cell>
          <cell r="T710" t="str">
            <v>V-112</v>
          </cell>
          <cell r="Y710" t="str">
            <v>FINISH</v>
          </cell>
          <cell r="Z710" t="str">
            <v>ACC</v>
          </cell>
          <cell r="AA710" t="str">
            <v>ACC</v>
          </cell>
          <cell r="AB710" t="str">
            <v>MT-2211-ST-07-0010</v>
          </cell>
          <cell r="AC710" t="str">
            <v/>
          </cell>
          <cell r="AD710" t="str">
            <v/>
          </cell>
          <cell r="AJ710">
            <v>45995</v>
          </cell>
          <cell r="AK710" t="str">
            <v>FINAL-V-116</v>
          </cell>
        </row>
        <row r="711">
          <cell r="A711" t="str">
            <v>9001-2211-DL-0008-01-WM16</v>
          </cell>
          <cell r="B711" t="str">
            <v>9001-2211-DL-0008-01-WM</v>
          </cell>
          <cell r="C711">
            <v>16</v>
          </cell>
          <cell r="E711" t="str">
            <v>F</v>
          </cell>
          <cell r="F711" t="str">
            <v>10%MT</v>
          </cell>
          <cell r="G711" t="str">
            <v>L</v>
          </cell>
          <cell r="H711">
            <v>5260</v>
          </cell>
          <cell r="K711" t="str">
            <v>WPS-TNHA-S10</v>
          </cell>
          <cell r="L711" t="str">
            <v>ST-07</v>
          </cell>
          <cell r="Y711" t="str">
            <v>NOT YET FITUP</v>
          </cell>
        </row>
        <row r="712">
          <cell r="A712" t="str">
            <v>9001-2211-DL-0008-01-WM17</v>
          </cell>
          <cell r="B712" t="str">
            <v>9001-2211-DL-0008-01-WM</v>
          </cell>
          <cell r="C712">
            <v>17</v>
          </cell>
          <cell r="E712" t="str">
            <v>F</v>
          </cell>
          <cell r="F712" t="str">
            <v>10%MT</v>
          </cell>
          <cell r="G712" t="str">
            <v>L</v>
          </cell>
          <cell r="H712">
            <v>5260</v>
          </cell>
          <cell r="K712" t="str">
            <v>WPS-TNHA-S10</v>
          </cell>
          <cell r="L712" t="str">
            <v>ST-07</v>
          </cell>
          <cell r="Y712" t="str">
            <v>NOT YET FITUP</v>
          </cell>
        </row>
        <row r="713">
          <cell r="A713" t="str">
            <v>9001-2211-DL-0008-01-WM18</v>
          </cell>
          <cell r="B713" t="str">
            <v>9001-2211-DL-0008-01-WM</v>
          </cell>
          <cell r="C713">
            <v>18</v>
          </cell>
          <cell r="E713" t="str">
            <v>F</v>
          </cell>
          <cell r="F713" t="str">
            <v>10%MT</v>
          </cell>
          <cell r="G713" t="str">
            <v>L</v>
          </cell>
          <cell r="H713">
            <v>5260</v>
          </cell>
          <cell r="K713" t="str">
            <v>WPS-TNHA-S10</v>
          </cell>
          <cell r="L713" t="str">
            <v>ST-07</v>
          </cell>
          <cell r="Y713" t="str">
            <v>NOT YET FITUP</v>
          </cell>
        </row>
        <row r="714">
          <cell r="A714" t="str">
            <v>9001-2211-DL-0009-01-WM1</v>
          </cell>
          <cell r="B714" t="str">
            <v>9001-2211-DL-0009-01-WM</v>
          </cell>
          <cell r="C714">
            <v>1</v>
          </cell>
          <cell r="E714" t="str">
            <v>F</v>
          </cell>
          <cell r="F714" t="str">
            <v>10%MT</v>
          </cell>
          <cell r="G714" t="str">
            <v>L</v>
          </cell>
          <cell r="H714">
            <v>5260</v>
          </cell>
          <cell r="K714" t="str">
            <v>WPS-TNHA-S10</v>
          </cell>
          <cell r="L714" t="str">
            <v>ST-08</v>
          </cell>
          <cell r="Y714" t="str">
            <v>NOT YET FITUP</v>
          </cell>
        </row>
        <row r="715">
          <cell r="A715" t="str">
            <v>9001-2211-DL-0009-01-WM2</v>
          </cell>
          <cell r="B715" t="str">
            <v>9001-2211-DL-0009-01-WM</v>
          </cell>
          <cell r="C715">
            <v>2</v>
          </cell>
          <cell r="E715" t="str">
            <v>F</v>
          </cell>
          <cell r="F715" t="str">
            <v>10%MT</v>
          </cell>
          <cell r="G715" t="str">
            <v>L</v>
          </cell>
          <cell r="H715">
            <v>5260</v>
          </cell>
          <cell r="K715" t="str">
            <v>WPS-TNHA-S10</v>
          </cell>
          <cell r="L715" t="str">
            <v>ST-08</v>
          </cell>
          <cell r="Y715" t="str">
            <v>NOT YET FITUP</v>
          </cell>
        </row>
        <row r="716">
          <cell r="A716" t="str">
            <v>9001-2211-DL-0009-01-WM3</v>
          </cell>
          <cell r="B716" t="str">
            <v>9001-2211-DL-0009-01-WM</v>
          </cell>
          <cell r="C716">
            <v>3</v>
          </cell>
          <cell r="E716" t="str">
            <v>F</v>
          </cell>
          <cell r="F716" t="str">
            <v>10%MT</v>
          </cell>
          <cell r="G716" t="str">
            <v>L</v>
          </cell>
          <cell r="H716">
            <v>5260</v>
          </cell>
          <cell r="K716" t="str">
            <v>WPS-TNHA-S10</v>
          </cell>
          <cell r="L716" t="str">
            <v>ST-08</v>
          </cell>
          <cell r="M716" t="str">
            <v>THÁI</v>
          </cell>
          <cell r="N716">
            <v>45978</v>
          </cell>
          <cell r="O716" t="str">
            <v>F-087</v>
          </cell>
          <cell r="P716" t="str">
            <v>20/11/2025</v>
          </cell>
          <cell r="Q716" t="str">
            <v>BGT-0016</v>
          </cell>
          <cell r="R716" t="str">
            <v>THÁI</v>
          </cell>
          <cell r="S716">
            <v>45992</v>
          </cell>
          <cell r="T716" t="str">
            <v>V-106</v>
          </cell>
          <cell r="Y716" t="str">
            <v>FINISH</v>
          </cell>
          <cell r="Z716" t="str">
            <v>ACC</v>
          </cell>
          <cell r="AA716" t="str">
            <v>ACC</v>
          </cell>
          <cell r="AB716" t="str">
            <v>MT-2211-ST-08-0009</v>
          </cell>
          <cell r="AC716" t="str">
            <v/>
          </cell>
          <cell r="AD716" t="str">
            <v/>
          </cell>
          <cell r="AJ716">
            <v>45993</v>
          </cell>
          <cell r="AK716" t="str">
            <v>FINAL-V-108</v>
          </cell>
        </row>
        <row r="717">
          <cell r="A717" t="str">
            <v>9001-2211-DL-0009-01-WM4</v>
          </cell>
          <cell r="B717" t="str">
            <v>9001-2211-DL-0009-01-WM</v>
          </cell>
          <cell r="C717">
            <v>4</v>
          </cell>
          <cell r="E717" t="str">
            <v>F</v>
          </cell>
          <cell r="F717" t="str">
            <v>10%MT</v>
          </cell>
          <cell r="G717" t="str">
            <v>L</v>
          </cell>
          <cell r="H717">
            <v>5260</v>
          </cell>
          <cell r="K717" t="str">
            <v>WPS-TNHA-S10</v>
          </cell>
          <cell r="L717" t="str">
            <v>ST-08</v>
          </cell>
          <cell r="M717" t="str">
            <v>TUÂN</v>
          </cell>
          <cell r="N717">
            <v>45983</v>
          </cell>
          <cell r="O717" t="str">
            <v>F-098</v>
          </cell>
          <cell r="P717" t="str">
            <v>15h 25/11/2025</v>
          </cell>
          <cell r="Q717" t="str">
            <v>GTC-07</v>
          </cell>
          <cell r="R717" t="str">
            <v>BÁCH</v>
          </cell>
          <cell r="S717">
            <v>45990</v>
          </cell>
          <cell r="T717" t="str">
            <v>V-100</v>
          </cell>
          <cell r="Y717" t="str">
            <v>FINISH</v>
          </cell>
          <cell r="Z717" t="str">
            <v>ACC</v>
          </cell>
          <cell r="AA717" t="str">
            <v>ACC</v>
          </cell>
          <cell r="AB717" t="str">
            <v>MT-2211-ST-08-0008</v>
          </cell>
          <cell r="AC717" t="str">
            <v/>
          </cell>
          <cell r="AD717" t="str">
            <v/>
          </cell>
          <cell r="AJ717">
            <v>45992</v>
          </cell>
          <cell r="AK717" t="str">
            <v>FINAL-V-105</v>
          </cell>
        </row>
        <row r="718">
          <cell r="A718" t="str">
            <v>9001-2211-DL-0009-01-WM5</v>
          </cell>
          <cell r="B718" t="str">
            <v>9001-2211-DL-0009-01-WM</v>
          </cell>
          <cell r="C718">
            <v>5</v>
          </cell>
          <cell r="E718" t="str">
            <v>F</v>
          </cell>
          <cell r="F718" t="str">
            <v>10%MT</v>
          </cell>
          <cell r="G718" t="str">
            <v>L</v>
          </cell>
          <cell r="H718">
            <v>5260</v>
          </cell>
          <cell r="K718" t="str">
            <v>WPS-TNHA-S10</v>
          </cell>
          <cell r="L718" t="str">
            <v>ST-08</v>
          </cell>
          <cell r="Y718" t="str">
            <v>NOT YET FITUP</v>
          </cell>
        </row>
        <row r="719">
          <cell r="A719" t="str">
            <v>9001-2211-DL-0009-01-WM6</v>
          </cell>
          <cell r="B719" t="str">
            <v>9001-2211-DL-0009-01-WM</v>
          </cell>
          <cell r="C719">
            <v>6</v>
          </cell>
          <cell r="E719" t="str">
            <v>F</v>
          </cell>
          <cell r="F719" t="str">
            <v>10%MT</v>
          </cell>
          <cell r="G719" t="str">
            <v>L</v>
          </cell>
          <cell r="H719">
            <v>5260</v>
          </cell>
          <cell r="K719" t="str">
            <v>WPS-TNHA-S10</v>
          </cell>
          <cell r="L719" t="str">
            <v>ST-08</v>
          </cell>
          <cell r="Y719" t="str">
            <v>NOT YET FITUP</v>
          </cell>
        </row>
        <row r="720">
          <cell r="A720" t="str">
            <v>9001-2211-DL-0009-01-WM7</v>
          </cell>
          <cell r="B720" t="str">
            <v>9001-2211-DL-0009-01-WM</v>
          </cell>
          <cell r="C720">
            <v>7</v>
          </cell>
          <cell r="E720" t="str">
            <v>F</v>
          </cell>
          <cell r="F720" t="str">
            <v>10%MT</v>
          </cell>
          <cell r="G720" t="str">
            <v>L</v>
          </cell>
          <cell r="H720">
            <v>5260</v>
          </cell>
          <cell r="K720" t="str">
            <v>WPS-TNHA-S10</v>
          </cell>
          <cell r="L720" t="str">
            <v>ST-08</v>
          </cell>
          <cell r="Y720" t="str">
            <v>NOT YET FITUP</v>
          </cell>
        </row>
        <row r="721">
          <cell r="A721" t="str">
            <v>9001-2211-DL-0009-01-WM8</v>
          </cell>
          <cell r="B721" t="str">
            <v>9001-2211-DL-0009-01-WM</v>
          </cell>
          <cell r="C721">
            <v>8</v>
          </cell>
          <cell r="E721" t="str">
            <v>F</v>
          </cell>
          <cell r="F721" t="str">
            <v>10%MT</v>
          </cell>
          <cell r="G721" t="str">
            <v>L</v>
          </cell>
          <cell r="H721">
            <v>5260</v>
          </cell>
          <cell r="K721" t="str">
            <v>WPS-TNHA-S10</v>
          </cell>
          <cell r="L721" t="str">
            <v>ST-08</v>
          </cell>
          <cell r="Y721" t="str">
            <v>NOT YET FITUP</v>
          </cell>
        </row>
        <row r="722">
          <cell r="A722" t="str">
            <v>9001-2211-DL-0009-01-WM9</v>
          </cell>
          <cell r="B722" t="str">
            <v>9001-2211-DL-0009-01-WM</v>
          </cell>
          <cell r="C722">
            <v>9</v>
          </cell>
          <cell r="E722" t="str">
            <v>F</v>
          </cell>
          <cell r="F722" t="str">
            <v>10%MT</v>
          </cell>
          <cell r="G722" t="str">
            <v>L</v>
          </cell>
          <cell r="H722">
            <v>5260</v>
          </cell>
          <cell r="K722" t="str">
            <v>WPS-TNHA-S10</v>
          </cell>
          <cell r="L722" t="str">
            <v>ST-08</v>
          </cell>
          <cell r="Y722" t="str">
            <v>NOT YET FITUP</v>
          </cell>
        </row>
        <row r="723">
          <cell r="A723" t="str">
            <v>9001-2211-DL-0009-01-WM10</v>
          </cell>
          <cell r="B723" t="str">
            <v>9001-2211-DL-0009-01-WM</v>
          </cell>
          <cell r="C723">
            <v>10</v>
          </cell>
          <cell r="E723" t="str">
            <v>F</v>
          </cell>
          <cell r="F723" t="str">
            <v>10%MT</v>
          </cell>
          <cell r="G723" t="str">
            <v>L</v>
          </cell>
          <cell r="H723">
            <v>5260</v>
          </cell>
          <cell r="K723" t="str">
            <v>WPS-TNHA-S10</v>
          </cell>
          <cell r="L723" t="str">
            <v>ST-08</v>
          </cell>
          <cell r="Y723" t="str">
            <v>NOT YET FITUP</v>
          </cell>
        </row>
        <row r="724">
          <cell r="A724" t="str">
            <v>9001-2211-DL-0009-01-WM11</v>
          </cell>
          <cell r="B724" t="str">
            <v>9001-2211-DL-0009-01-WM</v>
          </cell>
          <cell r="C724">
            <v>11</v>
          </cell>
          <cell r="E724" t="str">
            <v>F</v>
          </cell>
          <cell r="F724" t="str">
            <v>10%MT</v>
          </cell>
          <cell r="G724" t="str">
            <v>L</v>
          </cell>
          <cell r="H724">
            <v>5260</v>
          </cell>
          <cell r="K724" t="str">
            <v>WPS-TNHA-S10</v>
          </cell>
          <cell r="L724" t="str">
            <v>ST-08</v>
          </cell>
          <cell r="M724" t="str">
            <v>THÁI</v>
          </cell>
          <cell r="N724">
            <v>45978</v>
          </cell>
          <cell r="O724" t="str">
            <v>F-087</v>
          </cell>
          <cell r="P724" t="str">
            <v>20/11/2025</v>
          </cell>
          <cell r="Q724" t="str">
            <v>BGT-0016</v>
          </cell>
          <cell r="R724" t="str">
            <v>THÁI</v>
          </cell>
          <cell r="S724">
            <v>45992</v>
          </cell>
          <cell r="T724" t="str">
            <v>V-106</v>
          </cell>
          <cell r="Y724" t="str">
            <v>FINISH</v>
          </cell>
          <cell r="Z724" t="str">
            <v>ACC</v>
          </cell>
          <cell r="AA724" t="str">
            <v>ACC</v>
          </cell>
          <cell r="AB724" t="str">
            <v>MT-2211-ST-08-0009</v>
          </cell>
          <cell r="AC724" t="str">
            <v/>
          </cell>
          <cell r="AD724" t="str">
            <v/>
          </cell>
          <cell r="AJ724">
            <v>45993</v>
          </cell>
          <cell r="AK724" t="str">
            <v>FINAL-V-108</v>
          </cell>
        </row>
        <row r="725">
          <cell r="A725" t="str">
            <v>9001-2211-DL-0009-01-WM12</v>
          </cell>
          <cell r="B725" t="str">
            <v>9001-2211-DL-0009-01-WM</v>
          </cell>
          <cell r="C725">
            <v>12</v>
          </cell>
          <cell r="E725" t="str">
            <v>F</v>
          </cell>
          <cell r="F725" t="str">
            <v>10%MT</v>
          </cell>
          <cell r="G725" t="str">
            <v>L</v>
          </cell>
          <cell r="H725">
            <v>5260</v>
          </cell>
          <cell r="K725" t="str">
            <v>WPS-TNHA-S10</v>
          </cell>
          <cell r="L725" t="str">
            <v>ST-08</v>
          </cell>
          <cell r="M725" t="str">
            <v>THÁI</v>
          </cell>
          <cell r="N725">
            <v>45978</v>
          </cell>
          <cell r="O725" t="str">
            <v>F-087</v>
          </cell>
          <cell r="P725" t="str">
            <v>20/11/2025</v>
          </cell>
          <cell r="Q725" t="str">
            <v>BGT-0016</v>
          </cell>
          <cell r="R725" t="str">
            <v>THÁI</v>
          </cell>
          <cell r="S725">
            <v>45992</v>
          </cell>
          <cell r="T725" t="str">
            <v>V-106</v>
          </cell>
          <cell r="Y725" t="str">
            <v>FINISH</v>
          </cell>
          <cell r="Z725" t="str">
            <v>ACC</v>
          </cell>
          <cell r="AA725" t="str">
            <v>ACC</v>
          </cell>
          <cell r="AB725" t="str">
            <v>MT-2211-ST-08-0009</v>
          </cell>
          <cell r="AC725" t="str">
            <v/>
          </cell>
          <cell r="AD725" t="str">
            <v/>
          </cell>
          <cell r="AJ725">
            <v>45993</v>
          </cell>
          <cell r="AK725" t="str">
            <v>FINAL-V-108</v>
          </cell>
        </row>
        <row r="726">
          <cell r="A726" t="str">
            <v>9001-2211-DL-0009-01-WM13</v>
          </cell>
          <cell r="B726" t="str">
            <v>9001-2211-DL-0009-01-WM</v>
          </cell>
          <cell r="C726">
            <v>13</v>
          </cell>
          <cell r="E726" t="str">
            <v>F</v>
          </cell>
          <cell r="F726" t="str">
            <v>10%MT</v>
          </cell>
          <cell r="G726" t="str">
            <v>L</v>
          </cell>
          <cell r="H726">
            <v>5260</v>
          </cell>
          <cell r="K726" t="str">
            <v>WPS-TNHA-S10</v>
          </cell>
          <cell r="L726" t="str">
            <v>ST-08</v>
          </cell>
          <cell r="M726" t="str">
            <v>TUÂN</v>
          </cell>
          <cell r="N726">
            <v>45983</v>
          </cell>
          <cell r="O726" t="str">
            <v>F-098</v>
          </cell>
          <cell r="P726" t="str">
            <v>15h 25/11/2025</v>
          </cell>
          <cell r="Q726" t="str">
            <v>GTC-07</v>
          </cell>
          <cell r="R726" t="str">
            <v>BÁCH</v>
          </cell>
          <cell r="S726">
            <v>45990</v>
          </cell>
          <cell r="T726" t="str">
            <v>V-100</v>
          </cell>
          <cell r="Y726" t="str">
            <v>FINISH</v>
          </cell>
          <cell r="Z726" t="str">
            <v>ACC</v>
          </cell>
          <cell r="AA726" t="str">
            <v>ACC</v>
          </cell>
          <cell r="AB726" t="str">
            <v>MT-2211-ST-08-0008</v>
          </cell>
          <cell r="AC726" t="str">
            <v/>
          </cell>
          <cell r="AD726" t="str">
            <v/>
          </cell>
          <cell r="AJ726">
            <v>45992</v>
          </cell>
          <cell r="AK726" t="str">
            <v>FINAL-V-105</v>
          </cell>
        </row>
        <row r="727">
          <cell r="A727" t="str">
            <v>9001-2211-DL-0009-01-WM14</v>
          </cell>
          <cell r="B727" t="str">
            <v>9001-2211-DL-0009-01-WM</v>
          </cell>
          <cell r="C727">
            <v>14</v>
          </cell>
          <cell r="E727" t="str">
            <v>F</v>
          </cell>
          <cell r="F727" t="str">
            <v>10%MT</v>
          </cell>
          <cell r="G727" t="str">
            <v>L</v>
          </cell>
          <cell r="H727">
            <v>5260</v>
          </cell>
          <cell r="K727" t="str">
            <v>WPS-TNHA-S10</v>
          </cell>
          <cell r="L727" t="str">
            <v>ST-08</v>
          </cell>
          <cell r="M727" t="str">
            <v>TUÂN</v>
          </cell>
          <cell r="N727">
            <v>45983</v>
          </cell>
          <cell r="O727" t="str">
            <v>F-098</v>
          </cell>
          <cell r="P727" t="str">
            <v>15h 25/11/2025</v>
          </cell>
          <cell r="Q727" t="str">
            <v>GTC-07</v>
          </cell>
          <cell r="R727" t="str">
            <v>BÁCH</v>
          </cell>
          <cell r="S727">
            <v>45990</v>
          </cell>
          <cell r="T727" t="str">
            <v>V-100</v>
          </cell>
          <cell r="Y727" t="str">
            <v>FINISH</v>
          </cell>
          <cell r="Z727" t="str">
            <v>ACC</v>
          </cell>
          <cell r="AA727" t="str">
            <v>ACC</v>
          </cell>
          <cell r="AB727" t="str">
            <v>MT-2211-ST-08-0008</v>
          </cell>
          <cell r="AC727" t="str">
            <v/>
          </cell>
          <cell r="AD727" t="str">
            <v/>
          </cell>
          <cell r="AJ727">
            <v>45992</v>
          </cell>
          <cell r="AK727" t="str">
            <v>FINAL-V-105</v>
          </cell>
        </row>
        <row r="728">
          <cell r="A728" t="str">
            <v>9001-2211-DL-0009-01-WM15</v>
          </cell>
          <cell r="B728" t="str">
            <v>9001-2211-DL-0009-01-WM</v>
          </cell>
          <cell r="C728">
            <v>15</v>
          </cell>
          <cell r="E728" t="str">
            <v>F</v>
          </cell>
          <cell r="F728" t="str">
            <v>10%MT</v>
          </cell>
          <cell r="G728" t="str">
            <v>L</v>
          </cell>
          <cell r="H728">
            <v>5260</v>
          </cell>
          <cell r="K728" t="str">
            <v>WPS-TNHA-S10</v>
          </cell>
          <cell r="L728" t="str">
            <v>ST-08</v>
          </cell>
          <cell r="Y728" t="str">
            <v>NOT YET FITUP</v>
          </cell>
        </row>
        <row r="729">
          <cell r="A729" t="str">
            <v>9001-2211-DL-0009-01-WM16</v>
          </cell>
          <cell r="B729" t="str">
            <v>9001-2211-DL-0009-01-WM</v>
          </cell>
          <cell r="C729">
            <v>16</v>
          </cell>
          <cell r="E729" t="str">
            <v>F</v>
          </cell>
          <cell r="F729" t="str">
            <v>10%MT</v>
          </cell>
          <cell r="G729" t="str">
            <v>L</v>
          </cell>
          <cell r="H729">
            <v>5260</v>
          </cell>
          <cell r="K729" t="str">
            <v>WPS-TNHA-S10</v>
          </cell>
          <cell r="L729" t="str">
            <v>ST-08</v>
          </cell>
          <cell r="Y729" t="str">
            <v>NOT YET FITUP</v>
          </cell>
        </row>
        <row r="730">
          <cell r="A730" t="str">
            <v>9001-2211-DL-0009-01-WM17</v>
          </cell>
          <cell r="B730" t="str">
            <v>9001-2211-DL-0009-01-WM</v>
          </cell>
          <cell r="C730">
            <v>17</v>
          </cell>
          <cell r="E730" t="str">
            <v>F</v>
          </cell>
          <cell r="F730" t="str">
            <v>10%MT</v>
          </cell>
          <cell r="G730" t="str">
            <v>L</v>
          </cell>
          <cell r="H730">
            <v>5260</v>
          </cell>
          <cell r="K730" t="str">
            <v>WPS-TNHA-S10</v>
          </cell>
          <cell r="L730" t="str">
            <v>ST-08</v>
          </cell>
          <cell r="Y730" t="str">
            <v>NOT YET FITUP</v>
          </cell>
        </row>
        <row r="731">
          <cell r="A731" t="str">
            <v>9001-2211-DL-0009-01-WM18</v>
          </cell>
          <cell r="B731" t="str">
            <v>9001-2211-DL-0009-01-WM</v>
          </cell>
          <cell r="C731">
            <v>18</v>
          </cell>
          <cell r="E731" t="str">
            <v>F</v>
          </cell>
          <cell r="F731" t="str">
            <v>10%MT</v>
          </cell>
          <cell r="G731" t="str">
            <v>L</v>
          </cell>
          <cell r="H731">
            <v>5260</v>
          </cell>
          <cell r="K731" t="str">
            <v>WPS-TNHA-S10</v>
          </cell>
          <cell r="L731" t="str">
            <v>ST-08</v>
          </cell>
          <cell r="Y731" t="str">
            <v>NOT YET FITUP</v>
          </cell>
        </row>
        <row r="732">
          <cell r="A732" t="str">
            <v>9001-2211-DL-0009-01-WM19</v>
          </cell>
          <cell r="B732" t="str">
            <v>9001-2211-DL-0009-01-WM</v>
          </cell>
          <cell r="C732">
            <v>19</v>
          </cell>
          <cell r="E732" t="str">
            <v>F</v>
          </cell>
          <cell r="F732" t="str">
            <v>10%MT</v>
          </cell>
          <cell r="G732" t="str">
            <v>L</v>
          </cell>
          <cell r="H732">
            <v>5260</v>
          </cell>
          <cell r="K732" t="str">
            <v>WPS-TNHA-S10</v>
          </cell>
          <cell r="L732" t="str">
            <v>ST-08</v>
          </cell>
          <cell r="Y732" t="str">
            <v>NOT YET FITUP</v>
          </cell>
        </row>
        <row r="733">
          <cell r="A733" t="str">
            <v>9001-2211-DL-0009-01-WM20</v>
          </cell>
          <cell r="B733" t="str">
            <v>9001-2211-DL-0009-01-WM</v>
          </cell>
          <cell r="C733">
            <v>20</v>
          </cell>
          <cell r="E733" t="str">
            <v>F</v>
          </cell>
          <cell r="F733" t="str">
            <v>10%MT</v>
          </cell>
          <cell r="G733" t="str">
            <v>L</v>
          </cell>
          <cell r="H733">
            <v>5260</v>
          </cell>
          <cell r="K733" t="str">
            <v>WPS-TNHA-S10</v>
          </cell>
          <cell r="L733" t="str">
            <v>ST-08</v>
          </cell>
          <cell r="Y733" t="str">
            <v>NOT YET FITUP</v>
          </cell>
        </row>
        <row r="734">
          <cell r="A734" t="str">
            <v>9001-2211-DL-0009-01-WM21</v>
          </cell>
          <cell r="B734" t="str">
            <v>9001-2211-DL-0009-01-WM</v>
          </cell>
          <cell r="C734">
            <v>21</v>
          </cell>
          <cell r="E734" t="str">
            <v>F</v>
          </cell>
          <cell r="F734" t="str">
            <v>10%MT</v>
          </cell>
          <cell r="G734" t="str">
            <v>L</v>
          </cell>
          <cell r="H734">
            <v>5260</v>
          </cell>
          <cell r="K734" t="str">
            <v>WPS-TNHA-S10</v>
          </cell>
          <cell r="L734" t="str">
            <v>ST-08</v>
          </cell>
          <cell r="Y734" t="str">
            <v>NOT YET FITUP</v>
          </cell>
        </row>
        <row r="735">
          <cell r="A735" t="str">
            <v>9001-2211-DL-0009-01-WM22</v>
          </cell>
          <cell r="B735" t="str">
            <v>9001-2211-DL-0009-01-WM</v>
          </cell>
          <cell r="C735">
            <v>22</v>
          </cell>
          <cell r="E735" t="str">
            <v>F</v>
          </cell>
          <cell r="F735" t="str">
            <v>10%MT</v>
          </cell>
          <cell r="G735" t="str">
            <v>L</v>
          </cell>
          <cell r="H735">
            <v>5260</v>
          </cell>
          <cell r="K735" t="str">
            <v>WPS-TNHA-S10</v>
          </cell>
          <cell r="L735" t="str">
            <v>ST-08</v>
          </cell>
          <cell r="Y735" t="str">
            <v>NOT YET FITUP</v>
          </cell>
        </row>
        <row r="736">
          <cell r="A736" t="str">
            <v>9001-2211-DL-0009-01-WM23</v>
          </cell>
          <cell r="B736" t="str">
            <v>9001-2211-DL-0009-01-WM</v>
          </cell>
          <cell r="C736">
            <v>23</v>
          </cell>
          <cell r="E736" t="str">
            <v>F</v>
          </cell>
          <cell r="F736" t="str">
            <v>10%MT</v>
          </cell>
          <cell r="G736" t="str">
            <v>L</v>
          </cell>
          <cell r="H736">
            <v>5260</v>
          </cell>
          <cell r="K736" t="str">
            <v>WPS-TNHA-S10</v>
          </cell>
          <cell r="L736" t="str">
            <v>ST-08</v>
          </cell>
          <cell r="Y736" t="str">
            <v>NOT YET FITUP</v>
          </cell>
        </row>
        <row r="737">
          <cell r="A737" t="str">
            <v>9001-2211-DL-0009-01-WM24</v>
          </cell>
          <cell r="B737" t="str">
            <v>9001-2211-DL-0009-01-WM</v>
          </cell>
          <cell r="C737">
            <v>24</v>
          </cell>
          <cell r="E737" t="str">
            <v>F</v>
          </cell>
          <cell r="F737" t="str">
            <v>10%MT</v>
          </cell>
          <cell r="G737" t="str">
            <v>L</v>
          </cell>
          <cell r="H737">
            <v>5260</v>
          </cell>
          <cell r="K737" t="str">
            <v>WPS-TNHA-S10</v>
          </cell>
          <cell r="L737" t="str">
            <v>ST-08</v>
          </cell>
          <cell r="Y737" t="str">
            <v>NOT YET FITUP</v>
          </cell>
        </row>
        <row r="738">
          <cell r="A738" t="str">
            <v>9001-2211-DL-0009-01-WM25</v>
          </cell>
          <cell r="B738" t="str">
            <v>9001-2211-DL-0009-01-WM</v>
          </cell>
          <cell r="C738">
            <v>25</v>
          </cell>
          <cell r="E738" t="str">
            <v>F</v>
          </cell>
          <cell r="F738" t="str">
            <v>10%MT</v>
          </cell>
          <cell r="G738" t="str">
            <v>L</v>
          </cell>
          <cell r="H738">
            <v>5260</v>
          </cell>
          <cell r="K738" t="str">
            <v>WPS-TNHA-S10</v>
          </cell>
          <cell r="L738" t="str">
            <v>ST-08</v>
          </cell>
          <cell r="Y738" t="str">
            <v>NOT YET FITUP</v>
          </cell>
        </row>
        <row r="739">
          <cell r="A739" t="str">
            <v>9001-2211-DL-0009-01-WM26</v>
          </cell>
          <cell r="B739" t="str">
            <v>9001-2211-DL-0009-01-WM</v>
          </cell>
          <cell r="C739">
            <v>26</v>
          </cell>
          <cell r="E739" t="str">
            <v>F</v>
          </cell>
          <cell r="F739" t="str">
            <v>10%MT</v>
          </cell>
          <cell r="G739" t="str">
            <v>L</v>
          </cell>
          <cell r="H739">
            <v>5260</v>
          </cell>
          <cell r="K739" t="str">
            <v>WPS-TNHA-S10</v>
          </cell>
          <cell r="L739" t="str">
            <v>ST-08</v>
          </cell>
          <cell r="Y739" t="str">
            <v>NOT YET FITUP</v>
          </cell>
        </row>
        <row r="740">
          <cell r="A740" t="str">
            <v>9001-2211-DL-0010-01-WM1</v>
          </cell>
          <cell r="B740" t="str">
            <v>9001-2211-DL-0010-01-WM</v>
          </cell>
          <cell r="C740">
            <v>1</v>
          </cell>
          <cell r="E740" t="str">
            <v>F</v>
          </cell>
          <cell r="F740" t="str">
            <v>10%MT</v>
          </cell>
          <cell r="G740" t="str">
            <v>L</v>
          </cell>
          <cell r="H740">
            <v>5260</v>
          </cell>
          <cell r="K740" t="str">
            <v>WPS-TNHA-S10</v>
          </cell>
          <cell r="L740" t="str">
            <v>ST-09</v>
          </cell>
          <cell r="M740" t="str">
            <v>BÁCH</v>
          </cell>
          <cell r="N740">
            <v>46007</v>
          </cell>
          <cell r="O740" t="str">
            <v>F-135</v>
          </cell>
          <cell r="P740" t="str">
            <v>14/12/2025</v>
          </cell>
          <cell r="Q740" t="str">
            <v>DHN-SL-05;DHN-SL-43</v>
          </cell>
          <cell r="R740" t="str">
            <v>BÁCH</v>
          </cell>
          <cell r="S740">
            <v>46008</v>
          </cell>
          <cell r="T740" t="str">
            <v>V-145</v>
          </cell>
          <cell r="Y740" t="str">
            <v>FINISH</v>
          </cell>
          <cell r="Z740" t="str">
            <v>ACC</v>
          </cell>
          <cell r="AA740" t="str">
            <v>ACC</v>
          </cell>
          <cell r="AB740" t="str">
            <v>MT-2211-ST-09-0022</v>
          </cell>
          <cell r="AC740" t="str">
            <v/>
          </cell>
          <cell r="AD740" t="str">
            <v/>
          </cell>
        </row>
        <row r="741">
          <cell r="A741" t="str">
            <v>9001-2211-DL-0010-01-WM2</v>
          </cell>
          <cell r="B741" t="str">
            <v>9001-2211-DL-0010-01-WM</v>
          </cell>
          <cell r="C741">
            <v>2</v>
          </cell>
          <cell r="E741" t="str">
            <v>F</v>
          </cell>
          <cell r="F741" t="str">
            <v>10%MT</v>
          </cell>
          <cell r="G741" t="str">
            <v>L</v>
          </cell>
          <cell r="H741">
            <v>5260</v>
          </cell>
          <cell r="K741" t="str">
            <v>WPS-TNHA-S10</v>
          </cell>
          <cell r="L741" t="str">
            <v>ST-09</v>
          </cell>
          <cell r="Y741" t="str">
            <v>NOT YET FITUP</v>
          </cell>
        </row>
        <row r="742">
          <cell r="A742" t="str">
            <v>9001-2211-DL-0010-01-WM3</v>
          </cell>
          <cell r="B742" t="str">
            <v>9001-2211-DL-0010-01-WM</v>
          </cell>
          <cell r="C742">
            <v>3</v>
          </cell>
          <cell r="E742" t="str">
            <v>F</v>
          </cell>
          <cell r="F742" t="str">
            <v>10%MT</v>
          </cell>
          <cell r="G742" t="str">
            <v>L</v>
          </cell>
          <cell r="H742">
            <v>5260</v>
          </cell>
          <cell r="K742" t="str">
            <v>WPS-TNHA-S10</v>
          </cell>
          <cell r="L742" t="str">
            <v>ST-09</v>
          </cell>
          <cell r="Y742" t="str">
            <v>NOT YET FITUP</v>
          </cell>
        </row>
        <row r="743">
          <cell r="A743" t="str">
            <v>9001-2211-DL-0010-01-WM4</v>
          </cell>
          <cell r="B743" t="str">
            <v>9001-2211-DL-0010-01-WM</v>
          </cell>
          <cell r="C743">
            <v>4</v>
          </cell>
          <cell r="E743" t="str">
            <v>F</v>
          </cell>
          <cell r="F743" t="str">
            <v>10%MT</v>
          </cell>
          <cell r="G743" t="str">
            <v>L</v>
          </cell>
          <cell r="H743">
            <v>5260</v>
          </cell>
          <cell r="K743" t="str">
            <v>WPS-TNHA-S10</v>
          </cell>
          <cell r="L743" t="str">
            <v>ST-09</v>
          </cell>
          <cell r="M743" t="str">
            <v>BÁCH</v>
          </cell>
          <cell r="N743">
            <v>46001</v>
          </cell>
          <cell r="O743" t="str">
            <v>F-125</v>
          </cell>
          <cell r="P743" t="str">
            <v>16h 10/12/2025</v>
          </cell>
          <cell r="Q743" t="str">
            <v>DHN-SL-05;DHN-SL-43</v>
          </cell>
          <cell r="R743" t="str">
            <v>BÁCH</v>
          </cell>
          <cell r="S743">
            <v>46008</v>
          </cell>
          <cell r="T743" t="str">
            <v>V-145</v>
          </cell>
          <cell r="Y743" t="str">
            <v>FINISH</v>
          </cell>
          <cell r="Z743" t="str">
            <v>ACC</v>
          </cell>
          <cell r="AA743" t="str">
            <v>ACC</v>
          </cell>
          <cell r="AB743" t="str">
            <v>MT-2211-ST-09-0022</v>
          </cell>
          <cell r="AC743" t="str">
            <v/>
          </cell>
          <cell r="AD743" t="str">
            <v/>
          </cell>
        </row>
        <row r="744">
          <cell r="A744" t="str">
            <v>9001-2211-DL-0010-01-WM5</v>
          </cell>
          <cell r="B744" t="str">
            <v>9001-2211-DL-0010-01-WM</v>
          </cell>
          <cell r="C744">
            <v>5</v>
          </cell>
          <cell r="E744" t="str">
            <v>F</v>
          </cell>
          <cell r="F744" t="str">
            <v>10%MT</v>
          </cell>
          <cell r="G744" t="str">
            <v>L</v>
          </cell>
          <cell r="H744">
            <v>5260</v>
          </cell>
          <cell r="K744" t="str">
            <v>WPS-TNHA-S10</v>
          </cell>
          <cell r="L744" t="str">
            <v>ST-09</v>
          </cell>
          <cell r="M744" t="str">
            <v>BÁCH</v>
          </cell>
          <cell r="N744">
            <v>46001</v>
          </cell>
          <cell r="O744" t="str">
            <v>F-125</v>
          </cell>
          <cell r="P744" t="str">
            <v>16h 11/12/2025</v>
          </cell>
          <cell r="Q744" t="str">
            <v>DHN-SL-05;DHN-SL-43</v>
          </cell>
          <cell r="R744" t="str">
            <v>BÁCH</v>
          </cell>
          <cell r="S744">
            <v>46008</v>
          </cell>
          <cell r="T744" t="str">
            <v>V-145</v>
          </cell>
          <cell r="Y744" t="str">
            <v>FINISH</v>
          </cell>
          <cell r="Z744" t="str">
            <v>ACC</v>
          </cell>
          <cell r="AA744" t="str">
            <v>ACC</v>
          </cell>
          <cell r="AB744" t="str">
            <v>MT-2211-ST-09-0022</v>
          </cell>
          <cell r="AC744" t="str">
            <v/>
          </cell>
          <cell r="AD744" t="str">
            <v/>
          </cell>
        </row>
        <row r="745">
          <cell r="A745" t="str">
            <v>9001-2211-DL-0010-01-WM6</v>
          </cell>
          <cell r="B745" t="str">
            <v>9001-2211-DL-0010-01-WM</v>
          </cell>
          <cell r="C745">
            <v>6</v>
          </cell>
          <cell r="E745" t="str">
            <v>F</v>
          </cell>
          <cell r="F745" t="str">
            <v>10%MT</v>
          </cell>
          <cell r="G745" t="str">
            <v>L</v>
          </cell>
          <cell r="H745">
            <v>5260</v>
          </cell>
          <cell r="K745" t="str">
            <v>WPS-TNHA-S10</v>
          </cell>
          <cell r="L745" t="str">
            <v>ST-09</v>
          </cell>
          <cell r="M745" t="str">
            <v>BÁCH</v>
          </cell>
          <cell r="N745">
            <v>46001</v>
          </cell>
          <cell r="O745" t="str">
            <v>F-125</v>
          </cell>
          <cell r="P745" t="str">
            <v>15h30 12/12/2025</v>
          </cell>
          <cell r="Q745" t="str">
            <v>DHN-SL-05;DHN-SL-43</v>
          </cell>
          <cell r="R745" t="str">
            <v>BÁCH</v>
          </cell>
          <cell r="S745">
            <v>46008</v>
          </cell>
          <cell r="T745" t="str">
            <v>V-145</v>
          </cell>
          <cell r="Y745" t="str">
            <v>FINISH</v>
          </cell>
          <cell r="Z745" t="str">
            <v>ACC</v>
          </cell>
          <cell r="AA745" t="str">
            <v>ACC</v>
          </cell>
          <cell r="AB745" t="str">
            <v>MT-2211-ST-09-0022</v>
          </cell>
          <cell r="AC745" t="str">
            <v/>
          </cell>
          <cell r="AD745" t="str">
            <v/>
          </cell>
        </row>
        <row r="746">
          <cell r="A746" t="str">
            <v>9001-2211-DL-0010-01-WM7</v>
          </cell>
          <cell r="B746" t="str">
            <v>9001-2211-DL-0010-01-WM</v>
          </cell>
          <cell r="C746">
            <v>7</v>
          </cell>
          <cell r="E746" t="str">
            <v>F</v>
          </cell>
          <cell r="F746" t="str">
            <v>10%MT</v>
          </cell>
          <cell r="G746" t="str">
            <v>L</v>
          </cell>
          <cell r="H746">
            <v>5260</v>
          </cell>
          <cell r="K746" t="str">
            <v>WPS-TNHA-S10</v>
          </cell>
          <cell r="L746" t="str">
            <v>ST-09</v>
          </cell>
          <cell r="M746" t="str">
            <v>BÁCH</v>
          </cell>
          <cell r="N746">
            <v>46001</v>
          </cell>
          <cell r="O746" t="str">
            <v>F-125</v>
          </cell>
          <cell r="P746" t="str">
            <v>16h00 12/12/2025</v>
          </cell>
          <cell r="Q746" t="str">
            <v>DHN-SL-05;DHN-SL-43</v>
          </cell>
          <cell r="R746" t="str">
            <v>BÁCH</v>
          </cell>
          <cell r="S746">
            <v>46008</v>
          </cell>
          <cell r="T746" t="str">
            <v>V-145</v>
          </cell>
          <cell r="Y746" t="str">
            <v>FINISH</v>
          </cell>
          <cell r="Z746" t="str">
            <v>ACC</v>
          </cell>
          <cell r="AA746" t="str">
            <v>ACC</v>
          </cell>
          <cell r="AB746" t="str">
            <v>MT-2211-ST-09-0022</v>
          </cell>
          <cell r="AC746" t="str">
            <v/>
          </cell>
          <cell r="AD746" t="str">
            <v/>
          </cell>
        </row>
        <row r="747">
          <cell r="A747" t="str">
            <v>9001-2211-DL-0010-01-WM8</v>
          </cell>
          <cell r="B747" t="str">
            <v>9001-2211-DL-0010-01-WM</v>
          </cell>
          <cell r="C747">
            <v>8</v>
          </cell>
          <cell r="E747" t="str">
            <v>F</v>
          </cell>
          <cell r="F747" t="str">
            <v>10%MT</v>
          </cell>
          <cell r="G747" t="str">
            <v>L</v>
          </cell>
          <cell r="H747">
            <v>5260</v>
          </cell>
          <cell r="K747" t="str">
            <v>WPS-TNHA-S10</v>
          </cell>
          <cell r="L747" t="str">
            <v>ST-09</v>
          </cell>
          <cell r="M747" t="str">
            <v>BÁCH</v>
          </cell>
          <cell r="N747">
            <v>46001</v>
          </cell>
          <cell r="O747" t="str">
            <v>F-125</v>
          </cell>
          <cell r="P747" t="str">
            <v>14h 10/12/2025</v>
          </cell>
          <cell r="Q747" t="str">
            <v>DHN-SL-05;DHN-SL-43</v>
          </cell>
          <cell r="R747" t="str">
            <v>BÁCH</v>
          </cell>
          <cell r="S747">
            <v>46008</v>
          </cell>
          <cell r="T747" t="str">
            <v>V-145</v>
          </cell>
          <cell r="Y747" t="str">
            <v>FINISH</v>
          </cell>
          <cell r="Z747" t="str">
            <v>ACC</v>
          </cell>
          <cell r="AA747" t="str">
            <v>ACC</v>
          </cell>
          <cell r="AB747" t="str">
            <v>MT-2211-ST-09-0022</v>
          </cell>
          <cell r="AC747" t="str">
            <v/>
          </cell>
          <cell r="AD747" t="str">
            <v/>
          </cell>
        </row>
        <row r="748">
          <cell r="A748" t="str">
            <v>9001-2211-DL-0010-01-WM9</v>
          </cell>
          <cell r="B748" t="str">
            <v>9001-2211-DL-0010-01-WM</v>
          </cell>
          <cell r="C748">
            <v>9</v>
          </cell>
          <cell r="E748" t="str">
            <v>F</v>
          </cell>
          <cell r="F748" t="str">
            <v>10%MT</v>
          </cell>
          <cell r="G748" t="str">
            <v>L</v>
          </cell>
          <cell r="H748">
            <v>5260</v>
          </cell>
          <cell r="K748" t="str">
            <v>WPS-TNHA-S10</v>
          </cell>
          <cell r="L748" t="str">
            <v>ST-09</v>
          </cell>
          <cell r="M748" t="str">
            <v>BÁCH</v>
          </cell>
          <cell r="N748">
            <v>46001</v>
          </cell>
          <cell r="O748" t="str">
            <v>F-125</v>
          </cell>
          <cell r="P748" t="str">
            <v>15h 13/12/2025</v>
          </cell>
          <cell r="Q748" t="str">
            <v>DHN-SL-05;DHN-SL-43</v>
          </cell>
          <cell r="R748" t="str">
            <v>BÁCH</v>
          </cell>
          <cell r="S748">
            <v>46008</v>
          </cell>
          <cell r="T748" t="str">
            <v>V-145</v>
          </cell>
          <cell r="Y748" t="str">
            <v>FINISH</v>
          </cell>
          <cell r="Z748" t="str">
            <v>ACC</v>
          </cell>
          <cell r="AA748" t="str">
            <v>ACC</v>
          </cell>
          <cell r="AB748" t="str">
            <v>MT-2211-ST-09-0022</v>
          </cell>
          <cell r="AC748" t="str">
            <v/>
          </cell>
          <cell r="AD748" t="str">
            <v/>
          </cell>
        </row>
        <row r="749">
          <cell r="A749" t="str">
            <v>9001-2211-DL-0010-01-WM10</v>
          </cell>
          <cell r="B749" t="str">
            <v>9001-2211-DL-0010-01-WM</v>
          </cell>
          <cell r="C749">
            <v>10</v>
          </cell>
          <cell r="E749" t="str">
            <v>F</v>
          </cell>
          <cell r="F749" t="str">
            <v>10%MT</v>
          </cell>
          <cell r="G749" t="str">
            <v>L</v>
          </cell>
          <cell r="H749">
            <v>5260</v>
          </cell>
          <cell r="K749" t="str">
            <v>WPS-TNHA-S10</v>
          </cell>
          <cell r="L749" t="str">
            <v>ST-09</v>
          </cell>
          <cell r="M749" t="str">
            <v>BÁCH</v>
          </cell>
          <cell r="N749">
            <v>46001</v>
          </cell>
          <cell r="O749" t="str">
            <v>F-125</v>
          </cell>
          <cell r="P749" t="str">
            <v>16h00 13/12/2025</v>
          </cell>
          <cell r="Q749" t="str">
            <v>DHN-SL-05;DHN-SL-43</v>
          </cell>
          <cell r="R749" t="str">
            <v>BÁCH</v>
          </cell>
          <cell r="S749">
            <v>46008</v>
          </cell>
          <cell r="T749" t="str">
            <v>V-145</v>
          </cell>
          <cell r="Y749" t="str">
            <v>FINISH</v>
          </cell>
          <cell r="Z749" t="str">
            <v>ACC</v>
          </cell>
          <cell r="AA749" t="str">
            <v>ACC</v>
          </cell>
          <cell r="AB749" t="str">
            <v>MT-2211-ST-09-0022</v>
          </cell>
          <cell r="AC749" t="str">
            <v/>
          </cell>
          <cell r="AD749" t="str">
            <v/>
          </cell>
        </row>
        <row r="750">
          <cell r="A750" t="str">
            <v>9001-2211-DL-0010-01-WM11</v>
          </cell>
          <cell r="B750" t="str">
            <v>9001-2211-DL-0010-01-WM</v>
          </cell>
          <cell r="C750">
            <v>11</v>
          </cell>
          <cell r="E750" t="str">
            <v>F</v>
          </cell>
          <cell r="F750" t="str">
            <v>10%MT</v>
          </cell>
          <cell r="G750" t="str">
            <v>L</v>
          </cell>
          <cell r="H750">
            <v>5260</v>
          </cell>
          <cell r="K750" t="str">
            <v>WPS-TNHA-S10</v>
          </cell>
          <cell r="L750" t="str">
            <v>ST-09</v>
          </cell>
          <cell r="M750" t="str">
            <v>BÁCH</v>
          </cell>
          <cell r="N750">
            <v>46001</v>
          </cell>
          <cell r="O750" t="str">
            <v>F-125</v>
          </cell>
          <cell r="P750" t="str">
            <v>15h 14/12/2025</v>
          </cell>
          <cell r="Q750" t="str">
            <v>DHN-SL-05;DHN-SL-43</v>
          </cell>
          <cell r="R750" t="str">
            <v>BÁCH</v>
          </cell>
          <cell r="S750">
            <v>46008</v>
          </cell>
          <cell r="T750" t="str">
            <v>V-145</v>
          </cell>
          <cell r="Y750" t="str">
            <v>FINISH</v>
          </cell>
          <cell r="Z750" t="str">
            <v>ACC</v>
          </cell>
          <cell r="AA750" t="str">
            <v>ACC</v>
          </cell>
          <cell r="AB750" t="str">
            <v>MT-2211-ST-09-0022</v>
          </cell>
          <cell r="AC750" t="str">
            <v/>
          </cell>
          <cell r="AD750" t="str">
            <v/>
          </cell>
        </row>
        <row r="751">
          <cell r="A751" t="str">
            <v>9001-2211-DL-0010-01-WM12</v>
          </cell>
          <cell r="B751" t="str">
            <v>9001-2211-DL-0010-01-WM</v>
          </cell>
          <cell r="C751">
            <v>12</v>
          </cell>
          <cell r="E751" t="str">
            <v>F</v>
          </cell>
          <cell r="F751" t="str">
            <v>10%MT</v>
          </cell>
          <cell r="G751" t="str">
            <v>L</v>
          </cell>
          <cell r="H751">
            <v>5260</v>
          </cell>
          <cell r="K751" t="str">
            <v>WPS-TNHA-S10</v>
          </cell>
          <cell r="L751" t="str">
            <v>ST-09</v>
          </cell>
          <cell r="M751" t="str">
            <v>BÁCH</v>
          </cell>
          <cell r="N751">
            <v>46001</v>
          </cell>
          <cell r="O751" t="str">
            <v>F-125</v>
          </cell>
          <cell r="P751" t="str">
            <v>12/12/2025</v>
          </cell>
          <cell r="Q751" t="str">
            <v>DHN-SL-05;DHN-SL-43</v>
          </cell>
          <cell r="R751" t="str">
            <v>BÁCH</v>
          </cell>
          <cell r="S751">
            <v>46012</v>
          </cell>
          <cell r="T751" t="str">
            <v>V-152</v>
          </cell>
          <cell r="Y751" t="str">
            <v>FINISH</v>
          </cell>
          <cell r="Z751" t="str">
            <v>ACC</v>
          </cell>
          <cell r="AA751" t="str">
            <v>ACC</v>
          </cell>
          <cell r="AB751" t="str">
            <v>MT-2211-ST-09-0026</v>
          </cell>
          <cell r="AC751" t="str">
            <v/>
          </cell>
          <cell r="AD751" t="str">
            <v/>
          </cell>
        </row>
        <row r="752">
          <cell r="A752" t="str">
            <v>9001-2211-DL-0010-01-WM13</v>
          </cell>
          <cell r="B752" t="str">
            <v>9001-2211-DL-0010-01-WM</v>
          </cell>
          <cell r="C752">
            <v>13</v>
          </cell>
          <cell r="E752" t="str">
            <v>F</v>
          </cell>
          <cell r="F752" t="str">
            <v>10%MT</v>
          </cell>
          <cell r="G752" t="str">
            <v>L</v>
          </cell>
          <cell r="H752">
            <v>5260</v>
          </cell>
          <cell r="K752" t="str">
            <v>WPS-TNHA-S10</v>
          </cell>
          <cell r="L752" t="str">
            <v>ST-09</v>
          </cell>
          <cell r="M752" t="str">
            <v>BÁCH</v>
          </cell>
          <cell r="N752">
            <v>46001</v>
          </cell>
          <cell r="O752" t="str">
            <v>F-125</v>
          </cell>
          <cell r="P752" t="str">
            <v>15h 14/12/2025</v>
          </cell>
          <cell r="Q752" t="str">
            <v>DHN-SL-05;DHN-SL-43</v>
          </cell>
          <cell r="R752" t="str">
            <v>BÁCH</v>
          </cell>
          <cell r="S752">
            <v>46008</v>
          </cell>
          <cell r="T752" t="str">
            <v>V-145</v>
          </cell>
          <cell r="Y752" t="str">
            <v>FINISH</v>
          </cell>
          <cell r="Z752" t="str">
            <v>ACC</v>
          </cell>
          <cell r="AA752" t="str">
            <v>ACC</v>
          </cell>
          <cell r="AB752" t="str">
            <v>MT-2211-ST-09-0022</v>
          </cell>
          <cell r="AC752" t="str">
            <v/>
          </cell>
          <cell r="AD752" t="str">
            <v/>
          </cell>
        </row>
        <row r="753">
          <cell r="A753" t="str">
            <v>9001-2211-DL-0010-01-WM14</v>
          </cell>
          <cell r="B753" t="str">
            <v>9001-2211-DL-0010-01-WM</v>
          </cell>
          <cell r="C753">
            <v>14</v>
          </cell>
          <cell r="E753" t="str">
            <v>F</v>
          </cell>
          <cell r="F753" t="str">
            <v>10%MT</v>
          </cell>
          <cell r="G753" t="str">
            <v>L</v>
          </cell>
          <cell r="H753">
            <v>5260</v>
          </cell>
          <cell r="K753" t="str">
            <v>WPS-TNHA-S10</v>
          </cell>
          <cell r="L753" t="str">
            <v>ST-09</v>
          </cell>
          <cell r="M753" t="str">
            <v>BÁCH</v>
          </cell>
          <cell r="N753">
            <v>46001</v>
          </cell>
          <cell r="O753" t="str">
            <v>F-125</v>
          </cell>
          <cell r="P753" t="str">
            <v>11h 14/12/2025</v>
          </cell>
          <cell r="Q753" t="str">
            <v>DHN-SL-05;DHN-SL-43</v>
          </cell>
          <cell r="R753" t="str">
            <v>XUÂN</v>
          </cell>
          <cell r="S753">
            <v>46010</v>
          </cell>
          <cell r="T753" t="str">
            <v>V-148</v>
          </cell>
          <cell r="Y753" t="str">
            <v>FINISH</v>
          </cell>
          <cell r="Z753" t="str">
            <v>ACC</v>
          </cell>
          <cell r="AA753" t="str">
            <v>ACC</v>
          </cell>
          <cell r="AB753" t="str">
            <v>MT-2211-ST-09-0024</v>
          </cell>
          <cell r="AC753" t="str">
            <v/>
          </cell>
          <cell r="AD753" t="str">
            <v/>
          </cell>
        </row>
        <row r="754">
          <cell r="A754" t="str">
            <v>9001-2211-DL-0010-01-WM15</v>
          </cell>
          <cell r="B754" t="str">
            <v>9001-2211-DL-0010-01-WM</v>
          </cell>
          <cell r="C754">
            <v>15</v>
          </cell>
          <cell r="E754" t="str">
            <v>F</v>
          </cell>
          <cell r="F754" t="str">
            <v>10%MT</v>
          </cell>
          <cell r="G754" t="str">
            <v>L</v>
          </cell>
          <cell r="H754">
            <v>5260</v>
          </cell>
          <cell r="K754" t="str">
            <v>WPS-TNHA-S10</v>
          </cell>
          <cell r="L754" t="str">
            <v>ST-09</v>
          </cell>
          <cell r="Y754" t="str">
            <v>NOT YET FITUP</v>
          </cell>
        </row>
        <row r="755">
          <cell r="A755" t="str">
            <v>9001-2211-DL-0010-01-WM16</v>
          </cell>
          <cell r="B755" t="str">
            <v>9001-2211-DL-0010-01-WM</v>
          </cell>
          <cell r="C755">
            <v>16</v>
          </cell>
          <cell r="E755" t="str">
            <v>F</v>
          </cell>
          <cell r="F755" t="str">
            <v>10%MT</v>
          </cell>
          <cell r="G755" t="str">
            <v>L</v>
          </cell>
          <cell r="H755">
            <v>5260</v>
          </cell>
          <cell r="K755" t="str">
            <v>WPS-TNHA-S10</v>
          </cell>
          <cell r="L755" t="str">
            <v>ST-09</v>
          </cell>
          <cell r="Y755" t="str">
            <v>NOT YET FITUP</v>
          </cell>
        </row>
        <row r="756">
          <cell r="A756" t="str">
            <v>9001-2211-DL-0010-01-WM17</v>
          </cell>
          <cell r="B756" t="str">
            <v>9001-2211-DL-0010-01-WM</v>
          </cell>
          <cell r="C756">
            <v>17</v>
          </cell>
          <cell r="E756" t="str">
            <v>F</v>
          </cell>
          <cell r="F756" t="str">
            <v>10%MT</v>
          </cell>
          <cell r="G756" t="str">
            <v>L</v>
          </cell>
          <cell r="H756">
            <v>5260</v>
          </cell>
          <cell r="K756" t="str">
            <v>WPS-TNHA-S10</v>
          </cell>
          <cell r="L756" t="str">
            <v>ST-09</v>
          </cell>
          <cell r="Y756" t="str">
            <v>NOT YET FITUP</v>
          </cell>
        </row>
        <row r="757">
          <cell r="A757" t="str">
            <v>9001-2211-DL-0010-01-WM18</v>
          </cell>
          <cell r="B757" t="str">
            <v>9001-2211-DL-0010-01-WM</v>
          </cell>
          <cell r="C757">
            <v>18</v>
          </cell>
          <cell r="E757" t="str">
            <v>F</v>
          </cell>
          <cell r="F757" t="str">
            <v>10%MT</v>
          </cell>
          <cell r="G757" t="str">
            <v>L</v>
          </cell>
          <cell r="H757">
            <v>5260</v>
          </cell>
          <cell r="K757" t="str">
            <v>WPS-TNHA-S10</v>
          </cell>
          <cell r="L757" t="str">
            <v>ST-09</v>
          </cell>
          <cell r="Y757" t="str">
            <v>NOT YET FITUP</v>
          </cell>
        </row>
        <row r="758">
          <cell r="A758" t="str">
            <v>9001-2211-DL-0010-01-WM19</v>
          </cell>
          <cell r="B758" t="str">
            <v>9001-2211-DL-0010-01-WM</v>
          </cell>
          <cell r="C758">
            <v>19</v>
          </cell>
          <cell r="E758" t="str">
            <v>F</v>
          </cell>
          <cell r="F758" t="str">
            <v>10%MT</v>
          </cell>
          <cell r="G758" t="str">
            <v>L</v>
          </cell>
          <cell r="H758">
            <v>5260</v>
          </cell>
          <cell r="K758" t="str">
            <v>WPS-TNHA-S10</v>
          </cell>
          <cell r="L758" t="str">
            <v>ST-09</v>
          </cell>
          <cell r="Y758" t="str">
            <v>NOT YET FITUP</v>
          </cell>
        </row>
        <row r="759">
          <cell r="A759" t="str">
            <v>9001-2211-DL-0010-01-WM20</v>
          </cell>
          <cell r="B759" t="str">
            <v>9001-2211-DL-0010-01-WM</v>
          </cell>
          <cell r="C759">
            <v>20</v>
          </cell>
          <cell r="E759" t="str">
            <v>F</v>
          </cell>
          <cell r="F759" t="str">
            <v>10%MT</v>
          </cell>
          <cell r="G759" t="str">
            <v>L</v>
          </cell>
          <cell r="H759">
            <v>5260</v>
          </cell>
          <cell r="K759" t="str">
            <v>WPS-TNHA-S10</v>
          </cell>
          <cell r="L759" t="str">
            <v>ST-09</v>
          </cell>
          <cell r="Y759" t="str">
            <v>NOT YET FITUP</v>
          </cell>
        </row>
        <row r="760">
          <cell r="A760" t="str">
            <v>9001-2211-DL-0010-01-WM21</v>
          </cell>
          <cell r="B760" t="str">
            <v>9001-2211-DL-0010-01-WM</v>
          </cell>
          <cell r="C760">
            <v>21</v>
          </cell>
          <cell r="E760" t="str">
            <v>F</v>
          </cell>
          <cell r="F760" t="str">
            <v>10%MT</v>
          </cell>
          <cell r="G760" t="str">
            <v>L</v>
          </cell>
          <cell r="H760">
            <v>5260</v>
          </cell>
          <cell r="K760" t="str">
            <v>WPS-TNHA-S10</v>
          </cell>
          <cell r="L760" t="str">
            <v>ST-09</v>
          </cell>
          <cell r="Y760" t="str">
            <v>NOT YET FITUP</v>
          </cell>
        </row>
        <row r="761">
          <cell r="A761" t="str">
            <v>9001-2211-DL-0010-01-WM22</v>
          </cell>
          <cell r="B761" t="str">
            <v>9001-2211-DL-0010-01-WM</v>
          </cell>
          <cell r="C761">
            <v>22</v>
          </cell>
          <cell r="E761" t="str">
            <v>F</v>
          </cell>
          <cell r="F761" t="str">
            <v>10%MT</v>
          </cell>
          <cell r="G761" t="str">
            <v>L</v>
          </cell>
          <cell r="H761">
            <v>5260</v>
          </cell>
          <cell r="K761" t="str">
            <v>WPS-TNHA-S10</v>
          </cell>
          <cell r="L761" t="str">
            <v>ST-09</v>
          </cell>
          <cell r="Y761" t="str">
            <v>NOT YET FITUP</v>
          </cell>
        </row>
        <row r="762">
          <cell r="A762" t="str">
            <v>9001-2211-DL-0010-01-WM23</v>
          </cell>
          <cell r="B762" t="str">
            <v>9001-2211-DL-0010-01-WM</v>
          </cell>
          <cell r="C762">
            <v>23</v>
          </cell>
          <cell r="E762" t="str">
            <v>F</v>
          </cell>
          <cell r="F762" t="str">
            <v>10%MT</v>
          </cell>
          <cell r="G762" t="str">
            <v>L</v>
          </cell>
          <cell r="H762">
            <v>5260</v>
          </cell>
          <cell r="K762" t="str">
            <v>WPS-TNHA-S10</v>
          </cell>
          <cell r="L762" t="str">
            <v>ST-09</v>
          </cell>
          <cell r="Y762" t="str">
            <v>NOT YET FITUP</v>
          </cell>
        </row>
        <row r="763">
          <cell r="A763" t="str">
            <v>9001-2211-DL-0010-01-WM24</v>
          </cell>
          <cell r="B763" t="str">
            <v>9001-2211-DL-0010-01-WM</v>
          </cell>
          <cell r="C763">
            <v>24</v>
          </cell>
          <cell r="E763" t="str">
            <v>F</v>
          </cell>
          <cell r="F763" t="str">
            <v>10%MT</v>
          </cell>
          <cell r="G763" t="str">
            <v>L</v>
          </cell>
          <cell r="H763">
            <v>5260</v>
          </cell>
          <cell r="K763" t="str">
            <v>WPS-TNHA-S10</v>
          </cell>
          <cell r="L763" t="str">
            <v>ST-09</v>
          </cell>
          <cell r="Y763" t="str">
            <v>NOT YET FITUP</v>
          </cell>
        </row>
        <row r="764">
          <cell r="A764" t="str">
            <v>9001-2211-DL-0010-01-WM25</v>
          </cell>
          <cell r="B764" t="str">
            <v>9001-2211-DL-0010-01-WM</v>
          </cell>
          <cell r="C764">
            <v>25</v>
          </cell>
          <cell r="E764" t="str">
            <v>F</v>
          </cell>
          <cell r="F764" t="str">
            <v>10%MT</v>
          </cell>
          <cell r="G764" t="str">
            <v>L</v>
          </cell>
          <cell r="H764">
            <v>5260</v>
          </cell>
          <cell r="K764" t="str">
            <v>WPS-TNHA-S10</v>
          </cell>
          <cell r="L764" t="str">
            <v>ST-09</v>
          </cell>
          <cell r="Y764" t="str">
            <v>NOT YET FITUP</v>
          </cell>
        </row>
        <row r="765">
          <cell r="A765" t="str">
            <v>9001-2211-DL-0010-01-WM26</v>
          </cell>
          <cell r="B765" t="str">
            <v>9001-2211-DL-0010-01-WM</v>
          </cell>
          <cell r="C765">
            <v>26</v>
          </cell>
          <cell r="E765" t="str">
            <v>F</v>
          </cell>
          <cell r="F765" t="str">
            <v>10%MT</v>
          </cell>
          <cell r="G765" t="str">
            <v>L</v>
          </cell>
          <cell r="H765">
            <v>5260</v>
          </cell>
          <cell r="K765" t="str">
            <v>WPS-TNHA-S10</v>
          </cell>
          <cell r="L765" t="str">
            <v>ST-09</v>
          </cell>
          <cell r="Y765" t="str">
            <v>NOT YET FITUP</v>
          </cell>
        </row>
        <row r="766">
          <cell r="A766" t="str">
            <v>9001-2211-DL-0010-01-WM27</v>
          </cell>
          <cell r="B766" t="str">
            <v>9001-2211-DL-0010-01-WM</v>
          </cell>
          <cell r="C766">
            <v>27</v>
          </cell>
          <cell r="E766" t="str">
            <v>F</v>
          </cell>
          <cell r="F766" t="str">
            <v>10%MT</v>
          </cell>
          <cell r="G766" t="str">
            <v>L</v>
          </cell>
          <cell r="H766">
            <v>5260</v>
          </cell>
          <cell r="K766" t="str">
            <v>WPS-TNHA-S10</v>
          </cell>
          <cell r="L766" t="str">
            <v>ST-09</v>
          </cell>
          <cell r="Y766" t="str">
            <v>NOT YET FITUP</v>
          </cell>
        </row>
        <row r="767">
          <cell r="A767" t="str">
            <v>9001-2211-DL-0010-01-WM28</v>
          </cell>
          <cell r="B767" t="str">
            <v>9001-2211-DL-0010-01-WM</v>
          </cell>
          <cell r="C767">
            <v>28</v>
          </cell>
          <cell r="E767" t="str">
            <v>F</v>
          </cell>
          <cell r="F767" t="str">
            <v>10%MT</v>
          </cell>
          <cell r="G767" t="str">
            <v>L</v>
          </cell>
          <cell r="H767">
            <v>5260</v>
          </cell>
          <cell r="K767" t="str">
            <v>WPS-TNHA-S10</v>
          </cell>
          <cell r="L767" t="str">
            <v>ST-09</v>
          </cell>
          <cell r="Y767" t="str">
            <v>NOT YET FITUP</v>
          </cell>
        </row>
        <row r="768">
          <cell r="A768" t="str">
            <v>9001-2211-DL-0010-01-WM29</v>
          </cell>
          <cell r="B768" t="str">
            <v>9001-2211-DL-0010-01-WM</v>
          </cell>
          <cell r="C768">
            <v>29</v>
          </cell>
          <cell r="E768" t="str">
            <v>F</v>
          </cell>
          <cell r="F768" t="str">
            <v>10%MT</v>
          </cell>
          <cell r="G768" t="str">
            <v>L</v>
          </cell>
          <cell r="H768">
            <v>5260</v>
          </cell>
          <cell r="K768" t="str">
            <v>WPS-TNHA-S10</v>
          </cell>
          <cell r="L768" t="str">
            <v>ST-09</v>
          </cell>
          <cell r="Y768" t="str">
            <v>NOT YET FITUP</v>
          </cell>
        </row>
        <row r="769">
          <cell r="A769" t="str">
            <v>9001-2211-DL-0010-01-WM30</v>
          </cell>
          <cell r="B769" t="str">
            <v>9001-2211-DL-0010-01-WM</v>
          </cell>
          <cell r="C769">
            <v>30</v>
          </cell>
          <cell r="E769" t="str">
            <v>F</v>
          </cell>
          <cell r="F769" t="str">
            <v>10%MT</v>
          </cell>
          <cell r="G769" t="str">
            <v>L</v>
          </cell>
          <cell r="H769">
            <v>5260</v>
          </cell>
          <cell r="K769" t="str">
            <v>WPS-TNHA-S10</v>
          </cell>
          <cell r="L769" t="str">
            <v>ST-09</v>
          </cell>
          <cell r="Y769" t="str">
            <v>NOT YET FITUP</v>
          </cell>
        </row>
        <row r="770">
          <cell r="A770" t="str">
            <v>9001-2211-DL-0010-01-WM31</v>
          </cell>
          <cell r="B770" t="str">
            <v>9001-2211-DL-0010-01-WM</v>
          </cell>
          <cell r="C770">
            <v>31</v>
          </cell>
          <cell r="E770" t="str">
            <v>F</v>
          </cell>
          <cell r="F770" t="str">
            <v>10%MT</v>
          </cell>
          <cell r="G770" t="str">
            <v>L</v>
          </cell>
          <cell r="H770">
            <v>5260</v>
          </cell>
          <cell r="K770" t="str">
            <v>WPS-TNHA-S10</v>
          </cell>
          <cell r="L770" t="str">
            <v>ST-09</v>
          </cell>
          <cell r="Y770" t="str">
            <v>NOT YET FITUP</v>
          </cell>
        </row>
        <row r="771">
          <cell r="A771" t="str">
            <v>9001-2211-DS-0022-01-WM1</v>
          </cell>
          <cell r="B771" t="str">
            <v>9001-2211-DS-0022-01-WM</v>
          </cell>
          <cell r="C771">
            <v>1</v>
          </cell>
          <cell r="D771" t="str">
            <v>X1</v>
          </cell>
          <cell r="E771" t="str">
            <v>SB</v>
          </cell>
          <cell r="F771" t="str">
            <v>100%MT&amp;UT</v>
          </cell>
          <cell r="G771" t="str">
            <v>D</v>
          </cell>
          <cell r="H771">
            <v>1434.98</v>
          </cell>
          <cell r="I771">
            <v>15</v>
          </cell>
          <cell r="K771" t="str">
            <v>WPS-TNHA-S07</v>
          </cell>
          <cell r="L771" t="str">
            <v>ST-22</v>
          </cell>
          <cell r="Y771" t="str">
            <v>NOT YET FITUP</v>
          </cell>
        </row>
        <row r="772">
          <cell r="A772" t="str">
            <v>9001-2211-DS-0022-01-WM2</v>
          </cell>
          <cell r="B772" t="str">
            <v>9001-2211-DS-0022-01-WM</v>
          </cell>
          <cell r="C772">
            <v>2</v>
          </cell>
          <cell r="D772" t="str">
            <v>X2</v>
          </cell>
          <cell r="E772" t="str">
            <v>SB</v>
          </cell>
          <cell r="F772" t="str">
            <v>100%MT&amp;UT</v>
          </cell>
          <cell r="G772" t="str">
            <v>D</v>
          </cell>
          <cell r="H772">
            <v>1434.98</v>
          </cell>
          <cell r="I772">
            <v>15</v>
          </cell>
          <cell r="K772" t="str">
            <v>WPS-TNHA-S07</v>
          </cell>
          <cell r="L772" t="str">
            <v>ST-22</v>
          </cell>
          <cell r="Y772" t="str">
            <v>NOT YET FITUP</v>
          </cell>
        </row>
        <row r="773">
          <cell r="A773" t="str">
            <v>9001-2211-DS-0022-01-WM3</v>
          </cell>
          <cell r="B773" t="str">
            <v>9001-2211-DS-0022-01-WM</v>
          </cell>
          <cell r="C773">
            <v>3</v>
          </cell>
          <cell r="D773" t="str">
            <v>X3</v>
          </cell>
          <cell r="E773" t="str">
            <v>SB</v>
          </cell>
          <cell r="F773" t="str">
            <v>100%MT&amp;UT</v>
          </cell>
          <cell r="G773" t="str">
            <v>D</v>
          </cell>
          <cell r="H773">
            <v>1434.98</v>
          </cell>
          <cell r="I773">
            <v>15</v>
          </cell>
          <cell r="K773" t="str">
            <v>WPS-TNHA-S07</v>
          </cell>
          <cell r="L773" t="str">
            <v>ST-22</v>
          </cell>
          <cell r="Y773" t="str">
            <v>NOT YET FITUP</v>
          </cell>
        </row>
        <row r="774">
          <cell r="A774" t="str">
            <v>9001-2211-DS-0022-01-WM4</v>
          </cell>
          <cell r="B774" t="str">
            <v>9001-2211-DS-0022-01-WM</v>
          </cell>
          <cell r="C774">
            <v>4</v>
          </cell>
          <cell r="D774" t="str">
            <v>X4</v>
          </cell>
          <cell r="E774" t="str">
            <v>SB</v>
          </cell>
          <cell r="F774" t="str">
            <v>100%MT&amp;UT</v>
          </cell>
          <cell r="G774" t="str">
            <v>D</v>
          </cell>
          <cell r="H774">
            <v>1434.98</v>
          </cell>
          <cell r="I774">
            <v>15</v>
          </cell>
          <cell r="K774" t="str">
            <v>WPS-TNHA-S07</v>
          </cell>
          <cell r="L774" t="str">
            <v>ST-22</v>
          </cell>
          <cell r="Y774" t="str">
            <v>NOT YET FITUP</v>
          </cell>
        </row>
        <row r="775">
          <cell r="A775" t="str">
            <v>9001-2211-DS-0022-01-WM5</v>
          </cell>
          <cell r="B775" t="str">
            <v>9001-2211-DS-0022-01-WM</v>
          </cell>
          <cell r="C775">
            <v>5</v>
          </cell>
          <cell r="D775" t="str">
            <v>X5</v>
          </cell>
          <cell r="E775" t="str">
            <v>SB</v>
          </cell>
          <cell r="F775" t="str">
            <v>100%MT&amp;UT</v>
          </cell>
          <cell r="G775" t="str">
            <v>D</v>
          </cell>
          <cell r="H775">
            <v>1434.98</v>
          </cell>
          <cell r="I775">
            <v>15</v>
          </cell>
          <cell r="K775" t="str">
            <v>WPS-TNHA-S07</v>
          </cell>
          <cell r="L775" t="str">
            <v>ST-22</v>
          </cell>
          <cell r="Y775" t="str">
            <v>NOT YET FITUP</v>
          </cell>
        </row>
        <row r="776">
          <cell r="A776" t="str">
            <v>9001-2211-DS-0022-01-WM6</v>
          </cell>
          <cell r="B776" t="str">
            <v>9001-2211-DS-0022-01-WM</v>
          </cell>
          <cell r="C776">
            <v>6</v>
          </cell>
          <cell r="D776" t="str">
            <v>X6</v>
          </cell>
          <cell r="E776" t="str">
            <v>SB</v>
          </cell>
          <cell r="F776" t="str">
            <v>100%MT&amp;UT</v>
          </cell>
          <cell r="G776" t="str">
            <v>D</v>
          </cell>
          <cell r="H776">
            <v>1434.98</v>
          </cell>
          <cell r="I776">
            <v>15</v>
          </cell>
          <cell r="K776" t="str">
            <v>WPS-TNHA-S07</v>
          </cell>
          <cell r="L776" t="str">
            <v>ST-22</v>
          </cell>
          <cell r="Y776" t="str">
            <v>NOT YET FITUP</v>
          </cell>
        </row>
        <row r="777">
          <cell r="A777" t="str">
            <v>9001-2211-DS-0022-01-WM7</v>
          </cell>
          <cell r="B777" t="str">
            <v>9001-2211-DS-0022-01-WM</v>
          </cell>
          <cell r="C777">
            <v>7</v>
          </cell>
          <cell r="D777" t="str">
            <v>X7</v>
          </cell>
          <cell r="E777" t="str">
            <v>SB</v>
          </cell>
          <cell r="F777" t="str">
            <v>100%MT&amp;UT</v>
          </cell>
          <cell r="G777" t="str">
            <v>D</v>
          </cell>
          <cell r="H777">
            <v>1434.98</v>
          </cell>
          <cell r="I777">
            <v>15</v>
          </cell>
          <cell r="K777" t="str">
            <v>WPS-TNHA-S07</v>
          </cell>
          <cell r="L777" t="str">
            <v>ST-22</v>
          </cell>
          <cell r="Y777" t="str">
            <v>NOT YET FITUP</v>
          </cell>
        </row>
        <row r="778">
          <cell r="A778" t="str">
            <v>9001-2211-DS-0022-01-WM8</v>
          </cell>
          <cell r="B778" t="str">
            <v>9001-2211-DS-0022-01-WM</v>
          </cell>
          <cell r="C778">
            <v>8</v>
          </cell>
          <cell r="D778" t="str">
            <v>X8</v>
          </cell>
          <cell r="E778" t="str">
            <v>SB</v>
          </cell>
          <cell r="F778" t="str">
            <v>100%MT&amp;UT</v>
          </cell>
          <cell r="G778" t="str">
            <v>D</v>
          </cell>
          <cell r="H778">
            <v>1434.98</v>
          </cell>
          <cell r="I778">
            <v>15</v>
          </cell>
          <cell r="K778" t="str">
            <v>WPS-TNHA-S07</v>
          </cell>
          <cell r="L778" t="str">
            <v>ST-22</v>
          </cell>
          <cell r="Y778" t="str">
            <v>NOT YET FITUP</v>
          </cell>
        </row>
        <row r="779">
          <cell r="A779" t="str">
            <v>9001-2211-DS-0022-01-WM9</v>
          </cell>
          <cell r="B779" t="str">
            <v>9001-2211-DS-0022-01-WM</v>
          </cell>
          <cell r="C779">
            <v>9</v>
          </cell>
          <cell r="D779" t="str">
            <v>X9</v>
          </cell>
          <cell r="E779" t="str">
            <v>SB</v>
          </cell>
          <cell r="F779" t="str">
            <v>100%MT&amp;UT</v>
          </cell>
          <cell r="G779" t="str">
            <v>D</v>
          </cell>
          <cell r="H779">
            <v>1434.98</v>
          </cell>
          <cell r="I779">
            <v>15</v>
          </cell>
          <cell r="K779" t="str">
            <v>WPS-TNHA-S07</v>
          </cell>
          <cell r="L779" t="str">
            <v>ST-22</v>
          </cell>
          <cell r="Y779" t="str">
            <v>NOT YET FITUP</v>
          </cell>
        </row>
        <row r="780">
          <cell r="A780" t="str">
            <v>9001-2211-DS-0022-01-WM10</v>
          </cell>
          <cell r="B780" t="str">
            <v>9001-2211-DS-0022-01-WM</v>
          </cell>
          <cell r="C780">
            <v>10</v>
          </cell>
          <cell r="D780" t="str">
            <v>X10</v>
          </cell>
          <cell r="E780" t="str">
            <v>SB</v>
          </cell>
          <cell r="F780" t="str">
            <v>100%MT&amp;UT</v>
          </cell>
          <cell r="G780" t="str">
            <v>D</v>
          </cell>
          <cell r="H780">
            <v>1434.98</v>
          </cell>
          <cell r="I780">
            <v>15</v>
          </cell>
          <cell r="K780" t="str">
            <v>WPS-TNHA-S07</v>
          </cell>
          <cell r="L780" t="str">
            <v>ST-22</v>
          </cell>
          <cell r="Y780" t="str">
            <v>NOT YET FITUP</v>
          </cell>
        </row>
        <row r="781">
          <cell r="A781" t="str">
            <v>9001-2211-DS-0022-01-WM11</v>
          </cell>
          <cell r="B781" t="str">
            <v>9001-2211-DS-0022-01-WM</v>
          </cell>
          <cell r="C781">
            <v>11</v>
          </cell>
          <cell r="D781" t="str">
            <v>X11</v>
          </cell>
          <cell r="E781" t="str">
            <v>SB</v>
          </cell>
          <cell r="F781" t="str">
            <v>100%MT&amp;UT</v>
          </cell>
          <cell r="G781" t="str">
            <v>D</v>
          </cell>
          <cell r="H781">
            <v>1434.98</v>
          </cell>
          <cell r="I781">
            <v>15</v>
          </cell>
          <cell r="K781" t="str">
            <v>WPS-TNHA-S07</v>
          </cell>
          <cell r="L781" t="str">
            <v>ST-22</v>
          </cell>
          <cell r="Y781" t="str">
            <v>NOT YET FITUP</v>
          </cell>
        </row>
        <row r="782">
          <cell r="A782" t="str">
            <v>9001-2211-DS-0022-01-WM12</v>
          </cell>
          <cell r="B782" t="str">
            <v>9001-2211-DS-0022-01-WM</v>
          </cell>
          <cell r="C782">
            <v>12</v>
          </cell>
          <cell r="D782" t="str">
            <v>X12</v>
          </cell>
          <cell r="E782" t="str">
            <v>SB</v>
          </cell>
          <cell r="F782" t="str">
            <v>100%MT&amp;UT</v>
          </cell>
          <cell r="G782" t="str">
            <v>D</v>
          </cell>
          <cell r="H782">
            <v>1434.98</v>
          </cell>
          <cell r="I782">
            <v>15</v>
          </cell>
          <cell r="K782" t="str">
            <v>WPS-TNHA-S07</v>
          </cell>
          <cell r="L782" t="str">
            <v>ST-22</v>
          </cell>
          <cell r="Y782" t="str">
            <v>NOT YET FITUP</v>
          </cell>
        </row>
        <row r="783">
          <cell r="A783" t="str">
            <v>9001-2211-DS-0022-01-WM13</v>
          </cell>
          <cell r="B783" t="str">
            <v>9001-2211-DS-0022-01-WM</v>
          </cell>
          <cell r="C783">
            <v>13</v>
          </cell>
          <cell r="D783" t="str">
            <v>X1</v>
          </cell>
          <cell r="E783" t="str">
            <v>SB</v>
          </cell>
          <cell r="F783" t="str">
            <v>100%MT&amp;UT</v>
          </cell>
          <cell r="G783" t="str">
            <v>D</v>
          </cell>
          <cell r="H783">
            <v>1434.98</v>
          </cell>
          <cell r="I783">
            <v>15</v>
          </cell>
          <cell r="K783" t="str">
            <v>WPS-TNHA-S07</v>
          </cell>
          <cell r="L783" t="str">
            <v>ST-22</v>
          </cell>
          <cell r="Y783" t="str">
            <v>NOT YET FITUP</v>
          </cell>
        </row>
        <row r="784">
          <cell r="A784" t="str">
            <v>9001-2211-DS-0022-01-WM14</v>
          </cell>
          <cell r="B784" t="str">
            <v>9001-2211-DS-0022-01-WM</v>
          </cell>
          <cell r="C784">
            <v>14</v>
          </cell>
          <cell r="D784" t="str">
            <v>X2</v>
          </cell>
          <cell r="E784" t="str">
            <v>SB</v>
          </cell>
          <cell r="F784" t="str">
            <v>100%MT&amp;UT</v>
          </cell>
          <cell r="G784" t="str">
            <v>D</v>
          </cell>
          <cell r="H784">
            <v>1434.98</v>
          </cell>
          <cell r="I784">
            <v>15</v>
          </cell>
          <cell r="K784" t="str">
            <v>WPS-TNHA-S07</v>
          </cell>
          <cell r="L784" t="str">
            <v>ST-22</v>
          </cell>
          <cell r="Y784" t="str">
            <v>NOT YET FITUP</v>
          </cell>
        </row>
        <row r="785">
          <cell r="A785" t="str">
            <v>9001-2211-DS-0022-01-WM15</v>
          </cell>
          <cell r="B785" t="str">
            <v>9001-2211-DS-0022-01-WM</v>
          </cell>
          <cell r="C785">
            <v>15</v>
          </cell>
          <cell r="D785" t="str">
            <v>X3</v>
          </cell>
          <cell r="E785" t="str">
            <v>SB</v>
          </cell>
          <cell r="F785" t="str">
            <v>100%MT&amp;UT</v>
          </cell>
          <cell r="G785" t="str">
            <v>D</v>
          </cell>
          <cell r="H785">
            <v>1434.98</v>
          </cell>
          <cell r="I785">
            <v>15</v>
          </cell>
          <cell r="K785" t="str">
            <v>WPS-TNHA-S07</v>
          </cell>
          <cell r="L785" t="str">
            <v>ST-22</v>
          </cell>
          <cell r="Y785" t="str">
            <v>NOT YET FITUP</v>
          </cell>
        </row>
        <row r="786">
          <cell r="A786" t="str">
            <v>9001-2211-DS-0022-01-WM16</v>
          </cell>
          <cell r="B786" t="str">
            <v>9001-2211-DS-0022-01-WM</v>
          </cell>
          <cell r="C786">
            <v>16</v>
          </cell>
          <cell r="D786" t="str">
            <v>X4</v>
          </cell>
          <cell r="E786" t="str">
            <v>SB</v>
          </cell>
          <cell r="F786" t="str">
            <v>100%MT&amp;UT</v>
          </cell>
          <cell r="G786" t="str">
            <v>D</v>
          </cell>
          <cell r="H786">
            <v>1434.98</v>
          </cell>
          <cell r="I786">
            <v>15</v>
          </cell>
          <cell r="K786" t="str">
            <v>WPS-TNHA-S07</v>
          </cell>
          <cell r="L786" t="str">
            <v>ST-22</v>
          </cell>
          <cell r="Y786" t="str">
            <v>NOT YET FITUP</v>
          </cell>
        </row>
        <row r="787">
          <cell r="A787" t="str">
            <v>9001-2211-DS-0022-01-WM17</v>
          </cell>
          <cell r="B787" t="str">
            <v>9001-2211-DS-0022-01-WM</v>
          </cell>
          <cell r="C787">
            <v>17</v>
          </cell>
          <cell r="D787" t="str">
            <v>X5</v>
          </cell>
          <cell r="E787" t="str">
            <v>SB</v>
          </cell>
          <cell r="F787" t="str">
            <v>100%MT&amp;UT</v>
          </cell>
          <cell r="G787" t="str">
            <v>D</v>
          </cell>
          <cell r="H787">
            <v>1434.98</v>
          </cell>
          <cell r="I787">
            <v>15</v>
          </cell>
          <cell r="K787" t="str">
            <v>WPS-TNHA-S07</v>
          </cell>
          <cell r="L787" t="str">
            <v>ST-22</v>
          </cell>
          <cell r="Y787" t="str">
            <v>NOT YET FITUP</v>
          </cell>
        </row>
        <row r="788">
          <cell r="A788" t="str">
            <v>9001-2211-DS-0022-01-WM18</v>
          </cell>
          <cell r="B788" t="str">
            <v>9001-2211-DS-0022-01-WM</v>
          </cell>
          <cell r="C788">
            <v>18</v>
          </cell>
          <cell r="D788" t="str">
            <v>X6</v>
          </cell>
          <cell r="E788" t="str">
            <v>SB</v>
          </cell>
          <cell r="F788" t="str">
            <v>100%MT&amp;UT</v>
          </cell>
          <cell r="G788" t="str">
            <v>D</v>
          </cell>
          <cell r="H788">
            <v>1434.98</v>
          </cell>
          <cell r="I788">
            <v>15</v>
          </cell>
          <cell r="K788" t="str">
            <v>WPS-TNHA-S07</v>
          </cell>
          <cell r="L788" t="str">
            <v>ST-22</v>
          </cell>
          <cell r="Y788" t="str">
            <v>NOT YET FITUP</v>
          </cell>
        </row>
        <row r="789">
          <cell r="A789" t="str">
            <v>9001-2211-DS-0022-01-WM19</v>
          </cell>
          <cell r="B789" t="str">
            <v>9001-2211-DS-0022-01-WM</v>
          </cell>
          <cell r="C789">
            <v>19</v>
          </cell>
          <cell r="D789" t="str">
            <v>X7</v>
          </cell>
          <cell r="E789" t="str">
            <v>SB</v>
          </cell>
          <cell r="F789" t="str">
            <v>100%MT&amp;UT</v>
          </cell>
          <cell r="G789" t="str">
            <v>D</v>
          </cell>
          <cell r="H789">
            <v>1434.98</v>
          </cell>
          <cell r="I789">
            <v>15</v>
          </cell>
          <cell r="K789" t="str">
            <v>WPS-TNHA-S07</v>
          </cell>
          <cell r="L789" t="str">
            <v>ST-22</v>
          </cell>
          <cell r="Y789" t="str">
            <v>NOT YET FITUP</v>
          </cell>
        </row>
        <row r="790">
          <cell r="A790" t="str">
            <v>9001-2211-DS-0022-01-WM20</v>
          </cell>
          <cell r="B790" t="str">
            <v>9001-2211-DS-0022-01-WM</v>
          </cell>
          <cell r="C790">
            <v>20</v>
          </cell>
          <cell r="D790" t="str">
            <v>X8</v>
          </cell>
          <cell r="E790" t="str">
            <v>SB</v>
          </cell>
          <cell r="F790" t="str">
            <v>100%MT&amp;UT</v>
          </cell>
          <cell r="G790" t="str">
            <v>D</v>
          </cell>
          <cell r="H790">
            <v>1434.98</v>
          </cell>
          <cell r="I790">
            <v>15</v>
          </cell>
          <cell r="K790" t="str">
            <v>WPS-TNHA-S07</v>
          </cell>
          <cell r="L790" t="str">
            <v>ST-22</v>
          </cell>
          <cell r="Y790" t="str">
            <v>NOT YET FITUP</v>
          </cell>
        </row>
        <row r="791">
          <cell r="A791" t="str">
            <v>9001-2211-DS-0022-01-WM21</v>
          </cell>
          <cell r="B791" t="str">
            <v>9001-2211-DS-0022-01-WM</v>
          </cell>
          <cell r="C791">
            <v>21</v>
          </cell>
          <cell r="D791" t="str">
            <v>X9</v>
          </cell>
          <cell r="E791" t="str">
            <v>SB</v>
          </cell>
          <cell r="F791" t="str">
            <v>100%MT&amp;UT</v>
          </cell>
          <cell r="G791" t="str">
            <v>D</v>
          </cell>
          <cell r="H791">
            <v>1434.98</v>
          </cell>
          <cell r="I791">
            <v>15</v>
          </cell>
          <cell r="K791" t="str">
            <v>WPS-TNHA-S07</v>
          </cell>
          <cell r="L791" t="str">
            <v>ST-22</v>
          </cell>
          <cell r="Y791" t="str">
            <v>NOT YET FITUP</v>
          </cell>
        </row>
        <row r="792">
          <cell r="A792" t="str">
            <v>9001-2211-DS-0022-01-WM22</v>
          </cell>
          <cell r="B792" t="str">
            <v>9001-2211-DS-0022-01-WM</v>
          </cell>
          <cell r="C792">
            <v>22</v>
          </cell>
          <cell r="D792" t="str">
            <v>X10</v>
          </cell>
          <cell r="E792" t="str">
            <v>SB</v>
          </cell>
          <cell r="F792" t="str">
            <v>100%MT&amp;UT</v>
          </cell>
          <cell r="G792" t="str">
            <v>D</v>
          </cell>
          <cell r="H792">
            <v>1434.98</v>
          </cell>
          <cell r="I792">
            <v>15</v>
          </cell>
          <cell r="K792" t="str">
            <v>WPS-TNHA-S07</v>
          </cell>
          <cell r="L792" t="str">
            <v>ST-22</v>
          </cell>
          <cell r="Y792" t="str">
            <v>NOT YET FITUP</v>
          </cell>
        </row>
        <row r="793">
          <cell r="A793" t="str">
            <v>9001-2211-DS-0022-01-WM23</v>
          </cell>
          <cell r="B793" t="str">
            <v>9001-2211-DS-0022-01-WM</v>
          </cell>
          <cell r="C793">
            <v>23</v>
          </cell>
          <cell r="D793" t="str">
            <v>X11</v>
          </cell>
          <cell r="E793" t="str">
            <v>SB</v>
          </cell>
          <cell r="F793" t="str">
            <v>100%MT&amp;UT</v>
          </cell>
          <cell r="G793" t="str">
            <v>D</v>
          </cell>
          <cell r="H793">
            <v>1434.98</v>
          </cell>
          <cell r="I793">
            <v>15</v>
          </cell>
          <cell r="K793" t="str">
            <v>WPS-TNHA-S07</v>
          </cell>
          <cell r="L793" t="str">
            <v>ST-22</v>
          </cell>
          <cell r="Y793" t="str">
            <v>NOT YET FITUP</v>
          </cell>
        </row>
        <row r="794">
          <cell r="A794" t="str">
            <v>9001-2211-DS-0022-01-WM24</v>
          </cell>
          <cell r="B794" t="str">
            <v>9001-2211-DS-0022-01-WM</v>
          </cell>
          <cell r="C794">
            <v>24</v>
          </cell>
          <cell r="D794" t="str">
            <v>X12</v>
          </cell>
          <cell r="E794" t="str">
            <v>SB</v>
          </cell>
          <cell r="F794" t="str">
            <v>100%MT&amp;UT</v>
          </cell>
          <cell r="G794" t="str">
            <v>D</v>
          </cell>
          <cell r="H794">
            <v>1434.98</v>
          </cell>
          <cell r="I794">
            <v>15</v>
          </cell>
          <cell r="K794" t="str">
            <v>WPS-TNHA-S07</v>
          </cell>
          <cell r="L794" t="str">
            <v>ST-22</v>
          </cell>
          <cell r="Y794" t="str">
            <v>NOT YET FITUP</v>
          </cell>
        </row>
        <row r="795">
          <cell r="A795" t="str">
            <v>9001-2211-DS-0022-01-WM25</v>
          </cell>
          <cell r="B795" t="str">
            <v>9001-2211-DS-0022-01-WM</v>
          </cell>
          <cell r="C795">
            <v>25</v>
          </cell>
          <cell r="D795" t="str">
            <v>X1</v>
          </cell>
          <cell r="E795" t="str">
            <v>SB</v>
          </cell>
          <cell r="F795" t="str">
            <v>100%MT&amp;UT</v>
          </cell>
          <cell r="G795" t="str">
            <v>D</v>
          </cell>
          <cell r="H795">
            <v>1434.98</v>
          </cell>
          <cell r="I795">
            <v>15</v>
          </cell>
          <cell r="K795" t="str">
            <v>WPS-TNHA-S07</v>
          </cell>
          <cell r="L795" t="str">
            <v>ST-22</v>
          </cell>
          <cell r="Y795" t="str">
            <v>NOT YET FITUP</v>
          </cell>
        </row>
        <row r="796">
          <cell r="A796" t="str">
            <v>9001-2211-DS-0022-01-WM26</v>
          </cell>
          <cell r="B796" t="str">
            <v>9001-2211-DS-0022-01-WM</v>
          </cell>
          <cell r="C796">
            <v>26</v>
          </cell>
          <cell r="D796" t="str">
            <v>X2</v>
          </cell>
          <cell r="E796" t="str">
            <v>SB</v>
          </cell>
          <cell r="F796" t="str">
            <v>100%MT&amp;UT</v>
          </cell>
          <cell r="G796" t="str">
            <v>D</v>
          </cell>
          <cell r="H796">
            <v>1434.98</v>
          </cell>
          <cell r="I796">
            <v>15</v>
          </cell>
          <cell r="K796" t="str">
            <v>WPS-TNHA-S07</v>
          </cell>
          <cell r="L796" t="str">
            <v>ST-22</v>
          </cell>
          <cell r="Y796" t="str">
            <v>NOT YET FITUP</v>
          </cell>
        </row>
        <row r="797">
          <cell r="A797" t="str">
            <v>9001-2211-DS-0022-01-WM27</v>
          </cell>
          <cell r="B797" t="str">
            <v>9001-2211-DS-0022-01-WM</v>
          </cell>
          <cell r="C797">
            <v>27</v>
          </cell>
          <cell r="D797" t="str">
            <v>X3</v>
          </cell>
          <cell r="E797" t="str">
            <v>SB</v>
          </cell>
          <cell r="F797" t="str">
            <v>100%MT&amp;UT</v>
          </cell>
          <cell r="G797" t="str">
            <v>D</v>
          </cell>
          <cell r="H797">
            <v>1434.98</v>
          </cell>
          <cell r="I797">
            <v>15</v>
          </cell>
          <cell r="K797" t="str">
            <v>WPS-TNHA-S07</v>
          </cell>
          <cell r="L797" t="str">
            <v>ST-22</v>
          </cell>
          <cell r="Y797" t="str">
            <v>NOT YET FITUP</v>
          </cell>
        </row>
        <row r="798">
          <cell r="A798" t="str">
            <v>9001-2211-DS-0022-01-WM28</v>
          </cell>
          <cell r="B798" t="str">
            <v>9001-2211-DS-0022-01-WM</v>
          </cell>
          <cell r="C798">
            <v>28</v>
          </cell>
          <cell r="D798" t="str">
            <v>X4</v>
          </cell>
          <cell r="E798" t="str">
            <v>SB</v>
          </cell>
          <cell r="F798" t="str">
            <v>100%MT&amp;UT</v>
          </cell>
          <cell r="G798" t="str">
            <v>D</v>
          </cell>
          <cell r="H798">
            <v>1434.98</v>
          </cell>
          <cell r="I798">
            <v>15</v>
          </cell>
          <cell r="K798" t="str">
            <v>WPS-TNHA-S07</v>
          </cell>
          <cell r="L798" t="str">
            <v>ST-22</v>
          </cell>
          <cell r="Y798" t="str">
            <v>NOT YET FITUP</v>
          </cell>
        </row>
        <row r="799">
          <cell r="A799" t="str">
            <v>9001-2211-DS-0022-01-WM29</v>
          </cell>
          <cell r="B799" t="str">
            <v>9001-2211-DS-0022-01-WM</v>
          </cell>
          <cell r="C799">
            <v>29</v>
          </cell>
          <cell r="D799" t="str">
            <v>X5</v>
          </cell>
          <cell r="E799" t="str">
            <v>SB</v>
          </cell>
          <cell r="F799" t="str">
            <v>100%MT&amp;UT</v>
          </cell>
          <cell r="G799" t="str">
            <v>D</v>
          </cell>
          <cell r="H799">
            <v>1434.98</v>
          </cell>
          <cell r="I799">
            <v>15</v>
          </cell>
          <cell r="K799" t="str">
            <v>WPS-TNHA-S07</v>
          </cell>
          <cell r="L799" t="str">
            <v>ST-22</v>
          </cell>
          <cell r="Y799" t="str">
            <v>NOT YET FITUP</v>
          </cell>
        </row>
        <row r="800">
          <cell r="A800" t="str">
            <v>9001-2211-DS-0022-01-WM30</v>
          </cell>
          <cell r="B800" t="str">
            <v>9001-2211-DS-0022-01-WM</v>
          </cell>
          <cell r="C800">
            <v>30</v>
          </cell>
          <cell r="D800" t="str">
            <v>X6</v>
          </cell>
          <cell r="E800" t="str">
            <v>SB</v>
          </cell>
          <cell r="F800" t="str">
            <v>100%MT&amp;UT</v>
          </cell>
          <cell r="G800" t="str">
            <v>D</v>
          </cell>
          <cell r="H800">
            <v>1434.98</v>
          </cell>
          <cell r="I800">
            <v>15</v>
          </cell>
          <cell r="K800" t="str">
            <v>WPS-TNHA-S07</v>
          </cell>
          <cell r="L800" t="str">
            <v>ST-22</v>
          </cell>
          <cell r="Y800" t="str">
            <v>NOT YET FITUP</v>
          </cell>
        </row>
        <row r="801">
          <cell r="A801" t="str">
            <v>9001-2211-DS-0022-01-WM31</v>
          </cell>
          <cell r="B801" t="str">
            <v>9001-2211-DS-0022-01-WM</v>
          </cell>
          <cell r="C801">
            <v>31</v>
          </cell>
          <cell r="D801" t="str">
            <v>X7</v>
          </cell>
          <cell r="E801" t="str">
            <v>SB</v>
          </cell>
          <cell r="F801" t="str">
            <v>100%MT&amp;UT</v>
          </cell>
          <cell r="G801" t="str">
            <v>D</v>
          </cell>
          <cell r="H801">
            <v>1434.98</v>
          </cell>
          <cell r="I801">
            <v>15</v>
          </cell>
          <cell r="K801" t="str">
            <v>WPS-TNHA-S07</v>
          </cell>
          <cell r="L801" t="str">
            <v>ST-22</v>
          </cell>
          <cell r="Y801" t="str">
            <v>NOT YET FITUP</v>
          </cell>
        </row>
        <row r="802">
          <cell r="A802" t="str">
            <v>9001-2211-DS-0022-01-WM32</v>
          </cell>
          <cell r="B802" t="str">
            <v>9001-2211-DS-0022-01-WM</v>
          </cell>
          <cell r="C802">
            <v>32</v>
          </cell>
          <cell r="D802" t="str">
            <v>X8</v>
          </cell>
          <cell r="E802" t="str">
            <v>SB</v>
          </cell>
          <cell r="F802" t="str">
            <v>100%MT&amp;UT</v>
          </cell>
          <cell r="G802" t="str">
            <v>D</v>
          </cell>
          <cell r="H802">
            <v>1434.98</v>
          </cell>
          <cell r="I802">
            <v>15</v>
          </cell>
          <cell r="K802" t="str">
            <v>WPS-TNHA-S07</v>
          </cell>
          <cell r="L802" t="str">
            <v>ST-22</v>
          </cell>
          <cell r="Y802" t="str">
            <v>NOT YET FITUP</v>
          </cell>
        </row>
        <row r="803">
          <cell r="A803" t="str">
            <v>9001-2211-DS-0022-01-WM33</v>
          </cell>
          <cell r="B803" t="str">
            <v>9001-2211-DS-0022-01-WM</v>
          </cell>
          <cell r="C803">
            <v>33</v>
          </cell>
          <cell r="D803" t="str">
            <v>X9</v>
          </cell>
          <cell r="E803" t="str">
            <v>SB</v>
          </cell>
          <cell r="F803" t="str">
            <v>100%MT&amp;UT</v>
          </cell>
          <cell r="G803" t="str">
            <v>D</v>
          </cell>
          <cell r="H803">
            <v>1434.98</v>
          </cell>
          <cell r="I803">
            <v>15</v>
          </cell>
          <cell r="K803" t="str">
            <v>WPS-TNHA-S07</v>
          </cell>
          <cell r="L803" t="str">
            <v>ST-22</v>
          </cell>
          <cell r="Y803" t="str">
            <v>NOT YET FITUP</v>
          </cell>
        </row>
        <row r="804">
          <cell r="A804" t="str">
            <v>9001-2211-DS-0022-01-WM34</v>
          </cell>
          <cell r="B804" t="str">
            <v>9001-2211-DS-0022-01-WM</v>
          </cell>
          <cell r="C804">
            <v>34</v>
          </cell>
          <cell r="D804" t="str">
            <v>X10</v>
          </cell>
          <cell r="E804" t="str">
            <v>SB</v>
          </cell>
          <cell r="F804" t="str">
            <v>100%MT&amp;UT</v>
          </cell>
          <cell r="G804" t="str">
            <v>D</v>
          </cell>
          <cell r="H804">
            <v>1434.98</v>
          </cell>
          <cell r="I804">
            <v>15</v>
          </cell>
          <cell r="K804" t="str">
            <v>WPS-TNHA-S07</v>
          </cell>
          <cell r="L804" t="str">
            <v>ST-22</v>
          </cell>
          <cell r="Y804" t="str">
            <v>NOT YET FITUP</v>
          </cell>
        </row>
        <row r="805">
          <cell r="A805" t="str">
            <v>9001-2211-DS-0022-01-WM35</v>
          </cell>
          <cell r="B805" t="str">
            <v>9001-2211-DS-0022-01-WM</v>
          </cell>
          <cell r="C805">
            <v>35</v>
          </cell>
          <cell r="D805" t="str">
            <v>X11</v>
          </cell>
          <cell r="E805" t="str">
            <v>SB</v>
          </cell>
          <cell r="F805" t="str">
            <v>100%MT&amp;UT</v>
          </cell>
          <cell r="G805" t="str">
            <v>D</v>
          </cell>
          <cell r="H805">
            <v>1434.98</v>
          </cell>
          <cell r="I805">
            <v>15</v>
          </cell>
          <cell r="K805" t="str">
            <v>WPS-TNHA-S07</v>
          </cell>
          <cell r="L805" t="str">
            <v>ST-22</v>
          </cell>
          <cell r="Y805" t="str">
            <v>NOT YET FITUP</v>
          </cell>
        </row>
        <row r="806">
          <cell r="A806" t="str">
            <v>9001-2211-DS-0022-01-WM36</v>
          </cell>
          <cell r="B806" t="str">
            <v>9001-2211-DS-0022-01-WM</v>
          </cell>
          <cell r="C806">
            <v>36</v>
          </cell>
          <cell r="D806" t="str">
            <v>X12</v>
          </cell>
          <cell r="E806" t="str">
            <v>SB</v>
          </cell>
          <cell r="F806" t="str">
            <v>100%MT&amp;UT</v>
          </cell>
          <cell r="G806" t="str">
            <v>D</v>
          </cell>
          <cell r="H806">
            <v>1434.98</v>
          </cell>
          <cell r="I806">
            <v>15</v>
          </cell>
          <cell r="K806" t="str">
            <v>WPS-TNHA-S07</v>
          </cell>
          <cell r="L806" t="str">
            <v>ST-22</v>
          </cell>
          <cell r="Y806" t="str">
            <v>NOT YET FITUP</v>
          </cell>
        </row>
        <row r="807">
          <cell r="A807" t="str">
            <v>9001-2211-DS-0022-01-WM37</v>
          </cell>
          <cell r="B807" t="str">
            <v>9001-2211-DS-0022-01-WM</v>
          </cell>
          <cell r="C807">
            <v>37</v>
          </cell>
          <cell r="D807" t="str">
            <v>X1</v>
          </cell>
          <cell r="E807" t="str">
            <v>SB</v>
          </cell>
          <cell r="F807" t="str">
            <v>100%MT&amp;UT</v>
          </cell>
          <cell r="G807" t="str">
            <v>D</v>
          </cell>
          <cell r="H807">
            <v>1434.98</v>
          </cell>
          <cell r="I807">
            <v>15</v>
          </cell>
          <cell r="K807" t="str">
            <v>WPS-TNHA-S07</v>
          </cell>
          <cell r="L807" t="str">
            <v>ST-22</v>
          </cell>
          <cell r="Y807" t="str">
            <v>NOT YET FITUP</v>
          </cell>
        </row>
        <row r="808">
          <cell r="A808" t="str">
            <v>9001-2211-DS-0022-01-WM38</v>
          </cell>
          <cell r="B808" t="str">
            <v>9001-2211-DS-0022-01-WM</v>
          </cell>
          <cell r="C808">
            <v>38</v>
          </cell>
          <cell r="D808" t="str">
            <v>X2</v>
          </cell>
          <cell r="E808" t="str">
            <v>SB</v>
          </cell>
          <cell r="F808" t="str">
            <v>100%MT&amp;UT</v>
          </cell>
          <cell r="G808" t="str">
            <v>D</v>
          </cell>
          <cell r="H808">
            <v>1434.98</v>
          </cell>
          <cell r="I808">
            <v>15</v>
          </cell>
          <cell r="K808" t="str">
            <v>WPS-TNHA-S07</v>
          </cell>
          <cell r="L808" t="str">
            <v>ST-22</v>
          </cell>
          <cell r="Y808" t="str">
            <v>NOT YET FITUP</v>
          </cell>
        </row>
        <row r="809">
          <cell r="A809" t="str">
            <v>9001-2211-DS-0022-01-WM39</v>
          </cell>
          <cell r="B809" t="str">
            <v>9001-2211-DS-0022-01-WM</v>
          </cell>
          <cell r="C809">
            <v>39</v>
          </cell>
          <cell r="D809" t="str">
            <v>X3</v>
          </cell>
          <cell r="E809" t="str">
            <v>SB</v>
          </cell>
          <cell r="F809" t="str">
            <v>100%MT&amp;UT</v>
          </cell>
          <cell r="G809" t="str">
            <v>D</v>
          </cell>
          <cell r="H809">
            <v>1434.98</v>
          </cell>
          <cell r="I809">
            <v>15</v>
          </cell>
          <cell r="K809" t="str">
            <v>WPS-TNHA-S07</v>
          </cell>
          <cell r="L809" t="str">
            <v>ST-22</v>
          </cell>
          <cell r="Y809" t="str">
            <v>NOT YET FITUP</v>
          </cell>
        </row>
        <row r="810">
          <cell r="A810" t="str">
            <v>9001-2211-DS-0022-01-WM40</v>
          </cell>
          <cell r="B810" t="str">
            <v>9001-2211-DS-0022-01-WM</v>
          </cell>
          <cell r="C810">
            <v>40</v>
          </cell>
          <cell r="D810" t="str">
            <v>X4</v>
          </cell>
          <cell r="E810" t="str">
            <v>SB</v>
          </cell>
          <cell r="F810" t="str">
            <v>100%MT&amp;UT</v>
          </cell>
          <cell r="G810" t="str">
            <v>D</v>
          </cell>
          <cell r="H810">
            <v>1434.98</v>
          </cell>
          <cell r="I810">
            <v>15</v>
          </cell>
          <cell r="K810" t="str">
            <v>WPS-TNHA-S07</v>
          </cell>
          <cell r="L810" t="str">
            <v>ST-22</v>
          </cell>
          <cell r="Y810" t="str">
            <v>NOT YET FITUP</v>
          </cell>
        </row>
        <row r="811">
          <cell r="A811" t="str">
            <v>9001-2211-DS-0022-01-WM41</v>
          </cell>
          <cell r="B811" t="str">
            <v>9001-2211-DS-0022-01-WM</v>
          </cell>
          <cell r="C811">
            <v>41</v>
          </cell>
          <cell r="D811" t="str">
            <v>X5</v>
          </cell>
          <cell r="E811" t="str">
            <v>SB</v>
          </cell>
          <cell r="F811" t="str">
            <v>100%MT&amp;UT</v>
          </cell>
          <cell r="G811" t="str">
            <v>D</v>
          </cell>
          <cell r="H811">
            <v>1434.98</v>
          </cell>
          <cell r="I811">
            <v>15</v>
          </cell>
          <cell r="K811" t="str">
            <v>WPS-TNHA-S07</v>
          </cell>
          <cell r="L811" t="str">
            <v>ST-22</v>
          </cell>
          <cell r="Y811" t="str">
            <v>NOT YET FITUP</v>
          </cell>
        </row>
        <row r="812">
          <cell r="A812" t="str">
            <v>9001-2211-DS-0022-01-WM42</v>
          </cell>
          <cell r="B812" t="str">
            <v>9001-2211-DS-0022-01-WM</v>
          </cell>
          <cell r="C812">
            <v>42</v>
          </cell>
          <cell r="D812" t="str">
            <v>X6</v>
          </cell>
          <cell r="E812" t="str">
            <v>SB</v>
          </cell>
          <cell r="F812" t="str">
            <v>100%MT&amp;UT</v>
          </cell>
          <cell r="G812" t="str">
            <v>D</v>
          </cell>
          <cell r="H812">
            <v>1434.98</v>
          </cell>
          <cell r="I812">
            <v>15</v>
          </cell>
          <cell r="K812" t="str">
            <v>WPS-TNHA-S07</v>
          </cell>
          <cell r="L812" t="str">
            <v>ST-22</v>
          </cell>
          <cell r="Y812" t="str">
            <v>NOT YET FITUP</v>
          </cell>
        </row>
        <row r="813">
          <cell r="A813" t="str">
            <v>9001-2211-DS-0022-01-WM43</v>
          </cell>
          <cell r="B813" t="str">
            <v>9001-2211-DS-0022-01-WM</v>
          </cell>
          <cell r="C813">
            <v>43</v>
          </cell>
          <cell r="D813" t="str">
            <v>X7</v>
          </cell>
          <cell r="E813" t="str">
            <v>SB</v>
          </cell>
          <cell r="F813" t="str">
            <v>100%MT&amp;UT</v>
          </cell>
          <cell r="G813" t="str">
            <v>D</v>
          </cell>
          <cell r="H813">
            <v>1434.98</v>
          </cell>
          <cell r="I813">
            <v>15</v>
          </cell>
          <cell r="K813" t="str">
            <v>WPS-TNHA-S07</v>
          </cell>
          <cell r="L813" t="str">
            <v>ST-22</v>
          </cell>
          <cell r="Y813" t="str">
            <v>NOT YET FITUP</v>
          </cell>
        </row>
        <row r="814">
          <cell r="A814" t="str">
            <v>9001-2211-DS-0022-01-WM44</v>
          </cell>
          <cell r="B814" t="str">
            <v>9001-2211-DS-0022-01-WM</v>
          </cell>
          <cell r="C814">
            <v>44</v>
          </cell>
          <cell r="D814" t="str">
            <v>X8</v>
          </cell>
          <cell r="E814" t="str">
            <v>SB</v>
          </cell>
          <cell r="F814" t="str">
            <v>100%MT&amp;UT</v>
          </cell>
          <cell r="G814" t="str">
            <v>D</v>
          </cell>
          <cell r="H814">
            <v>1434.98</v>
          </cell>
          <cell r="I814">
            <v>15</v>
          </cell>
          <cell r="K814" t="str">
            <v>WPS-TNHA-S07</v>
          </cell>
          <cell r="L814" t="str">
            <v>ST-22</v>
          </cell>
          <cell r="Y814" t="str">
            <v>NOT YET FITUP</v>
          </cell>
        </row>
        <row r="815">
          <cell r="A815" t="str">
            <v>9001-2211-DS-0022-01-WM45</v>
          </cell>
          <cell r="B815" t="str">
            <v>9001-2211-DS-0022-01-WM</v>
          </cell>
          <cell r="C815">
            <v>45</v>
          </cell>
          <cell r="D815" t="str">
            <v>X9</v>
          </cell>
          <cell r="E815" t="str">
            <v>SB</v>
          </cell>
          <cell r="F815" t="str">
            <v>100%MT&amp;UT</v>
          </cell>
          <cell r="G815" t="str">
            <v>D</v>
          </cell>
          <cell r="H815">
            <v>1434.98</v>
          </cell>
          <cell r="I815">
            <v>15</v>
          </cell>
          <cell r="K815" t="str">
            <v>WPS-TNHA-S07</v>
          </cell>
          <cell r="L815" t="str">
            <v>ST-22</v>
          </cell>
          <cell r="Y815" t="str">
            <v>NOT YET FITUP</v>
          </cell>
        </row>
        <row r="816">
          <cell r="A816" t="str">
            <v>9001-2211-DS-0022-01-WM46</v>
          </cell>
          <cell r="B816" t="str">
            <v>9001-2211-DS-0022-01-WM</v>
          </cell>
          <cell r="C816">
            <v>46</v>
          </cell>
          <cell r="D816" t="str">
            <v>X10</v>
          </cell>
          <cell r="E816" t="str">
            <v>SB</v>
          </cell>
          <cell r="F816" t="str">
            <v>100%MT&amp;UT</v>
          </cell>
          <cell r="G816" t="str">
            <v>D</v>
          </cell>
          <cell r="H816">
            <v>1434.98</v>
          </cell>
          <cell r="I816">
            <v>15</v>
          </cell>
          <cell r="K816" t="str">
            <v>WPS-TNHA-S07</v>
          </cell>
          <cell r="L816" t="str">
            <v>ST-22</v>
          </cell>
          <cell r="Y816" t="str">
            <v>NOT YET FITUP</v>
          </cell>
        </row>
        <row r="817">
          <cell r="A817" t="str">
            <v>9001-2211-DS-0022-01-WM47</v>
          </cell>
          <cell r="B817" t="str">
            <v>9001-2211-DS-0022-01-WM</v>
          </cell>
          <cell r="C817">
            <v>47</v>
          </cell>
          <cell r="D817" t="str">
            <v>X11</v>
          </cell>
          <cell r="E817" t="str">
            <v>SB</v>
          </cell>
          <cell r="F817" t="str">
            <v>100%MT&amp;UT</v>
          </cell>
          <cell r="G817" t="str">
            <v>D</v>
          </cell>
          <cell r="H817">
            <v>1434.98</v>
          </cell>
          <cell r="I817">
            <v>15</v>
          </cell>
          <cell r="K817" t="str">
            <v>WPS-TNHA-S07</v>
          </cell>
          <cell r="L817" t="str">
            <v>ST-22</v>
          </cell>
          <cell r="Y817" t="str">
            <v>NOT YET FITUP</v>
          </cell>
        </row>
        <row r="818">
          <cell r="A818" t="str">
            <v>9001-2211-DS-0022-01-WM48</v>
          </cell>
          <cell r="B818" t="str">
            <v>9001-2211-DS-0022-01-WM</v>
          </cell>
          <cell r="C818">
            <v>48</v>
          </cell>
          <cell r="D818" t="str">
            <v>X12</v>
          </cell>
          <cell r="E818" t="str">
            <v>SB</v>
          </cell>
          <cell r="F818" t="str">
            <v>100%MT&amp;UT</v>
          </cell>
          <cell r="G818" t="str">
            <v>D</v>
          </cell>
          <cell r="H818">
            <v>1434.98</v>
          </cell>
          <cell r="I818">
            <v>15</v>
          </cell>
          <cell r="K818" t="str">
            <v>WPS-TNHA-S07</v>
          </cell>
          <cell r="L818" t="str">
            <v>ST-22</v>
          </cell>
          <cell r="Y818" t="str">
            <v>NOT YET FITUP</v>
          </cell>
        </row>
        <row r="819">
          <cell r="A819" t="str">
            <v>9001-2211-DS-0022-01-WM49</v>
          </cell>
          <cell r="B819" t="str">
            <v>9001-2211-DS-0022-01-WM</v>
          </cell>
          <cell r="C819">
            <v>49</v>
          </cell>
          <cell r="D819" t="str">
            <v>X1</v>
          </cell>
          <cell r="E819" t="str">
            <v>SB</v>
          </cell>
          <cell r="F819" t="str">
            <v>100%MT&amp;UT</v>
          </cell>
          <cell r="G819" t="str">
            <v>D</v>
          </cell>
          <cell r="H819">
            <v>1434.98</v>
          </cell>
          <cell r="I819">
            <v>15</v>
          </cell>
          <cell r="K819" t="str">
            <v>WPS-TNHA-S07</v>
          </cell>
          <cell r="L819" t="str">
            <v>ST-22</v>
          </cell>
          <cell r="Y819" t="str">
            <v>NOT YET FITUP</v>
          </cell>
        </row>
        <row r="820">
          <cell r="A820" t="str">
            <v>9001-2211-DS-0022-01-WM50</v>
          </cell>
          <cell r="B820" t="str">
            <v>9001-2211-DS-0022-01-WM</v>
          </cell>
          <cell r="C820">
            <v>50</v>
          </cell>
          <cell r="D820" t="str">
            <v>X2</v>
          </cell>
          <cell r="E820" t="str">
            <v>SB</v>
          </cell>
          <cell r="F820" t="str">
            <v>100%MT&amp;UT</v>
          </cell>
          <cell r="G820" t="str">
            <v>D</v>
          </cell>
          <cell r="H820">
            <v>1434.98</v>
          </cell>
          <cell r="I820">
            <v>15</v>
          </cell>
          <cell r="K820" t="str">
            <v>WPS-TNHA-S07</v>
          </cell>
          <cell r="L820" t="str">
            <v>ST-22</v>
          </cell>
          <cell r="Y820" t="str">
            <v>NOT YET FITUP</v>
          </cell>
        </row>
        <row r="821">
          <cell r="A821" t="str">
            <v>9001-2211-DS-0022-01-WM51</v>
          </cell>
          <cell r="B821" t="str">
            <v>9001-2211-DS-0022-01-WM</v>
          </cell>
          <cell r="C821">
            <v>51</v>
          </cell>
          <cell r="D821" t="str">
            <v>X3</v>
          </cell>
          <cell r="E821" t="str">
            <v>SB</v>
          </cell>
          <cell r="F821" t="str">
            <v>100%MT&amp;UT</v>
          </cell>
          <cell r="G821" t="str">
            <v>D</v>
          </cell>
          <cell r="H821">
            <v>1434.98</v>
          </cell>
          <cell r="I821">
            <v>15</v>
          </cell>
          <cell r="K821" t="str">
            <v>WPS-TNHA-S07</v>
          </cell>
          <cell r="L821" t="str">
            <v>ST-22</v>
          </cell>
          <cell r="Y821" t="str">
            <v>NOT YET FITUP</v>
          </cell>
        </row>
        <row r="822">
          <cell r="A822" t="str">
            <v>9001-2211-DS-0022-01-WM52</v>
          </cell>
          <cell r="B822" t="str">
            <v>9001-2211-DS-0022-01-WM</v>
          </cell>
          <cell r="C822">
            <v>52</v>
          </cell>
          <cell r="D822" t="str">
            <v>X4</v>
          </cell>
          <cell r="E822" t="str">
            <v>SB</v>
          </cell>
          <cell r="F822" t="str">
            <v>100%MT&amp;UT</v>
          </cell>
          <cell r="G822" t="str">
            <v>D</v>
          </cell>
          <cell r="H822">
            <v>1434.98</v>
          </cell>
          <cell r="I822">
            <v>15</v>
          </cell>
          <cell r="K822" t="str">
            <v>WPS-TNHA-S07</v>
          </cell>
          <cell r="L822" t="str">
            <v>ST-22</v>
          </cell>
          <cell r="Y822" t="str">
            <v>NOT YET FITUP</v>
          </cell>
        </row>
        <row r="823">
          <cell r="A823" t="str">
            <v>9001-2211-DS-0022-01-WM53</v>
          </cell>
          <cell r="B823" t="str">
            <v>9001-2211-DS-0022-01-WM</v>
          </cell>
          <cell r="C823">
            <v>53</v>
          </cell>
          <cell r="D823" t="str">
            <v>X5</v>
          </cell>
          <cell r="E823" t="str">
            <v>SB</v>
          </cell>
          <cell r="F823" t="str">
            <v>100%MT&amp;UT</v>
          </cell>
          <cell r="G823" t="str">
            <v>D</v>
          </cell>
          <cell r="H823">
            <v>1434.98</v>
          </cell>
          <cell r="I823">
            <v>15</v>
          </cell>
          <cell r="K823" t="str">
            <v>WPS-TNHA-S07</v>
          </cell>
          <cell r="L823" t="str">
            <v>ST-22</v>
          </cell>
          <cell r="Y823" t="str">
            <v>NOT YET FITUP</v>
          </cell>
        </row>
        <row r="824">
          <cell r="A824" t="str">
            <v>9001-2211-DS-0022-01-WM54</v>
          </cell>
          <cell r="B824" t="str">
            <v>9001-2211-DS-0022-01-WM</v>
          </cell>
          <cell r="C824">
            <v>54</v>
          </cell>
          <cell r="D824" t="str">
            <v>X6</v>
          </cell>
          <cell r="E824" t="str">
            <v>SB</v>
          </cell>
          <cell r="F824" t="str">
            <v>100%MT&amp;UT</v>
          </cell>
          <cell r="G824" t="str">
            <v>D</v>
          </cell>
          <cell r="H824">
            <v>1434.98</v>
          </cell>
          <cell r="I824">
            <v>15</v>
          </cell>
          <cell r="K824" t="str">
            <v>WPS-TNHA-S07</v>
          </cell>
          <cell r="L824" t="str">
            <v>ST-22</v>
          </cell>
          <cell r="Y824" t="str">
            <v>NOT YET FITUP</v>
          </cell>
        </row>
        <row r="825">
          <cell r="A825" t="str">
            <v>9001-2211-DS-0022-01-WM55</v>
          </cell>
          <cell r="B825" t="str">
            <v>9001-2211-DS-0022-01-WM</v>
          </cell>
          <cell r="C825">
            <v>55</v>
          </cell>
          <cell r="D825" t="str">
            <v>X7</v>
          </cell>
          <cell r="E825" t="str">
            <v>SB</v>
          </cell>
          <cell r="F825" t="str">
            <v>100%MT&amp;UT</v>
          </cell>
          <cell r="G825" t="str">
            <v>D</v>
          </cell>
          <cell r="H825">
            <v>1434.98</v>
          </cell>
          <cell r="I825">
            <v>15</v>
          </cell>
          <cell r="K825" t="str">
            <v>WPS-TNHA-S07</v>
          </cell>
          <cell r="L825" t="str">
            <v>ST-22</v>
          </cell>
          <cell r="Y825" t="str">
            <v>NOT YET FITUP</v>
          </cell>
        </row>
        <row r="826">
          <cell r="A826" t="str">
            <v>9001-2211-DS-0022-01-WM56</v>
          </cell>
          <cell r="B826" t="str">
            <v>9001-2211-DS-0022-01-WM</v>
          </cell>
          <cell r="C826">
            <v>56</v>
          </cell>
          <cell r="D826" t="str">
            <v>X8</v>
          </cell>
          <cell r="E826" t="str">
            <v>SB</v>
          </cell>
          <cell r="F826" t="str">
            <v>100%MT&amp;UT</v>
          </cell>
          <cell r="G826" t="str">
            <v>D</v>
          </cell>
          <cell r="H826">
            <v>1434.98</v>
          </cell>
          <cell r="I826">
            <v>15</v>
          </cell>
          <cell r="K826" t="str">
            <v>WPS-TNHA-S07</v>
          </cell>
          <cell r="L826" t="str">
            <v>ST-22</v>
          </cell>
          <cell r="Y826" t="str">
            <v>NOT YET FITUP</v>
          </cell>
        </row>
        <row r="827">
          <cell r="A827" t="str">
            <v>9001-2211-DS-0022-01-WM57</v>
          </cell>
          <cell r="B827" t="str">
            <v>9001-2211-DS-0022-01-WM</v>
          </cell>
          <cell r="C827">
            <v>57</v>
          </cell>
          <cell r="D827" t="str">
            <v>X9</v>
          </cell>
          <cell r="E827" t="str">
            <v>SB</v>
          </cell>
          <cell r="F827" t="str">
            <v>100%MT&amp;UT</v>
          </cell>
          <cell r="G827" t="str">
            <v>D</v>
          </cell>
          <cell r="H827">
            <v>1434.98</v>
          </cell>
          <cell r="I827">
            <v>15</v>
          </cell>
          <cell r="K827" t="str">
            <v>WPS-TNHA-S07</v>
          </cell>
          <cell r="L827" t="str">
            <v>ST-22</v>
          </cell>
          <cell r="Y827" t="str">
            <v>NOT YET FITUP</v>
          </cell>
        </row>
        <row r="828">
          <cell r="A828" t="str">
            <v>9001-2211-DS-0022-01-WM58</v>
          </cell>
          <cell r="B828" t="str">
            <v>9001-2211-DS-0022-01-WM</v>
          </cell>
          <cell r="C828">
            <v>58</v>
          </cell>
          <cell r="D828" t="str">
            <v>X10</v>
          </cell>
          <cell r="E828" t="str">
            <v>SB</v>
          </cell>
          <cell r="F828" t="str">
            <v>100%MT&amp;UT</v>
          </cell>
          <cell r="G828" t="str">
            <v>D</v>
          </cell>
          <cell r="H828">
            <v>1434.98</v>
          </cell>
          <cell r="I828">
            <v>15</v>
          </cell>
          <cell r="K828" t="str">
            <v>WPS-TNHA-S07</v>
          </cell>
          <cell r="L828" t="str">
            <v>ST-22</v>
          </cell>
          <cell r="Y828" t="str">
            <v>NOT YET FITUP</v>
          </cell>
        </row>
        <row r="829">
          <cell r="A829" t="str">
            <v>9001-2211-DS-0022-01-WM59</v>
          </cell>
          <cell r="B829" t="str">
            <v>9001-2211-DS-0022-01-WM</v>
          </cell>
          <cell r="C829">
            <v>59</v>
          </cell>
          <cell r="D829" t="str">
            <v>X11</v>
          </cell>
          <cell r="E829" t="str">
            <v>SB</v>
          </cell>
          <cell r="F829" t="str">
            <v>100%MT&amp;UT</v>
          </cell>
          <cell r="G829" t="str">
            <v>D</v>
          </cell>
          <cell r="H829">
            <v>1434.98</v>
          </cell>
          <cell r="I829">
            <v>15</v>
          </cell>
          <cell r="K829" t="str">
            <v>WPS-TNHA-S07</v>
          </cell>
          <cell r="L829" t="str">
            <v>ST-22</v>
          </cell>
          <cell r="Y829" t="str">
            <v>NOT YET FITUP</v>
          </cell>
        </row>
        <row r="830">
          <cell r="A830" t="str">
            <v>9001-2211-DS-0022-01-WM60</v>
          </cell>
          <cell r="B830" t="str">
            <v>9001-2211-DS-0022-01-WM</v>
          </cell>
          <cell r="C830">
            <v>60</v>
          </cell>
          <cell r="D830" t="str">
            <v>X12</v>
          </cell>
          <cell r="E830" t="str">
            <v>SB</v>
          </cell>
          <cell r="F830" t="str">
            <v>100%MT&amp;UT</v>
          </cell>
          <cell r="G830" t="str">
            <v>D</v>
          </cell>
          <cell r="H830">
            <v>1434.98</v>
          </cell>
          <cell r="I830">
            <v>15</v>
          </cell>
          <cell r="K830" t="str">
            <v>WPS-TNHA-S07</v>
          </cell>
          <cell r="L830" t="str">
            <v>ST-22</v>
          </cell>
          <cell r="Y830" t="str">
            <v>NOT YET FITUP</v>
          </cell>
        </row>
        <row r="831">
          <cell r="A831" t="str">
            <v>9001-2211-DS-0022-01-WM61</v>
          </cell>
          <cell r="B831" t="str">
            <v>9001-2211-DS-0022-01-WM</v>
          </cell>
          <cell r="C831">
            <v>61</v>
          </cell>
          <cell r="D831" t="str">
            <v>X1</v>
          </cell>
          <cell r="E831" t="str">
            <v>SB</v>
          </cell>
          <cell r="F831" t="str">
            <v>100%MT&amp;UT</v>
          </cell>
          <cell r="G831" t="str">
            <v>D</v>
          </cell>
          <cell r="H831">
            <v>1434.98</v>
          </cell>
          <cell r="I831">
            <v>15</v>
          </cell>
          <cell r="K831" t="str">
            <v>WPS-TNHA-S07</v>
          </cell>
          <cell r="L831" t="str">
            <v>ST-22</v>
          </cell>
          <cell r="Y831" t="str">
            <v>NOT YET FITUP</v>
          </cell>
        </row>
        <row r="832">
          <cell r="A832" t="str">
            <v>9001-2211-DS-0022-01-WM62</v>
          </cell>
          <cell r="B832" t="str">
            <v>9001-2211-DS-0022-01-WM</v>
          </cell>
          <cell r="C832">
            <v>62</v>
          </cell>
          <cell r="D832" t="str">
            <v>X2</v>
          </cell>
          <cell r="E832" t="str">
            <v>SB</v>
          </cell>
          <cell r="F832" t="str">
            <v>100%MT&amp;UT</v>
          </cell>
          <cell r="G832" t="str">
            <v>D</v>
          </cell>
          <cell r="H832">
            <v>1434.98</v>
          </cell>
          <cell r="I832">
            <v>15</v>
          </cell>
          <cell r="K832" t="str">
            <v>WPS-TNHA-S07</v>
          </cell>
          <cell r="L832" t="str">
            <v>ST-22</v>
          </cell>
          <cell r="Y832" t="str">
            <v>NOT YET FITUP</v>
          </cell>
        </row>
        <row r="833">
          <cell r="A833" t="str">
            <v>9001-2211-DS-0022-01-WM63</v>
          </cell>
          <cell r="B833" t="str">
            <v>9001-2211-DS-0022-01-WM</v>
          </cell>
          <cell r="C833">
            <v>63</v>
          </cell>
          <cell r="D833" t="str">
            <v>X3</v>
          </cell>
          <cell r="E833" t="str">
            <v>SB</v>
          </cell>
          <cell r="F833" t="str">
            <v>100%MT&amp;UT</v>
          </cell>
          <cell r="G833" t="str">
            <v>D</v>
          </cell>
          <cell r="H833">
            <v>1434.98</v>
          </cell>
          <cell r="I833">
            <v>15</v>
          </cell>
          <cell r="K833" t="str">
            <v>WPS-TNHA-S07</v>
          </cell>
          <cell r="L833" t="str">
            <v>ST-22</v>
          </cell>
          <cell r="Y833" t="str">
            <v>NOT YET FITUP</v>
          </cell>
        </row>
        <row r="834">
          <cell r="A834" t="str">
            <v>9001-2211-DS-0022-01-WM64</v>
          </cell>
          <cell r="B834" t="str">
            <v>9001-2211-DS-0022-01-WM</v>
          </cell>
          <cell r="C834">
            <v>64</v>
          </cell>
          <cell r="D834" t="str">
            <v>X4</v>
          </cell>
          <cell r="E834" t="str">
            <v>SB</v>
          </cell>
          <cell r="F834" t="str">
            <v>100%MT&amp;UT</v>
          </cell>
          <cell r="G834" t="str">
            <v>D</v>
          </cell>
          <cell r="H834">
            <v>1434.98</v>
          </cell>
          <cell r="I834">
            <v>15</v>
          </cell>
          <cell r="K834" t="str">
            <v>WPS-TNHA-S07</v>
          </cell>
          <cell r="L834" t="str">
            <v>ST-22</v>
          </cell>
          <cell r="Y834" t="str">
            <v>NOT YET FITUP</v>
          </cell>
        </row>
        <row r="835">
          <cell r="A835" t="str">
            <v>9001-2211-DS-0022-01-WM65</v>
          </cell>
          <cell r="B835" t="str">
            <v>9001-2211-DS-0022-01-WM</v>
          </cell>
          <cell r="C835">
            <v>65</v>
          </cell>
          <cell r="D835" t="str">
            <v>X5</v>
          </cell>
          <cell r="E835" t="str">
            <v>SB</v>
          </cell>
          <cell r="F835" t="str">
            <v>100%MT&amp;UT</v>
          </cell>
          <cell r="G835" t="str">
            <v>D</v>
          </cell>
          <cell r="H835">
            <v>1434.98</v>
          </cell>
          <cell r="I835">
            <v>15</v>
          </cell>
          <cell r="K835" t="str">
            <v>WPS-TNHA-S07</v>
          </cell>
          <cell r="L835" t="str">
            <v>ST-22</v>
          </cell>
          <cell r="Y835" t="str">
            <v>NOT YET FITUP</v>
          </cell>
        </row>
        <row r="836">
          <cell r="A836" t="str">
            <v>9001-2211-DS-0022-01-WM66</v>
          </cell>
          <cell r="B836" t="str">
            <v>9001-2211-DS-0022-01-WM</v>
          </cell>
          <cell r="C836">
            <v>66</v>
          </cell>
          <cell r="D836" t="str">
            <v>X6</v>
          </cell>
          <cell r="E836" t="str">
            <v>SB</v>
          </cell>
          <cell r="F836" t="str">
            <v>100%MT&amp;UT</v>
          </cell>
          <cell r="G836" t="str">
            <v>D</v>
          </cell>
          <cell r="H836">
            <v>1434.98</v>
          </cell>
          <cell r="I836">
            <v>15</v>
          </cell>
          <cell r="K836" t="str">
            <v>WPS-TNHA-S07</v>
          </cell>
          <cell r="L836" t="str">
            <v>ST-22</v>
          </cell>
          <cell r="Y836" t="str">
            <v>NOT YET FITUP</v>
          </cell>
        </row>
        <row r="837">
          <cell r="A837" t="str">
            <v>9001-2211-DS-0022-01-WM67</v>
          </cell>
          <cell r="B837" t="str">
            <v>9001-2211-DS-0022-01-WM</v>
          </cell>
          <cell r="C837">
            <v>67</v>
          </cell>
          <cell r="D837" t="str">
            <v>X7</v>
          </cell>
          <cell r="E837" t="str">
            <v>SB</v>
          </cell>
          <cell r="F837" t="str">
            <v>100%MT&amp;UT</v>
          </cell>
          <cell r="G837" t="str">
            <v>D</v>
          </cell>
          <cell r="H837">
            <v>1434.98</v>
          </cell>
          <cell r="I837">
            <v>15</v>
          </cell>
          <cell r="K837" t="str">
            <v>WPS-TNHA-S07</v>
          </cell>
          <cell r="L837" t="str">
            <v>ST-22</v>
          </cell>
          <cell r="Y837" t="str">
            <v>NOT YET FITUP</v>
          </cell>
        </row>
        <row r="838">
          <cell r="A838" t="str">
            <v>9001-2211-DS-0022-01-WM68</v>
          </cell>
          <cell r="B838" t="str">
            <v>9001-2211-DS-0022-01-WM</v>
          </cell>
          <cell r="C838">
            <v>68</v>
          </cell>
          <cell r="D838" t="str">
            <v>X8</v>
          </cell>
          <cell r="E838" t="str">
            <v>SB</v>
          </cell>
          <cell r="F838" t="str">
            <v>100%MT&amp;UT</v>
          </cell>
          <cell r="G838" t="str">
            <v>D</v>
          </cell>
          <cell r="H838">
            <v>1434.98</v>
          </cell>
          <cell r="I838">
            <v>15</v>
          </cell>
          <cell r="K838" t="str">
            <v>WPS-TNHA-S07</v>
          </cell>
          <cell r="L838" t="str">
            <v>ST-22</v>
          </cell>
          <cell r="Y838" t="str">
            <v>NOT YET FITUP</v>
          </cell>
        </row>
        <row r="839">
          <cell r="A839" t="str">
            <v>9001-2211-DS-0022-01-WM69</v>
          </cell>
          <cell r="B839" t="str">
            <v>9001-2211-DS-0022-01-WM</v>
          </cell>
          <cell r="C839">
            <v>69</v>
          </cell>
          <cell r="D839" t="str">
            <v>X9</v>
          </cell>
          <cell r="E839" t="str">
            <v>SB</v>
          </cell>
          <cell r="F839" t="str">
            <v>100%MT&amp;UT</v>
          </cell>
          <cell r="G839" t="str">
            <v>D</v>
          </cell>
          <cell r="H839">
            <v>1434.98</v>
          </cell>
          <cell r="I839">
            <v>15</v>
          </cell>
          <cell r="K839" t="str">
            <v>WPS-TNHA-S07</v>
          </cell>
          <cell r="L839" t="str">
            <v>ST-22</v>
          </cell>
          <cell r="Y839" t="str">
            <v>NOT YET FITUP</v>
          </cell>
        </row>
        <row r="840">
          <cell r="A840" t="str">
            <v>9001-2211-DS-0022-01-WM70</v>
          </cell>
          <cell r="B840" t="str">
            <v>9001-2211-DS-0022-01-WM</v>
          </cell>
          <cell r="C840">
            <v>70</v>
          </cell>
          <cell r="D840" t="str">
            <v>X10</v>
          </cell>
          <cell r="E840" t="str">
            <v>SB</v>
          </cell>
          <cell r="F840" t="str">
            <v>100%MT&amp;UT</v>
          </cell>
          <cell r="G840" t="str">
            <v>D</v>
          </cell>
          <cell r="H840">
            <v>1434.98</v>
          </cell>
          <cell r="I840">
            <v>15</v>
          </cell>
          <cell r="K840" t="str">
            <v>WPS-TNHA-S07</v>
          </cell>
          <cell r="L840" t="str">
            <v>ST-22</v>
          </cell>
          <cell r="Y840" t="str">
            <v>NOT YET FITUP</v>
          </cell>
        </row>
        <row r="841">
          <cell r="A841" t="str">
            <v>9001-2211-DS-0022-01-WM71</v>
          </cell>
          <cell r="B841" t="str">
            <v>9001-2211-DS-0022-01-WM</v>
          </cell>
          <cell r="C841">
            <v>71</v>
          </cell>
          <cell r="D841" t="str">
            <v>X11</v>
          </cell>
          <cell r="E841" t="str">
            <v>SB</v>
          </cell>
          <cell r="F841" t="str">
            <v>100%MT&amp;UT</v>
          </cell>
          <cell r="G841" t="str">
            <v>D</v>
          </cell>
          <cell r="H841">
            <v>1434.98</v>
          </cell>
          <cell r="I841">
            <v>15</v>
          </cell>
          <cell r="K841" t="str">
            <v>WPS-TNHA-S07</v>
          </cell>
          <cell r="L841" t="str">
            <v>ST-22</v>
          </cell>
          <cell r="Y841" t="str">
            <v>NOT YET FITUP</v>
          </cell>
        </row>
        <row r="842">
          <cell r="A842" t="str">
            <v>9001-2211-DS-0022-01-WM72</v>
          </cell>
          <cell r="B842" t="str">
            <v>9001-2211-DS-0022-01-WM</v>
          </cell>
          <cell r="C842">
            <v>72</v>
          </cell>
          <cell r="D842" t="str">
            <v>X12</v>
          </cell>
          <cell r="E842" t="str">
            <v>SB</v>
          </cell>
          <cell r="F842" t="str">
            <v>100%MT&amp;UT</v>
          </cell>
          <cell r="G842" t="str">
            <v>D</v>
          </cell>
          <cell r="H842">
            <v>1434.98</v>
          </cell>
          <cell r="I842">
            <v>15</v>
          </cell>
          <cell r="K842" t="str">
            <v>WPS-TNHA-S07</v>
          </cell>
          <cell r="L842" t="str">
            <v>ST-22</v>
          </cell>
          <cell r="Y842" t="str">
            <v>NOT YET FITUP</v>
          </cell>
        </row>
        <row r="843">
          <cell r="A843" t="str">
            <v>9001-2211-DS-0022-01-WM73</v>
          </cell>
          <cell r="B843" t="str">
            <v>9001-2211-DS-0022-01-WM</v>
          </cell>
          <cell r="C843">
            <v>73</v>
          </cell>
          <cell r="D843" t="str">
            <v>X1</v>
          </cell>
          <cell r="E843" t="str">
            <v>SB</v>
          </cell>
          <cell r="F843" t="str">
            <v>100%MT&amp;UT</v>
          </cell>
          <cell r="G843" t="str">
            <v>D</v>
          </cell>
          <cell r="H843">
            <v>1434.98</v>
          </cell>
          <cell r="I843">
            <v>15</v>
          </cell>
          <cell r="K843" t="str">
            <v>WPS-TNHA-S07</v>
          </cell>
          <cell r="L843" t="str">
            <v>ST-22</v>
          </cell>
          <cell r="M843" t="str">
            <v>THÁI</v>
          </cell>
          <cell r="N843">
            <v>46010</v>
          </cell>
          <cell r="O843" t="str">
            <v>F-142</v>
          </cell>
          <cell r="Y843" t="str">
            <v>NOT YET VISUAL</v>
          </cell>
        </row>
        <row r="844">
          <cell r="A844" t="str">
            <v>9001-2211-DS-0022-01-WM74</v>
          </cell>
          <cell r="B844" t="str">
            <v>9001-2211-DS-0022-01-WM</v>
          </cell>
          <cell r="C844">
            <v>74</v>
          </cell>
          <cell r="D844" t="str">
            <v>X2</v>
          </cell>
          <cell r="E844" t="str">
            <v>SB</v>
          </cell>
          <cell r="F844" t="str">
            <v>100%MT&amp;UT</v>
          </cell>
          <cell r="G844" t="str">
            <v>D</v>
          </cell>
          <cell r="H844">
            <v>1434.98</v>
          </cell>
          <cell r="I844">
            <v>15</v>
          </cell>
          <cell r="K844" t="str">
            <v>WPS-TNHA-S07</v>
          </cell>
          <cell r="L844" t="str">
            <v>ST-22</v>
          </cell>
          <cell r="Y844" t="str">
            <v>NOT YET FITUP</v>
          </cell>
        </row>
        <row r="845">
          <cell r="A845" t="str">
            <v>9001-2211-DS-0022-01-WM75</v>
          </cell>
          <cell r="B845" t="str">
            <v>9001-2211-DS-0022-01-WM</v>
          </cell>
          <cell r="C845">
            <v>75</v>
          </cell>
          <cell r="D845" t="str">
            <v>X3</v>
          </cell>
          <cell r="E845" t="str">
            <v>SB</v>
          </cell>
          <cell r="F845" t="str">
            <v>100%MT&amp;UT</v>
          </cell>
          <cell r="G845" t="str">
            <v>D</v>
          </cell>
          <cell r="H845">
            <v>1434.98</v>
          </cell>
          <cell r="I845">
            <v>15</v>
          </cell>
          <cell r="K845" t="str">
            <v>WPS-TNHA-S07</v>
          </cell>
          <cell r="L845" t="str">
            <v>ST-22</v>
          </cell>
          <cell r="Y845" t="str">
            <v>NOT YET FITUP</v>
          </cell>
        </row>
        <row r="846">
          <cell r="A846" t="str">
            <v>9001-2211-DS-0022-01-WM76</v>
          </cell>
          <cell r="B846" t="str">
            <v>9001-2211-DS-0022-01-WM</v>
          </cell>
          <cell r="C846">
            <v>76</v>
          </cell>
          <cell r="D846" t="str">
            <v>X4</v>
          </cell>
          <cell r="E846" t="str">
            <v>SB</v>
          </cell>
          <cell r="F846" t="str">
            <v>100%MT&amp;UT</v>
          </cell>
          <cell r="G846" t="str">
            <v>D</v>
          </cell>
          <cell r="H846">
            <v>1434.98</v>
          </cell>
          <cell r="I846">
            <v>15</v>
          </cell>
          <cell r="K846" t="str">
            <v>WPS-TNHA-S07</v>
          </cell>
          <cell r="L846" t="str">
            <v>ST-22</v>
          </cell>
          <cell r="M846" t="str">
            <v>THÁI</v>
          </cell>
          <cell r="N846">
            <v>46010</v>
          </cell>
          <cell r="O846" t="str">
            <v>F-142</v>
          </cell>
          <cell r="Y846" t="str">
            <v>NOT YET VISUAL</v>
          </cell>
        </row>
        <row r="847">
          <cell r="A847" t="str">
            <v>9001-2211-DS-0022-01-WM77</v>
          </cell>
          <cell r="B847" t="str">
            <v>9001-2211-DS-0022-01-WM</v>
          </cell>
          <cell r="C847">
            <v>77</v>
          </cell>
          <cell r="D847" t="str">
            <v>X5</v>
          </cell>
          <cell r="E847" t="str">
            <v>SB</v>
          </cell>
          <cell r="F847" t="str">
            <v>100%MT&amp;UT</v>
          </cell>
          <cell r="G847" t="str">
            <v>D</v>
          </cell>
          <cell r="H847">
            <v>1434.98</v>
          </cell>
          <cell r="I847">
            <v>15</v>
          </cell>
          <cell r="K847" t="str">
            <v>WPS-TNHA-S07</v>
          </cell>
          <cell r="L847" t="str">
            <v>ST-22</v>
          </cell>
          <cell r="M847" t="str">
            <v>THÁI</v>
          </cell>
          <cell r="N847">
            <v>46010</v>
          </cell>
          <cell r="O847" t="str">
            <v>F-142</v>
          </cell>
          <cell r="Y847" t="str">
            <v>NOT YET VISUAL</v>
          </cell>
        </row>
        <row r="848">
          <cell r="A848" t="str">
            <v>9001-2211-DS-0022-01-WM78</v>
          </cell>
          <cell r="B848" t="str">
            <v>9001-2211-DS-0022-01-WM</v>
          </cell>
          <cell r="C848">
            <v>78</v>
          </cell>
          <cell r="D848" t="str">
            <v>X6</v>
          </cell>
          <cell r="E848" t="str">
            <v>SB</v>
          </cell>
          <cell r="F848" t="str">
            <v>100%MT&amp;UT</v>
          </cell>
          <cell r="G848" t="str">
            <v>D</v>
          </cell>
          <cell r="H848">
            <v>1434.98</v>
          </cell>
          <cell r="I848">
            <v>15</v>
          </cell>
          <cell r="K848" t="str">
            <v>WPS-TNHA-S07</v>
          </cell>
          <cell r="L848" t="str">
            <v>ST-22</v>
          </cell>
          <cell r="Y848" t="str">
            <v>NOT YET FITUP</v>
          </cell>
        </row>
        <row r="849">
          <cell r="A849" t="str">
            <v>9001-2211-DS-0022-01-WM79</v>
          </cell>
          <cell r="B849" t="str">
            <v>9001-2211-DS-0022-01-WM</v>
          </cell>
          <cell r="C849">
            <v>79</v>
          </cell>
          <cell r="D849" t="str">
            <v>X7</v>
          </cell>
          <cell r="E849" t="str">
            <v>SB</v>
          </cell>
          <cell r="F849" t="str">
            <v>100%MT&amp;UT</v>
          </cell>
          <cell r="G849" t="str">
            <v>D</v>
          </cell>
          <cell r="H849">
            <v>1434.98</v>
          </cell>
          <cell r="I849">
            <v>15</v>
          </cell>
          <cell r="K849" t="str">
            <v>WPS-TNHA-S07</v>
          </cell>
          <cell r="L849" t="str">
            <v>ST-22</v>
          </cell>
          <cell r="Y849" t="str">
            <v>NOT YET FITUP</v>
          </cell>
        </row>
        <row r="850">
          <cell r="A850" t="str">
            <v>9001-2211-DS-0022-01-WM80</v>
          </cell>
          <cell r="B850" t="str">
            <v>9001-2211-DS-0022-01-WM</v>
          </cell>
          <cell r="C850">
            <v>80</v>
          </cell>
          <cell r="D850" t="str">
            <v>X8</v>
          </cell>
          <cell r="E850" t="str">
            <v>SB</v>
          </cell>
          <cell r="F850" t="str">
            <v>100%MT&amp;UT</v>
          </cell>
          <cell r="G850" t="str">
            <v>D</v>
          </cell>
          <cell r="H850">
            <v>1434.98</v>
          </cell>
          <cell r="I850">
            <v>15</v>
          </cell>
          <cell r="K850" t="str">
            <v>WPS-TNHA-S07</v>
          </cell>
          <cell r="L850" t="str">
            <v>ST-22</v>
          </cell>
          <cell r="M850" t="str">
            <v>THÁI</v>
          </cell>
          <cell r="N850">
            <v>46010</v>
          </cell>
          <cell r="O850" t="str">
            <v>F-142</v>
          </cell>
          <cell r="Y850" t="str">
            <v>NOT YET VISUAL</v>
          </cell>
        </row>
        <row r="851">
          <cell r="A851" t="str">
            <v>9001-2211-DS-0022-01-WM81</v>
          </cell>
          <cell r="B851" t="str">
            <v>9001-2211-DS-0022-01-WM</v>
          </cell>
          <cell r="C851">
            <v>81</v>
          </cell>
          <cell r="D851" t="str">
            <v>X9</v>
          </cell>
          <cell r="E851" t="str">
            <v>SB</v>
          </cell>
          <cell r="F851" t="str">
            <v>100%MT&amp;UT</v>
          </cell>
          <cell r="G851" t="str">
            <v>D</v>
          </cell>
          <cell r="H851">
            <v>1434.98</v>
          </cell>
          <cell r="I851">
            <v>15</v>
          </cell>
          <cell r="K851" t="str">
            <v>WPS-TNHA-S07</v>
          </cell>
          <cell r="L851" t="str">
            <v>ST-22</v>
          </cell>
          <cell r="M851" t="str">
            <v>THÁI</v>
          </cell>
          <cell r="N851">
            <v>46010</v>
          </cell>
          <cell r="O851" t="str">
            <v>F-142</v>
          </cell>
          <cell r="Y851" t="str">
            <v>NOT YET VISUAL</v>
          </cell>
        </row>
        <row r="852">
          <cell r="A852" t="str">
            <v>9001-2211-DS-0022-01-WM82</v>
          </cell>
          <cell r="B852" t="str">
            <v>9001-2211-DS-0022-01-WM</v>
          </cell>
          <cell r="C852">
            <v>82</v>
          </cell>
          <cell r="D852" t="str">
            <v>X10</v>
          </cell>
          <cell r="E852" t="str">
            <v>SB</v>
          </cell>
          <cell r="F852" t="str">
            <v>100%MT&amp;UT</v>
          </cell>
          <cell r="G852" t="str">
            <v>D</v>
          </cell>
          <cell r="H852">
            <v>1434.98</v>
          </cell>
          <cell r="I852">
            <v>15</v>
          </cell>
          <cell r="K852" t="str">
            <v>WPS-TNHA-S07</v>
          </cell>
          <cell r="L852" t="str">
            <v>ST-22</v>
          </cell>
          <cell r="Y852" t="str">
            <v>NOT YET FITUP</v>
          </cell>
        </row>
        <row r="853">
          <cell r="A853" t="str">
            <v>9001-2211-DS-0022-01-WM83</v>
          </cell>
          <cell r="B853" t="str">
            <v>9001-2211-DS-0022-01-WM</v>
          </cell>
          <cell r="C853">
            <v>83</v>
          </cell>
          <cell r="D853" t="str">
            <v>X11</v>
          </cell>
          <cell r="E853" t="str">
            <v>SB</v>
          </cell>
          <cell r="F853" t="str">
            <v>100%MT&amp;UT</v>
          </cell>
          <cell r="G853" t="str">
            <v>D</v>
          </cell>
          <cell r="H853">
            <v>1434.98</v>
          </cell>
          <cell r="I853">
            <v>15</v>
          </cell>
          <cell r="K853" t="str">
            <v>WPS-TNHA-S07</v>
          </cell>
          <cell r="L853" t="str">
            <v>ST-22</v>
          </cell>
          <cell r="M853" t="str">
            <v>THÁI</v>
          </cell>
          <cell r="N853">
            <v>46010</v>
          </cell>
          <cell r="O853" t="str">
            <v>F-142</v>
          </cell>
          <cell r="Y853" t="str">
            <v>NOT YET VISUAL</v>
          </cell>
        </row>
        <row r="854">
          <cell r="A854" t="str">
            <v>9001-2211-DS-0022-01-WM84</v>
          </cell>
          <cell r="B854" t="str">
            <v>9001-2211-DS-0022-01-WM</v>
          </cell>
          <cell r="C854">
            <v>84</v>
          </cell>
          <cell r="D854" t="str">
            <v>X12</v>
          </cell>
          <cell r="E854" t="str">
            <v>SB</v>
          </cell>
          <cell r="F854" t="str">
            <v>100%MT&amp;UT</v>
          </cell>
          <cell r="G854" t="str">
            <v>D</v>
          </cell>
          <cell r="H854">
            <v>1434.98</v>
          </cell>
          <cell r="I854">
            <v>15</v>
          </cell>
          <cell r="K854" t="str">
            <v>WPS-TNHA-S07</v>
          </cell>
          <cell r="L854" t="str">
            <v>ST-22</v>
          </cell>
          <cell r="Y854" t="str">
            <v>NOT YET FITUP</v>
          </cell>
        </row>
        <row r="855">
          <cell r="A855" t="str">
            <v>9001-2211-DS-0022-01-WM85</v>
          </cell>
          <cell r="B855" t="str">
            <v>9001-2211-DS-0022-01-WM</v>
          </cell>
          <cell r="C855">
            <v>85</v>
          </cell>
          <cell r="D855" t="str">
            <v>X1</v>
          </cell>
          <cell r="E855" t="str">
            <v>SB</v>
          </cell>
          <cell r="F855" t="str">
            <v>100%MT&amp;UT</v>
          </cell>
          <cell r="G855" t="str">
            <v>D</v>
          </cell>
          <cell r="H855">
            <v>1434.98</v>
          </cell>
          <cell r="I855">
            <v>15</v>
          </cell>
          <cell r="K855" t="str">
            <v>WPS-TNHA-S07</v>
          </cell>
          <cell r="L855" t="str">
            <v>ST-22</v>
          </cell>
          <cell r="M855" t="str">
            <v>THÁI</v>
          </cell>
          <cell r="N855">
            <v>46010</v>
          </cell>
          <cell r="O855" t="str">
            <v>F-142</v>
          </cell>
          <cell r="Y855" t="str">
            <v>NOT YET VISUAL</v>
          </cell>
        </row>
        <row r="856">
          <cell r="A856" t="str">
            <v>9001-2211-DS-0022-01-WM86</v>
          </cell>
          <cell r="B856" t="str">
            <v>9001-2211-DS-0022-01-WM</v>
          </cell>
          <cell r="C856">
            <v>86</v>
          </cell>
          <cell r="D856" t="str">
            <v>X2</v>
          </cell>
          <cell r="E856" t="str">
            <v>SB</v>
          </cell>
          <cell r="F856" t="str">
            <v>100%MT&amp;UT</v>
          </cell>
          <cell r="G856" t="str">
            <v>D</v>
          </cell>
          <cell r="H856">
            <v>1434.98</v>
          </cell>
          <cell r="I856">
            <v>15</v>
          </cell>
          <cell r="K856" t="str">
            <v>WPS-TNHA-S07</v>
          </cell>
          <cell r="L856" t="str">
            <v>ST-22</v>
          </cell>
          <cell r="Y856" t="str">
            <v>NOT YET FITUP</v>
          </cell>
        </row>
        <row r="857">
          <cell r="A857" t="str">
            <v>9001-2211-DS-0022-01-WM87</v>
          </cell>
          <cell r="B857" t="str">
            <v>9001-2211-DS-0022-01-WM</v>
          </cell>
          <cell r="C857">
            <v>87</v>
          </cell>
          <cell r="D857" t="str">
            <v>X3</v>
          </cell>
          <cell r="E857" t="str">
            <v>SB</v>
          </cell>
          <cell r="F857" t="str">
            <v>100%MT&amp;UT</v>
          </cell>
          <cell r="G857" t="str">
            <v>D</v>
          </cell>
          <cell r="H857">
            <v>1434.98</v>
          </cell>
          <cell r="I857">
            <v>15</v>
          </cell>
          <cell r="K857" t="str">
            <v>WPS-TNHA-S07</v>
          </cell>
          <cell r="L857" t="str">
            <v>ST-22</v>
          </cell>
          <cell r="Y857" t="str">
            <v>NOT YET FITUP</v>
          </cell>
        </row>
        <row r="858">
          <cell r="A858" t="str">
            <v>9001-2211-DS-0022-01-WM88</v>
          </cell>
          <cell r="B858" t="str">
            <v>9001-2211-DS-0022-01-WM</v>
          </cell>
          <cell r="C858">
            <v>88</v>
          </cell>
          <cell r="D858" t="str">
            <v>X4</v>
          </cell>
          <cell r="E858" t="str">
            <v>SB</v>
          </cell>
          <cell r="F858" t="str">
            <v>100%MT&amp;UT</v>
          </cell>
          <cell r="G858" t="str">
            <v>D</v>
          </cell>
          <cell r="H858">
            <v>1434.98</v>
          </cell>
          <cell r="I858">
            <v>15</v>
          </cell>
          <cell r="K858" t="str">
            <v>WPS-TNHA-S07</v>
          </cell>
          <cell r="L858" t="str">
            <v>ST-22</v>
          </cell>
          <cell r="M858" t="str">
            <v>THÁI</v>
          </cell>
          <cell r="N858">
            <v>46010</v>
          </cell>
          <cell r="O858" t="str">
            <v>F-142</v>
          </cell>
          <cell r="Y858" t="str">
            <v>NOT YET VISUAL</v>
          </cell>
        </row>
        <row r="859">
          <cell r="A859" t="str">
            <v>9001-2211-DS-0022-01-WM89</v>
          </cell>
          <cell r="B859" t="str">
            <v>9001-2211-DS-0022-01-WM</v>
          </cell>
          <cell r="C859">
            <v>89</v>
          </cell>
          <cell r="D859" t="str">
            <v>X5</v>
          </cell>
          <cell r="E859" t="str">
            <v>SB</v>
          </cell>
          <cell r="F859" t="str">
            <v>100%MT&amp;UT</v>
          </cell>
          <cell r="G859" t="str">
            <v>D</v>
          </cell>
          <cell r="H859">
            <v>1434.98</v>
          </cell>
          <cell r="I859">
            <v>15</v>
          </cell>
          <cell r="K859" t="str">
            <v>WPS-TNHA-S07</v>
          </cell>
          <cell r="L859" t="str">
            <v>ST-22</v>
          </cell>
          <cell r="M859" t="str">
            <v>THÁI</v>
          </cell>
          <cell r="N859">
            <v>46010</v>
          </cell>
          <cell r="O859" t="str">
            <v>F-142</v>
          </cell>
          <cell r="Y859" t="str">
            <v>NOT YET VISUAL</v>
          </cell>
        </row>
        <row r="860">
          <cell r="A860" t="str">
            <v>9001-2211-DS-0022-01-WM90</v>
          </cell>
          <cell r="B860" t="str">
            <v>9001-2211-DS-0022-01-WM</v>
          </cell>
          <cell r="C860">
            <v>90</v>
          </cell>
          <cell r="D860" t="str">
            <v>X6</v>
          </cell>
          <cell r="E860" t="str">
            <v>SB</v>
          </cell>
          <cell r="F860" t="str">
            <v>100%MT&amp;UT</v>
          </cell>
          <cell r="G860" t="str">
            <v>D</v>
          </cell>
          <cell r="H860">
            <v>1434.98</v>
          </cell>
          <cell r="I860">
            <v>15</v>
          </cell>
          <cell r="K860" t="str">
            <v>WPS-TNHA-S07</v>
          </cell>
          <cell r="L860" t="str">
            <v>ST-22</v>
          </cell>
          <cell r="Y860" t="str">
            <v>NOT YET FITUP</v>
          </cell>
        </row>
        <row r="861">
          <cell r="A861" t="str">
            <v>9001-2211-DS-0022-01-WM91</v>
          </cell>
          <cell r="B861" t="str">
            <v>9001-2211-DS-0022-01-WM</v>
          </cell>
          <cell r="C861">
            <v>91</v>
          </cell>
          <cell r="D861" t="str">
            <v>X7</v>
          </cell>
          <cell r="E861" t="str">
            <v>SB</v>
          </cell>
          <cell r="F861" t="str">
            <v>100%MT&amp;UT</v>
          </cell>
          <cell r="G861" t="str">
            <v>D</v>
          </cell>
          <cell r="H861">
            <v>1434.98</v>
          </cell>
          <cell r="I861">
            <v>15</v>
          </cell>
          <cell r="K861" t="str">
            <v>WPS-TNHA-S07</v>
          </cell>
          <cell r="L861" t="str">
            <v>ST-22</v>
          </cell>
          <cell r="Y861" t="str">
            <v>NOT YET FITUP</v>
          </cell>
        </row>
        <row r="862">
          <cell r="A862" t="str">
            <v>9001-2211-DS-0022-01-WM92</v>
          </cell>
          <cell r="B862" t="str">
            <v>9001-2211-DS-0022-01-WM</v>
          </cell>
          <cell r="C862">
            <v>92</v>
          </cell>
          <cell r="D862" t="str">
            <v>X8</v>
          </cell>
          <cell r="E862" t="str">
            <v>SB</v>
          </cell>
          <cell r="F862" t="str">
            <v>100%MT&amp;UT</v>
          </cell>
          <cell r="G862" t="str">
            <v>D</v>
          </cell>
          <cell r="H862">
            <v>1434.98</v>
          </cell>
          <cell r="I862">
            <v>15</v>
          </cell>
          <cell r="K862" t="str">
            <v>WPS-TNHA-S07</v>
          </cell>
          <cell r="L862" t="str">
            <v>ST-22</v>
          </cell>
          <cell r="M862" t="str">
            <v>THÁI</v>
          </cell>
          <cell r="N862">
            <v>46010</v>
          </cell>
          <cell r="O862" t="str">
            <v>F-142</v>
          </cell>
          <cell r="Y862" t="str">
            <v>NOT YET VISUAL</v>
          </cell>
        </row>
        <row r="863">
          <cell r="A863" t="str">
            <v>9001-2211-DS-0022-01-WM93</v>
          </cell>
          <cell r="B863" t="str">
            <v>9001-2211-DS-0022-01-WM</v>
          </cell>
          <cell r="C863">
            <v>93</v>
          </cell>
          <cell r="D863" t="str">
            <v>X9</v>
          </cell>
          <cell r="E863" t="str">
            <v>SB</v>
          </cell>
          <cell r="F863" t="str">
            <v>100%MT&amp;UT</v>
          </cell>
          <cell r="G863" t="str">
            <v>D</v>
          </cell>
          <cell r="H863">
            <v>1434.98</v>
          </cell>
          <cell r="I863">
            <v>15</v>
          </cell>
          <cell r="K863" t="str">
            <v>WPS-TNHA-S07</v>
          </cell>
          <cell r="L863" t="str">
            <v>ST-22</v>
          </cell>
          <cell r="M863" t="str">
            <v>THÁI</v>
          </cell>
          <cell r="N863">
            <v>46010</v>
          </cell>
          <cell r="O863" t="str">
            <v>F-142</v>
          </cell>
          <cell r="Y863" t="str">
            <v>NOT YET VISUAL</v>
          </cell>
        </row>
        <row r="864">
          <cell r="A864" t="str">
            <v>9001-2211-DS-0022-01-WM94</v>
          </cell>
          <cell r="B864" t="str">
            <v>9001-2211-DS-0022-01-WM</v>
          </cell>
          <cell r="C864">
            <v>94</v>
          </cell>
          <cell r="D864" t="str">
            <v>X10</v>
          </cell>
          <cell r="E864" t="str">
            <v>SB</v>
          </cell>
          <cell r="F864" t="str">
            <v>100%MT&amp;UT</v>
          </cell>
          <cell r="G864" t="str">
            <v>D</v>
          </cell>
          <cell r="H864">
            <v>1434.98</v>
          </cell>
          <cell r="I864">
            <v>15</v>
          </cell>
          <cell r="K864" t="str">
            <v>WPS-TNHA-S07</v>
          </cell>
          <cell r="L864" t="str">
            <v>ST-22</v>
          </cell>
          <cell r="Y864" t="str">
            <v>NOT YET FITUP</v>
          </cell>
        </row>
        <row r="865">
          <cell r="A865" t="str">
            <v>9001-2211-DS-0022-01-WM95</v>
          </cell>
          <cell r="B865" t="str">
            <v>9001-2211-DS-0022-01-WM</v>
          </cell>
          <cell r="C865">
            <v>95</v>
          </cell>
          <cell r="D865" t="str">
            <v>X11</v>
          </cell>
          <cell r="E865" t="str">
            <v>SB</v>
          </cell>
          <cell r="F865" t="str">
            <v>100%MT&amp;UT</v>
          </cell>
          <cell r="G865" t="str">
            <v>D</v>
          </cell>
          <cell r="H865">
            <v>1434.98</v>
          </cell>
          <cell r="I865">
            <v>15</v>
          </cell>
          <cell r="K865" t="str">
            <v>WPS-TNHA-S07</v>
          </cell>
          <cell r="L865" t="str">
            <v>ST-22</v>
          </cell>
          <cell r="M865" t="str">
            <v>THÁI</v>
          </cell>
          <cell r="N865">
            <v>46010</v>
          </cell>
          <cell r="O865" t="str">
            <v>F-142</v>
          </cell>
          <cell r="Y865" t="str">
            <v>NOT YET VISUAL</v>
          </cell>
        </row>
        <row r="866">
          <cell r="A866" t="str">
            <v>9001-2211-DS-0022-01-WM96</v>
          </cell>
          <cell r="B866" t="str">
            <v>9001-2211-DS-0022-01-WM</v>
          </cell>
          <cell r="C866">
            <v>96</v>
          </cell>
          <cell r="D866" t="str">
            <v>X12</v>
          </cell>
          <cell r="E866" t="str">
            <v>SB</v>
          </cell>
          <cell r="F866" t="str">
            <v>100%MT&amp;UT</v>
          </cell>
          <cell r="G866" t="str">
            <v>D</v>
          </cell>
          <cell r="H866">
            <v>1434.98</v>
          </cell>
          <cell r="I866">
            <v>15</v>
          </cell>
          <cell r="K866" t="str">
            <v>WPS-TNHA-S07</v>
          </cell>
          <cell r="L866" t="str">
            <v>ST-22</v>
          </cell>
          <cell r="Y866" t="str">
            <v>NOT YET FITUP</v>
          </cell>
        </row>
        <row r="867">
          <cell r="A867" t="str">
            <v>9001-2211-DS-0022-01-WM97</v>
          </cell>
          <cell r="B867" t="str">
            <v>9001-2211-DS-0022-01-WM</v>
          </cell>
          <cell r="C867">
            <v>97</v>
          </cell>
          <cell r="D867" t="str">
            <v>X1</v>
          </cell>
          <cell r="E867" t="str">
            <v>SB</v>
          </cell>
          <cell r="F867" t="str">
            <v>100%MT&amp;UT</v>
          </cell>
          <cell r="G867" t="str">
            <v>D</v>
          </cell>
          <cell r="H867">
            <v>1434.98</v>
          </cell>
          <cell r="I867">
            <v>15</v>
          </cell>
          <cell r="K867" t="str">
            <v>WPS-TNHA-S07</v>
          </cell>
          <cell r="L867" t="str">
            <v>ST-22</v>
          </cell>
          <cell r="M867" t="str">
            <v>THÁI</v>
          </cell>
          <cell r="N867">
            <v>46010</v>
          </cell>
          <cell r="O867" t="str">
            <v>F-142</v>
          </cell>
          <cell r="Y867" t="str">
            <v>NOT YET VISUAL</v>
          </cell>
        </row>
        <row r="868">
          <cell r="A868" t="str">
            <v>9001-2211-DS-0022-01-WM98</v>
          </cell>
          <cell r="B868" t="str">
            <v>9001-2211-DS-0022-01-WM</v>
          </cell>
          <cell r="C868">
            <v>98</v>
          </cell>
          <cell r="D868" t="str">
            <v>X2</v>
          </cell>
          <cell r="E868" t="str">
            <v>SB</v>
          </cell>
          <cell r="F868" t="str">
            <v>100%MT&amp;UT</v>
          </cell>
          <cell r="G868" t="str">
            <v>D</v>
          </cell>
          <cell r="H868">
            <v>1434.98</v>
          </cell>
          <cell r="I868">
            <v>15</v>
          </cell>
          <cell r="K868" t="str">
            <v>WPS-TNHA-S07</v>
          </cell>
          <cell r="L868" t="str">
            <v>ST-22</v>
          </cell>
          <cell r="Y868" t="str">
            <v>NOT YET FITUP</v>
          </cell>
        </row>
        <row r="869">
          <cell r="A869" t="str">
            <v>9001-2211-DS-0022-01-WM99</v>
          </cell>
          <cell r="B869" t="str">
            <v>9001-2211-DS-0022-01-WM</v>
          </cell>
          <cell r="C869">
            <v>99</v>
          </cell>
          <cell r="D869" t="str">
            <v>X3</v>
          </cell>
          <cell r="E869" t="str">
            <v>SB</v>
          </cell>
          <cell r="F869" t="str">
            <v>100%MT&amp;UT</v>
          </cell>
          <cell r="G869" t="str">
            <v>D</v>
          </cell>
          <cell r="H869">
            <v>1434.98</v>
          </cell>
          <cell r="I869">
            <v>15</v>
          </cell>
          <cell r="K869" t="str">
            <v>WPS-TNHA-S07</v>
          </cell>
          <cell r="L869" t="str">
            <v>ST-22</v>
          </cell>
          <cell r="Y869" t="str">
            <v>NOT YET FITUP</v>
          </cell>
        </row>
        <row r="870">
          <cell r="A870" t="str">
            <v>9001-2211-DS-0022-01-WM100</v>
          </cell>
          <cell r="B870" t="str">
            <v>9001-2211-DS-0022-01-WM</v>
          </cell>
          <cell r="C870">
            <v>100</v>
          </cell>
          <cell r="D870" t="str">
            <v>X4</v>
          </cell>
          <cell r="E870" t="str">
            <v>SB</v>
          </cell>
          <cell r="F870" t="str">
            <v>100%MT&amp;UT</v>
          </cell>
          <cell r="G870" t="str">
            <v>D</v>
          </cell>
          <cell r="H870">
            <v>1434.98</v>
          </cell>
          <cell r="I870">
            <v>15</v>
          </cell>
          <cell r="K870" t="str">
            <v>WPS-TNHA-S07</v>
          </cell>
          <cell r="L870" t="str">
            <v>ST-22</v>
          </cell>
          <cell r="M870" t="str">
            <v>THÁI</v>
          </cell>
          <cell r="N870">
            <v>46010</v>
          </cell>
          <cell r="O870" t="str">
            <v>F-142</v>
          </cell>
          <cell r="Y870" t="str">
            <v>NOT YET VISUAL</v>
          </cell>
        </row>
        <row r="871">
          <cell r="A871" t="str">
            <v>9001-2211-DS-0022-01-WM101</v>
          </cell>
          <cell r="B871" t="str">
            <v>9001-2211-DS-0022-01-WM</v>
          </cell>
          <cell r="C871">
            <v>101</v>
          </cell>
          <cell r="D871" t="str">
            <v>X5</v>
          </cell>
          <cell r="E871" t="str">
            <v>SB</v>
          </cell>
          <cell r="F871" t="str">
            <v>100%MT&amp;UT</v>
          </cell>
          <cell r="G871" t="str">
            <v>D</v>
          </cell>
          <cell r="H871">
            <v>1434.98</v>
          </cell>
          <cell r="I871">
            <v>15</v>
          </cell>
          <cell r="K871" t="str">
            <v>WPS-TNHA-S07</v>
          </cell>
          <cell r="L871" t="str">
            <v>ST-22</v>
          </cell>
          <cell r="M871" t="str">
            <v>THÁI</v>
          </cell>
          <cell r="N871">
            <v>46010</v>
          </cell>
          <cell r="O871" t="str">
            <v>F-142</v>
          </cell>
          <cell r="Y871" t="str">
            <v>NOT YET VISUAL</v>
          </cell>
        </row>
        <row r="872">
          <cell r="A872" t="str">
            <v>9001-2211-DS-0022-01-WM102</v>
          </cell>
          <cell r="B872" t="str">
            <v>9001-2211-DS-0022-01-WM</v>
          </cell>
          <cell r="C872">
            <v>102</v>
          </cell>
          <cell r="D872" t="str">
            <v>X6</v>
          </cell>
          <cell r="E872" t="str">
            <v>SB</v>
          </cell>
          <cell r="F872" t="str">
            <v>100%MT&amp;UT</v>
          </cell>
          <cell r="G872" t="str">
            <v>D</v>
          </cell>
          <cell r="H872">
            <v>1434.98</v>
          </cell>
          <cell r="I872">
            <v>15</v>
          </cell>
          <cell r="K872" t="str">
            <v>WPS-TNHA-S07</v>
          </cell>
          <cell r="L872" t="str">
            <v>ST-22</v>
          </cell>
          <cell r="Y872" t="str">
            <v>NOT YET FITUP</v>
          </cell>
        </row>
        <row r="873">
          <cell r="A873" t="str">
            <v>9001-2211-DS-0022-01-WM103</v>
          </cell>
          <cell r="B873" t="str">
            <v>9001-2211-DS-0022-01-WM</v>
          </cell>
          <cell r="C873">
            <v>103</v>
          </cell>
          <cell r="D873" t="str">
            <v>X7</v>
          </cell>
          <cell r="E873" t="str">
            <v>SB</v>
          </cell>
          <cell r="F873" t="str">
            <v>100%MT&amp;UT</v>
          </cell>
          <cell r="G873" t="str">
            <v>D</v>
          </cell>
          <cell r="H873">
            <v>1434.98</v>
          </cell>
          <cell r="I873">
            <v>15</v>
          </cell>
          <cell r="K873" t="str">
            <v>WPS-TNHA-S07</v>
          </cell>
          <cell r="L873" t="str">
            <v>ST-22</v>
          </cell>
          <cell r="Y873" t="str">
            <v>NOT YET FITUP</v>
          </cell>
        </row>
        <row r="874">
          <cell r="A874" t="str">
            <v>9001-2211-DS-0022-01-WM104</v>
          </cell>
          <cell r="B874" t="str">
            <v>9001-2211-DS-0022-01-WM</v>
          </cell>
          <cell r="C874">
            <v>104</v>
          </cell>
          <cell r="D874" t="str">
            <v>X8</v>
          </cell>
          <cell r="E874" t="str">
            <v>SB</v>
          </cell>
          <cell r="F874" t="str">
            <v>100%MT&amp;UT</v>
          </cell>
          <cell r="G874" t="str">
            <v>D</v>
          </cell>
          <cell r="H874">
            <v>1434.98</v>
          </cell>
          <cell r="I874">
            <v>15</v>
          </cell>
          <cell r="K874" t="str">
            <v>WPS-TNHA-S07</v>
          </cell>
          <cell r="L874" t="str">
            <v>ST-22</v>
          </cell>
          <cell r="M874" t="str">
            <v>THÁI</v>
          </cell>
          <cell r="N874">
            <v>46010</v>
          </cell>
          <cell r="O874" t="str">
            <v>F-142</v>
          </cell>
          <cell r="Y874" t="str">
            <v>NOT YET VISUAL</v>
          </cell>
        </row>
        <row r="875">
          <cell r="A875" t="str">
            <v>9001-2211-DS-0022-01-WM105</v>
          </cell>
          <cell r="B875" t="str">
            <v>9001-2211-DS-0022-01-WM</v>
          </cell>
          <cell r="C875">
            <v>105</v>
          </cell>
          <cell r="D875" t="str">
            <v>X9</v>
          </cell>
          <cell r="E875" t="str">
            <v>SB</v>
          </cell>
          <cell r="F875" t="str">
            <v>100%MT&amp;UT</v>
          </cell>
          <cell r="G875" t="str">
            <v>D</v>
          </cell>
          <cell r="H875">
            <v>1434.98</v>
          </cell>
          <cell r="I875">
            <v>15</v>
          </cell>
          <cell r="K875" t="str">
            <v>WPS-TNHA-S07</v>
          </cell>
          <cell r="L875" t="str">
            <v>ST-22</v>
          </cell>
          <cell r="M875" t="str">
            <v>THÁI</v>
          </cell>
          <cell r="N875">
            <v>46010</v>
          </cell>
          <cell r="O875" t="str">
            <v>F-142</v>
          </cell>
          <cell r="Y875" t="str">
            <v>NOT YET VISUAL</v>
          </cell>
        </row>
        <row r="876">
          <cell r="A876" t="str">
            <v>9001-2211-DS-0022-01-WM106</v>
          </cell>
          <cell r="B876" t="str">
            <v>9001-2211-DS-0022-01-WM</v>
          </cell>
          <cell r="C876">
            <v>106</v>
          </cell>
          <cell r="D876" t="str">
            <v>X10</v>
          </cell>
          <cell r="E876" t="str">
            <v>SB</v>
          </cell>
          <cell r="F876" t="str">
            <v>100%MT&amp;UT</v>
          </cell>
          <cell r="G876" t="str">
            <v>D</v>
          </cell>
          <cell r="H876">
            <v>1434.98</v>
          </cell>
          <cell r="I876">
            <v>15</v>
          </cell>
          <cell r="K876" t="str">
            <v>WPS-TNHA-S07</v>
          </cell>
          <cell r="L876" t="str">
            <v>ST-22</v>
          </cell>
          <cell r="Y876" t="str">
            <v>NOT YET FITUP</v>
          </cell>
        </row>
        <row r="877">
          <cell r="A877" t="str">
            <v>9001-2211-DS-0022-01-WM107</v>
          </cell>
          <cell r="B877" t="str">
            <v>9001-2211-DS-0022-01-WM</v>
          </cell>
          <cell r="C877">
            <v>107</v>
          </cell>
          <cell r="D877" t="str">
            <v>X11</v>
          </cell>
          <cell r="E877" t="str">
            <v>SB</v>
          </cell>
          <cell r="F877" t="str">
            <v>100%MT&amp;UT</v>
          </cell>
          <cell r="G877" t="str">
            <v>D</v>
          </cell>
          <cell r="H877">
            <v>1434.98</v>
          </cell>
          <cell r="I877">
            <v>15</v>
          </cell>
          <cell r="K877" t="str">
            <v>WPS-TNHA-S07</v>
          </cell>
          <cell r="L877" t="str">
            <v>ST-22</v>
          </cell>
          <cell r="M877" t="str">
            <v>THÁI</v>
          </cell>
          <cell r="N877">
            <v>46010</v>
          </cell>
          <cell r="O877" t="str">
            <v>F-142</v>
          </cell>
          <cell r="Y877" t="str">
            <v>NOT YET VISUAL</v>
          </cell>
        </row>
        <row r="878">
          <cell r="A878" t="str">
            <v>9001-2211-DS-0022-01-WM108</v>
          </cell>
          <cell r="B878" t="str">
            <v>9001-2211-DS-0022-01-WM</v>
          </cell>
          <cell r="C878">
            <v>108</v>
          </cell>
          <cell r="D878" t="str">
            <v>X12</v>
          </cell>
          <cell r="E878" t="str">
            <v>SB</v>
          </cell>
          <cell r="F878" t="str">
            <v>100%MT&amp;UT</v>
          </cell>
          <cell r="G878" t="str">
            <v>D</v>
          </cell>
          <cell r="H878">
            <v>1434.98</v>
          </cell>
          <cell r="I878">
            <v>15</v>
          </cell>
          <cell r="K878" t="str">
            <v>WPS-TNHA-S07</v>
          </cell>
          <cell r="L878" t="str">
            <v>ST-22</v>
          </cell>
          <cell r="Y878" t="str">
            <v>NOT YET FITUP</v>
          </cell>
        </row>
        <row r="879">
          <cell r="A879" t="str">
            <v>9001-2211-DS-0022-01-WM109</v>
          </cell>
          <cell r="B879" t="str">
            <v>9001-2211-DS-0022-01-WM</v>
          </cell>
          <cell r="C879">
            <v>109</v>
          </cell>
          <cell r="D879" t="str">
            <v>X1</v>
          </cell>
          <cell r="E879" t="str">
            <v>SB</v>
          </cell>
          <cell r="F879" t="str">
            <v>100%MT&amp;UT</v>
          </cell>
          <cell r="G879" t="str">
            <v>D</v>
          </cell>
          <cell r="H879">
            <v>1434.98</v>
          </cell>
          <cell r="I879">
            <v>15</v>
          </cell>
          <cell r="K879" t="str">
            <v>WPS-TNHA-S07</v>
          </cell>
          <cell r="L879" t="str">
            <v>ST-22</v>
          </cell>
          <cell r="M879" t="str">
            <v>XUÂN</v>
          </cell>
          <cell r="N879">
            <v>46008</v>
          </cell>
          <cell r="O879" t="str">
            <v>F-138</v>
          </cell>
          <cell r="Y879" t="str">
            <v>NOT YET VISUAL</v>
          </cell>
        </row>
        <row r="880">
          <cell r="A880" t="str">
            <v>9001-2211-DS-0022-01-WM110</v>
          </cell>
          <cell r="B880" t="str">
            <v>9001-2211-DS-0022-01-WM</v>
          </cell>
          <cell r="C880">
            <v>110</v>
          </cell>
          <cell r="D880" t="str">
            <v>X2</v>
          </cell>
          <cell r="E880" t="str">
            <v>SB</v>
          </cell>
          <cell r="F880" t="str">
            <v>100%MT&amp;UT</v>
          </cell>
          <cell r="G880" t="str">
            <v>D</v>
          </cell>
          <cell r="H880">
            <v>1434.98</v>
          </cell>
          <cell r="I880">
            <v>15</v>
          </cell>
          <cell r="K880" t="str">
            <v>WPS-TNHA-S07</v>
          </cell>
          <cell r="L880" t="str">
            <v>ST-22</v>
          </cell>
          <cell r="Y880" t="str">
            <v>NOT YET FITUP</v>
          </cell>
        </row>
        <row r="881">
          <cell r="A881" t="str">
            <v>9001-2211-DS-0022-01-WM111</v>
          </cell>
          <cell r="B881" t="str">
            <v>9001-2211-DS-0022-01-WM</v>
          </cell>
          <cell r="C881">
            <v>111</v>
          </cell>
          <cell r="D881" t="str">
            <v>X3</v>
          </cell>
          <cell r="E881" t="str">
            <v>SB</v>
          </cell>
          <cell r="F881" t="str">
            <v>100%MT&amp;UT</v>
          </cell>
          <cell r="G881" t="str">
            <v>D</v>
          </cell>
          <cell r="H881">
            <v>1434.98</v>
          </cell>
          <cell r="I881">
            <v>15</v>
          </cell>
          <cell r="K881" t="str">
            <v>WPS-TNHA-S07</v>
          </cell>
          <cell r="L881" t="str">
            <v>ST-22</v>
          </cell>
          <cell r="Y881" t="str">
            <v>NOT YET FITUP</v>
          </cell>
        </row>
        <row r="882">
          <cell r="A882" t="str">
            <v>9001-2211-DS-0022-01-WM112</v>
          </cell>
          <cell r="B882" t="str">
            <v>9001-2211-DS-0022-01-WM</v>
          </cell>
          <cell r="C882">
            <v>112</v>
          </cell>
          <cell r="D882" t="str">
            <v>X4</v>
          </cell>
          <cell r="E882" t="str">
            <v>SB</v>
          </cell>
          <cell r="F882" t="str">
            <v>100%MT&amp;UT</v>
          </cell>
          <cell r="G882" t="str">
            <v>D</v>
          </cell>
          <cell r="H882">
            <v>1434.98</v>
          </cell>
          <cell r="I882">
            <v>15</v>
          </cell>
          <cell r="K882" t="str">
            <v>WPS-TNHA-S07</v>
          </cell>
          <cell r="L882" t="str">
            <v>ST-22</v>
          </cell>
          <cell r="M882" t="str">
            <v>XUÂN</v>
          </cell>
          <cell r="N882">
            <v>46008</v>
          </cell>
          <cell r="O882" t="str">
            <v>F-138</v>
          </cell>
          <cell r="Y882" t="str">
            <v>NOT YET VISUAL</v>
          </cell>
        </row>
        <row r="883">
          <cell r="A883" t="str">
            <v>9001-2211-DS-0022-01-WM113</v>
          </cell>
          <cell r="B883" t="str">
            <v>9001-2211-DS-0022-01-WM</v>
          </cell>
          <cell r="C883">
            <v>113</v>
          </cell>
          <cell r="D883" t="str">
            <v>X5</v>
          </cell>
          <cell r="E883" t="str">
            <v>SB</v>
          </cell>
          <cell r="F883" t="str">
            <v>100%MT&amp;UT</v>
          </cell>
          <cell r="G883" t="str">
            <v>D</v>
          </cell>
          <cell r="H883">
            <v>1434.98</v>
          </cell>
          <cell r="I883">
            <v>15</v>
          </cell>
          <cell r="K883" t="str">
            <v>WPS-TNHA-S07</v>
          </cell>
          <cell r="L883" t="str">
            <v>ST-22</v>
          </cell>
          <cell r="M883" t="str">
            <v>XUÂN</v>
          </cell>
          <cell r="N883">
            <v>46008</v>
          </cell>
          <cell r="O883" t="str">
            <v>F-138</v>
          </cell>
          <cell r="Y883" t="str">
            <v>NOT YET VISUAL</v>
          </cell>
        </row>
        <row r="884">
          <cell r="A884" t="str">
            <v>9001-2211-DS-0022-01-WM114</v>
          </cell>
          <cell r="B884" t="str">
            <v>9001-2211-DS-0022-01-WM</v>
          </cell>
          <cell r="C884">
            <v>114</v>
          </cell>
          <cell r="D884" t="str">
            <v>X6</v>
          </cell>
          <cell r="E884" t="str">
            <v>SB</v>
          </cell>
          <cell r="F884" t="str">
            <v>100%MT&amp;UT</v>
          </cell>
          <cell r="G884" t="str">
            <v>D</v>
          </cell>
          <cell r="H884">
            <v>1434.98</v>
          </cell>
          <cell r="I884">
            <v>15</v>
          </cell>
          <cell r="K884" t="str">
            <v>WPS-TNHA-S07</v>
          </cell>
          <cell r="L884" t="str">
            <v>ST-22</v>
          </cell>
          <cell r="Y884" t="str">
            <v>NOT YET FITUP</v>
          </cell>
        </row>
        <row r="885">
          <cell r="A885" t="str">
            <v>9001-2211-DS-0022-01-WM115</v>
          </cell>
          <cell r="B885" t="str">
            <v>9001-2211-DS-0022-01-WM</v>
          </cell>
          <cell r="C885">
            <v>115</v>
          </cell>
          <cell r="D885" t="str">
            <v>X7</v>
          </cell>
          <cell r="E885" t="str">
            <v>SB</v>
          </cell>
          <cell r="F885" t="str">
            <v>100%MT&amp;UT</v>
          </cell>
          <cell r="G885" t="str">
            <v>D</v>
          </cell>
          <cell r="H885">
            <v>1434.98</v>
          </cell>
          <cell r="I885">
            <v>15</v>
          </cell>
          <cell r="K885" t="str">
            <v>WPS-TNHA-S07</v>
          </cell>
          <cell r="L885" t="str">
            <v>ST-22</v>
          </cell>
          <cell r="Y885" t="str">
            <v>NOT YET FITUP</v>
          </cell>
        </row>
        <row r="886">
          <cell r="A886" t="str">
            <v>9001-2211-DS-0022-01-WM116</v>
          </cell>
          <cell r="B886" t="str">
            <v>9001-2211-DS-0022-01-WM</v>
          </cell>
          <cell r="C886">
            <v>116</v>
          </cell>
          <cell r="D886" t="str">
            <v>X8</v>
          </cell>
          <cell r="E886" t="str">
            <v>SB</v>
          </cell>
          <cell r="F886" t="str">
            <v>100%MT&amp;UT</v>
          </cell>
          <cell r="G886" t="str">
            <v>D</v>
          </cell>
          <cell r="H886">
            <v>1434.98</v>
          </cell>
          <cell r="I886">
            <v>15</v>
          </cell>
          <cell r="K886" t="str">
            <v>WPS-TNHA-S07</v>
          </cell>
          <cell r="L886" t="str">
            <v>ST-22</v>
          </cell>
          <cell r="M886" t="str">
            <v>XUÂN</v>
          </cell>
          <cell r="N886">
            <v>46008</v>
          </cell>
          <cell r="O886" t="str">
            <v>F-138</v>
          </cell>
          <cell r="Y886" t="str">
            <v>NOT YET VISUAL</v>
          </cell>
        </row>
        <row r="887">
          <cell r="A887" t="str">
            <v>9001-2211-DS-0022-01-WM117</v>
          </cell>
          <cell r="B887" t="str">
            <v>9001-2211-DS-0022-01-WM</v>
          </cell>
          <cell r="C887">
            <v>117</v>
          </cell>
          <cell r="D887" t="str">
            <v>X9</v>
          </cell>
          <cell r="E887" t="str">
            <v>SB</v>
          </cell>
          <cell r="F887" t="str">
            <v>100%MT&amp;UT</v>
          </cell>
          <cell r="G887" t="str">
            <v>D</v>
          </cell>
          <cell r="H887">
            <v>1434.98</v>
          </cell>
          <cell r="I887">
            <v>15</v>
          </cell>
          <cell r="K887" t="str">
            <v>WPS-TNHA-S07</v>
          </cell>
          <cell r="L887" t="str">
            <v>ST-22</v>
          </cell>
          <cell r="M887" t="str">
            <v>XUÂN</v>
          </cell>
          <cell r="N887">
            <v>46008</v>
          </cell>
          <cell r="O887" t="str">
            <v>F-138</v>
          </cell>
          <cell r="Y887" t="str">
            <v>NOT YET VISUAL</v>
          </cell>
        </row>
        <row r="888">
          <cell r="A888" t="str">
            <v>9001-2211-DS-0022-01-WM118</v>
          </cell>
          <cell r="B888" t="str">
            <v>9001-2211-DS-0022-01-WM</v>
          </cell>
          <cell r="C888">
            <v>118</v>
          </cell>
          <cell r="D888" t="str">
            <v>X10</v>
          </cell>
          <cell r="E888" t="str">
            <v>SB</v>
          </cell>
          <cell r="F888" t="str">
            <v>100%MT&amp;UT</v>
          </cell>
          <cell r="G888" t="str">
            <v>D</v>
          </cell>
          <cell r="H888">
            <v>1434.98</v>
          </cell>
          <cell r="I888">
            <v>15</v>
          </cell>
          <cell r="K888" t="str">
            <v>WPS-TNHA-S07</v>
          </cell>
          <cell r="L888" t="str">
            <v>ST-22</v>
          </cell>
          <cell r="Y888" t="str">
            <v>NOT YET FITUP</v>
          </cell>
        </row>
        <row r="889">
          <cell r="A889" t="str">
            <v>9001-2211-DS-0022-01-WM119</v>
          </cell>
          <cell r="B889" t="str">
            <v>9001-2211-DS-0022-01-WM</v>
          </cell>
          <cell r="C889">
            <v>119</v>
          </cell>
          <cell r="D889" t="str">
            <v>X11</v>
          </cell>
          <cell r="E889" t="str">
            <v>SB</v>
          </cell>
          <cell r="F889" t="str">
            <v>100%MT&amp;UT</v>
          </cell>
          <cell r="G889" t="str">
            <v>D</v>
          </cell>
          <cell r="H889">
            <v>1434.98</v>
          </cell>
          <cell r="I889">
            <v>15</v>
          </cell>
          <cell r="K889" t="str">
            <v>WPS-TNHA-S07</v>
          </cell>
          <cell r="L889" t="str">
            <v>ST-22</v>
          </cell>
          <cell r="M889" t="str">
            <v>XUÂN</v>
          </cell>
          <cell r="N889">
            <v>46008</v>
          </cell>
          <cell r="O889" t="str">
            <v>F-138</v>
          </cell>
          <cell r="Y889" t="str">
            <v>NOT YET VISUAL</v>
          </cell>
        </row>
        <row r="890">
          <cell r="A890" t="str">
            <v>9001-2211-DS-0022-01-WM120</v>
          </cell>
          <cell r="B890" t="str">
            <v>9001-2211-DS-0022-01-WM</v>
          </cell>
          <cell r="C890">
            <v>120</v>
          </cell>
          <cell r="D890" t="str">
            <v>X12</v>
          </cell>
          <cell r="E890" t="str">
            <v>SB</v>
          </cell>
          <cell r="F890" t="str">
            <v>100%MT&amp;UT</v>
          </cell>
          <cell r="G890" t="str">
            <v>D</v>
          </cell>
          <cell r="H890">
            <v>1434.98</v>
          </cell>
          <cell r="I890">
            <v>15</v>
          </cell>
          <cell r="K890" t="str">
            <v>WPS-TNHA-S07</v>
          </cell>
          <cell r="L890" t="str">
            <v>ST-22</v>
          </cell>
          <cell r="Y890" t="str">
            <v>NOT YET FITUP</v>
          </cell>
        </row>
        <row r="891">
          <cell r="A891" t="str">
            <v>9001-2211-DS-0022-01-WM121</v>
          </cell>
          <cell r="B891" t="str">
            <v>9001-2211-DS-0022-01-WM</v>
          </cell>
          <cell r="C891">
            <v>121</v>
          </cell>
          <cell r="D891" t="str">
            <v>X1</v>
          </cell>
          <cell r="E891" t="str">
            <v>SB</v>
          </cell>
          <cell r="F891" t="str">
            <v>100%MT&amp;UT</v>
          </cell>
          <cell r="G891" t="str">
            <v>D</v>
          </cell>
          <cell r="H891">
            <v>1434.98</v>
          </cell>
          <cell r="I891">
            <v>15</v>
          </cell>
          <cell r="K891" t="str">
            <v>WPS-TNHA-S07</v>
          </cell>
          <cell r="L891" t="str">
            <v>ST-22</v>
          </cell>
          <cell r="M891" t="str">
            <v>XUÂN</v>
          </cell>
          <cell r="N891">
            <v>46008</v>
          </cell>
          <cell r="O891" t="str">
            <v>F-138</v>
          </cell>
          <cell r="Y891" t="str">
            <v>NOT YET VISUAL</v>
          </cell>
        </row>
        <row r="892">
          <cell r="A892" t="str">
            <v>9001-2211-DS-0022-01-WM122</v>
          </cell>
          <cell r="B892" t="str">
            <v>9001-2211-DS-0022-01-WM</v>
          </cell>
          <cell r="C892">
            <v>122</v>
          </cell>
          <cell r="D892" t="str">
            <v>X2</v>
          </cell>
          <cell r="E892" t="str">
            <v>SB</v>
          </cell>
          <cell r="F892" t="str">
            <v>100%MT&amp;UT</v>
          </cell>
          <cell r="G892" t="str">
            <v>D</v>
          </cell>
          <cell r="H892">
            <v>1434.98</v>
          </cell>
          <cell r="I892">
            <v>15</v>
          </cell>
          <cell r="K892" t="str">
            <v>WPS-TNHA-S07</v>
          </cell>
          <cell r="L892" t="str">
            <v>ST-22</v>
          </cell>
          <cell r="Y892" t="str">
            <v>NOT YET FITUP</v>
          </cell>
        </row>
        <row r="893">
          <cell r="A893" t="str">
            <v>9001-2211-DS-0022-01-WM123</v>
          </cell>
          <cell r="B893" t="str">
            <v>9001-2211-DS-0022-01-WM</v>
          </cell>
          <cell r="C893">
            <v>123</v>
          </cell>
          <cell r="D893" t="str">
            <v>X3</v>
          </cell>
          <cell r="E893" t="str">
            <v>SB</v>
          </cell>
          <cell r="F893" t="str">
            <v>100%MT&amp;UT</v>
          </cell>
          <cell r="G893" t="str">
            <v>D</v>
          </cell>
          <cell r="H893">
            <v>1434.98</v>
          </cell>
          <cell r="I893">
            <v>15</v>
          </cell>
          <cell r="K893" t="str">
            <v>WPS-TNHA-S07</v>
          </cell>
          <cell r="L893" t="str">
            <v>ST-22</v>
          </cell>
          <cell r="Y893" t="str">
            <v>NOT YET FITUP</v>
          </cell>
        </row>
        <row r="894">
          <cell r="A894" t="str">
            <v>9001-2211-DS-0022-01-WM124</v>
          </cell>
          <cell r="B894" t="str">
            <v>9001-2211-DS-0022-01-WM</v>
          </cell>
          <cell r="C894">
            <v>124</v>
          </cell>
          <cell r="D894" t="str">
            <v>X4</v>
          </cell>
          <cell r="E894" t="str">
            <v>SB</v>
          </cell>
          <cell r="F894" t="str">
            <v>100%MT&amp;UT</v>
          </cell>
          <cell r="G894" t="str">
            <v>D</v>
          </cell>
          <cell r="H894">
            <v>1434.98</v>
          </cell>
          <cell r="I894">
            <v>15</v>
          </cell>
          <cell r="K894" t="str">
            <v>WPS-TNHA-S07</v>
          </cell>
          <cell r="L894" t="str">
            <v>ST-22</v>
          </cell>
          <cell r="M894" t="str">
            <v>XUÂN</v>
          </cell>
          <cell r="N894">
            <v>46008</v>
          </cell>
          <cell r="O894" t="str">
            <v>F-138</v>
          </cell>
          <cell r="Y894" t="str">
            <v>NOT YET VISUAL</v>
          </cell>
        </row>
        <row r="895">
          <cell r="A895" t="str">
            <v>9001-2211-DS-0022-01-WM125</v>
          </cell>
          <cell r="B895" t="str">
            <v>9001-2211-DS-0022-01-WM</v>
          </cell>
          <cell r="C895">
            <v>125</v>
          </cell>
          <cell r="D895" t="str">
            <v>X5</v>
          </cell>
          <cell r="E895" t="str">
            <v>SB</v>
          </cell>
          <cell r="F895" t="str">
            <v>100%MT&amp;UT</v>
          </cell>
          <cell r="G895" t="str">
            <v>D</v>
          </cell>
          <cell r="H895">
            <v>1434.98</v>
          </cell>
          <cell r="I895">
            <v>15</v>
          </cell>
          <cell r="K895" t="str">
            <v>WPS-TNHA-S07</v>
          </cell>
          <cell r="L895" t="str">
            <v>ST-22</v>
          </cell>
          <cell r="M895" t="str">
            <v>XUÂN</v>
          </cell>
          <cell r="N895">
            <v>46008</v>
          </cell>
          <cell r="O895" t="str">
            <v>F-138</v>
          </cell>
          <cell r="Y895" t="str">
            <v>NOT YET VISUAL</v>
          </cell>
        </row>
        <row r="896">
          <cell r="A896" t="str">
            <v>9001-2211-DS-0022-01-WM126</v>
          </cell>
          <cell r="B896" t="str">
            <v>9001-2211-DS-0022-01-WM</v>
          </cell>
          <cell r="C896">
            <v>126</v>
          </cell>
          <cell r="D896" t="str">
            <v>X6</v>
          </cell>
          <cell r="E896" t="str">
            <v>SB</v>
          </cell>
          <cell r="F896" t="str">
            <v>100%MT&amp;UT</v>
          </cell>
          <cell r="G896" t="str">
            <v>D</v>
          </cell>
          <cell r="H896">
            <v>1434.98</v>
          </cell>
          <cell r="I896">
            <v>15</v>
          </cell>
          <cell r="K896" t="str">
            <v>WPS-TNHA-S07</v>
          </cell>
          <cell r="L896" t="str">
            <v>ST-22</v>
          </cell>
          <cell r="Y896" t="str">
            <v>NOT YET FITUP</v>
          </cell>
        </row>
        <row r="897">
          <cell r="A897" t="str">
            <v>9001-2211-DS-0022-01-WM127</v>
          </cell>
          <cell r="B897" t="str">
            <v>9001-2211-DS-0022-01-WM</v>
          </cell>
          <cell r="C897">
            <v>127</v>
          </cell>
          <cell r="D897" t="str">
            <v>X7</v>
          </cell>
          <cell r="E897" t="str">
            <v>SB</v>
          </cell>
          <cell r="F897" t="str">
            <v>100%MT&amp;UT</v>
          </cell>
          <cell r="G897" t="str">
            <v>D</v>
          </cell>
          <cell r="H897">
            <v>1434.98</v>
          </cell>
          <cell r="I897">
            <v>15</v>
          </cell>
          <cell r="K897" t="str">
            <v>WPS-TNHA-S07</v>
          </cell>
          <cell r="L897" t="str">
            <v>ST-22</v>
          </cell>
          <cell r="Y897" t="str">
            <v>NOT YET FITUP</v>
          </cell>
        </row>
        <row r="898">
          <cell r="A898" t="str">
            <v>9001-2211-DS-0022-01-WM128</v>
          </cell>
          <cell r="B898" t="str">
            <v>9001-2211-DS-0022-01-WM</v>
          </cell>
          <cell r="C898">
            <v>128</v>
          </cell>
          <cell r="D898" t="str">
            <v>X8</v>
          </cell>
          <cell r="E898" t="str">
            <v>SB</v>
          </cell>
          <cell r="F898" t="str">
            <v>100%MT&amp;UT</v>
          </cell>
          <cell r="G898" t="str">
            <v>D</v>
          </cell>
          <cell r="H898">
            <v>1434.98</v>
          </cell>
          <cell r="I898">
            <v>15</v>
          </cell>
          <cell r="K898" t="str">
            <v>WPS-TNHA-S07</v>
          </cell>
          <cell r="L898" t="str">
            <v>ST-22</v>
          </cell>
          <cell r="M898" t="str">
            <v>XUÂN</v>
          </cell>
          <cell r="N898">
            <v>46008</v>
          </cell>
          <cell r="O898" t="str">
            <v>F-138</v>
          </cell>
          <cell r="Y898" t="str">
            <v>NOT YET VISUAL</v>
          </cell>
        </row>
        <row r="899">
          <cell r="A899" t="str">
            <v>9001-2211-DS-0022-01-WM129</v>
          </cell>
          <cell r="B899" t="str">
            <v>9001-2211-DS-0022-01-WM</v>
          </cell>
          <cell r="C899">
            <v>129</v>
          </cell>
          <cell r="D899" t="str">
            <v>X9</v>
          </cell>
          <cell r="E899" t="str">
            <v>SB</v>
          </cell>
          <cell r="F899" t="str">
            <v>100%MT&amp;UT</v>
          </cell>
          <cell r="G899" t="str">
            <v>D</v>
          </cell>
          <cell r="H899">
            <v>1434.98</v>
          </cell>
          <cell r="I899">
            <v>15</v>
          </cell>
          <cell r="K899" t="str">
            <v>WPS-TNHA-S07</v>
          </cell>
          <cell r="L899" t="str">
            <v>ST-22</v>
          </cell>
          <cell r="M899" t="str">
            <v>XUÂN</v>
          </cell>
          <cell r="N899">
            <v>46008</v>
          </cell>
          <cell r="O899" t="str">
            <v>F-138</v>
          </cell>
          <cell r="Y899" t="str">
            <v>NOT YET VISUAL</v>
          </cell>
        </row>
        <row r="900">
          <cell r="A900" t="str">
            <v>9001-2211-DS-0022-01-WM130</v>
          </cell>
          <cell r="B900" t="str">
            <v>9001-2211-DS-0022-01-WM</v>
          </cell>
          <cell r="C900">
            <v>130</v>
          </cell>
          <cell r="D900" t="str">
            <v>X10</v>
          </cell>
          <cell r="E900" t="str">
            <v>SB</v>
          </cell>
          <cell r="F900" t="str">
            <v>100%MT&amp;UT</v>
          </cell>
          <cell r="G900" t="str">
            <v>D</v>
          </cell>
          <cell r="H900">
            <v>1434.98</v>
          </cell>
          <cell r="I900">
            <v>15</v>
          </cell>
          <cell r="K900" t="str">
            <v>WPS-TNHA-S07</v>
          </cell>
          <cell r="L900" t="str">
            <v>ST-22</v>
          </cell>
          <cell r="Y900" t="str">
            <v>NOT YET FITUP</v>
          </cell>
        </row>
        <row r="901">
          <cell r="A901" t="str">
            <v>9001-2211-DS-0022-01-WM131</v>
          </cell>
          <cell r="B901" t="str">
            <v>9001-2211-DS-0022-01-WM</v>
          </cell>
          <cell r="C901">
            <v>131</v>
          </cell>
          <cell r="D901" t="str">
            <v>X11</v>
          </cell>
          <cell r="E901" t="str">
            <v>SB</v>
          </cell>
          <cell r="F901" t="str">
            <v>100%MT&amp;UT</v>
          </cell>
          <cell r="G901" t="str">
            <v>D</v>
          </cell>
          <cell r="H901">
            <v>1434.98</v>
          </cell>
          <cell r="I901">
            <v>15</v>
          </cell>
          <cell r="K901" t="str">
            <v>WPS-TNHA-S07</v>
          </cell>
          <cell r="L901" t="str">
            <v>ST-22</v>
          </cell>
          <cell r="M901" t="str">
            <v>XUÂN</v>
          </cell>
          <cell r="N901">
            <v>46008</v>
          </cell>
          <cell r="O901" t="str">
            <v>F-138</v>
          </cell>
          <cell r="Y901" t="str">
            <v>NOT YET VISUAL</v>
          </cell>
        </row>
        <row r="902">
          <cell r="A902" t="str">
            <v>9001-2211-DS-0022-01-WM132</v>
          </cell>
          <cell r="B902" t="str">
            <v>9001-2211-DS-0022-01-WM</v>
          </cell>
          <cell r="C902">
            <v>132</v>
          </cell>
          <cell r="D902" t="str">
            <v>X12</v>
          </cell>
          <cell r="E902" t="str">
            <v>SB</v>
          </cell>
          <cell r="F902" t="str">
            <v>100%MT&amp;UT</v>
          </cell>
          <cell r="G902" t="str">
            <v>D</v>
          </cell>
          <cell r="H902">
            <v>1434.98</v>
          </cell>
          <cell r="I902">
            <v>15</v>
          </cell>
          <cell r="K902" t="str">
            <v>WPS-TNHA-S07</v>
          </cell>
          <cell r="L902" t="str">
            <v>ST-22</v>
          </cell>
          <cell r="Y902" t="str">
            <v>NOT YET FITUP</v>
          </cell>
        </row>
        <row r="903">
          <cell r="A903" t="str">
            <v>9001-2211-DS-0022-01-WM133</v>
          </cell>
          <cell r="B903" t="str">
            <v>9001-2211-DS-0022-01-WM</v>
          </cell>
          <cell r="C903">
            <v>133</v>
          </cell>
          <cell r="D903" t="str">
            <v>X1</v>
          </cell>
          <cell r="E903" t="str">
            <v>SB</v>
          </cell>
          <cell r="F903" t="str">
            <v>100%MT&amp;UT</v>
          </cell>
          <cell r="G903" t="str">
            <v>D</v>
          </cell>
          <cell r="H903">
            <v>1434.98</v>
          </cell>
          <cell r="I903">
            <v>15</v>
          </cell>
          <cell r="K903" t="str">
            <v>WPS-TNHA-S07</v>
          </cell>
          <cell r="L903" t="str">
            <v>ST-22</v>
          </cell>
          <cell r="M903" t="str">
            <v>XUÂN</v>
          </cell>
          <cell r="N903">
            <v>46008</v>
          </cell>
          <cell r="O903" t="str">
            <v>F-138</v>
          </cell>
          <cell r="Y903" t="str">
            <v>NOT YET VISUAL</v>
          </cell>
        </row>
        <row r="904">
          <cell r="A904" t="str">
            <v>9001-2211-DS-0022-01-WM134</v>
          </cell>
          <cell r="B904" t="str">
            <v>9001-2211-DS-0022-01-WM</v>
          </cell>
          <cell r="C904">
            <v>134</v>
          </cell>
          <cell r="D904" t="str">
            <v>X2</v>
          </cell>
          <cell r="E904" t="str">
            <v>SB</v>
          </cell>
          <cell r="F904" t="str">
            <v>100%MT&amp;UT</v>
          </cell>
          <cell r="G904" t="str">
            <v>D</v>
          </cell>
          <cell r="H904">
            <v>1434.98</v>
          </cell>
          <cell r="I904">
            <v>15</v>
          </cell>
          <cell r="K904" t="str">
            <v>WPS-TNHA-S07</v>
          </cell>
          <cell r="L904" t="str">
            <v>ST-22</v>
          </cell>
          <cell r="Y904" t="str">
            <v>NOT YET FITUP</v>
          </cell>
        </row>
        <row r="905">
          <cell r="A905" t="str">
            <v>9001-2211-DS-0022-01-WM135</v>
          </cell>
          <cell r="B905" t="str">
            <v>9001-2211-DS-0022-01-WM</v>
          </cell>
          <cell r="C905">
            <v>135</v>
          </cell>
          <cell r="D905" t="str">
            <v>X3</v>
          </cell>
          <cell r="E905" t="str">
            <v>SB</v>
          </cell>
          <cell r="F905" t="str">
            <v>100%MT&amp;UT</v>
          </cell>
          <cell r="G905" t="str">
            <v>D</v>
          </cell>
          <cell r="H905">
            <v>1434.98</v>
          </cell>
          <cell r="I905">
            <v>15</v>
          </cell>
          <cell r="K905" t="str">
            <v>WPS-TNHA-S07</v>
          </cell>
          <cell r="L905" t="str">
            <v>ST-22</v>
          </cell>
          <cell r="Y905" t="str">
            <v>NOT YET FITUP</v>
          </cell>
        </row>
        <row r="906">
          <cell r="A906" t="str">
            <v>9001-2211-DS-0022-01-WM136</v>
          </cell>
          <cell r="B906" t="str">
            <v>9001-2211-DS-0022-01-WM</v>
          </cell>
          <cell r="C906">
            <v>136</v>
          </cell>
          <cell r="D906" t="str">
            <v>X4</v>
          </cell>
          <cell r="E906" t="str">
            <v>SB</v>
          </cell>
          <cell r="F906" t="str">
            <v>100%MT&amp;UT</v>
          </cell>
          <cell r="G906" t="str">
            <v>D</v>
          </cell>
          <cell r="H906">
            <v>1434.98</v>
          </cell>
          <cell r="I906">
            <v>15</v>
          </cell>
          <cell r="K906" t="str">
            <v>WPS-TNHA-S07</v>
          </cell>
          <cell r="L906" t="str">
            <v>ST-22</v>
          </cell>
          <cell r="M906" t="str">
            <v>XUÂN</v>
          </cell>
          <cell r="N906">
            <v>46008</v>
          </cell>
          <cell r="O906" t="str">
            <v>F-138</v>
          </cell>
          <cell r="Y906" t="str">
            <v>NOT YET VISUAL</v>
          </cell>
        </row>
        <row r="907">
          <cell r="A907" t="str">
            <v>9001-2211-DS-0022-01-WM137</v>
          </cell>
          <cell r="B907" t="str">
            <v>9001-2211-DS-0022-01-WM</v>
          </cell>
          <cell r="C907">
            <v>137</v>
          </cell>
          <cell r="D907" t="str">
            <v>X5</v>
          </cell>
          <cell r="E907" t="str">
            <v>SB</v>
          </cell>
          <cell r="F907" t="str">
            <v>100%MT&amp;UT</v>
          </cell>
          <cell r="G907" t="str">
            <v>D</v>
          </cell>
          <cell r="H907">
            <v>1434.98</v>
          </cell>
          <cell r="I907">
            <v>15</v>
          </cell>
          <cell r="K907" t="str">
            <v>WPS-TNHA-S07</v>
          </cell>
          <cell r="L907" t="str">
            <v>ST-22</v>
          </cell>
          <cell r="M907" t="str">
            <v>XUÂN</v>
          </cell>
          <cell r="N907">
            <v>46008</v>
          </cell>
          <cell r="O907" t="str">
            <v>F-138</v>
          </cell>
          <cell r="Y907" t="str">
            <v>NOT YET VISUAL</v>
          </cell>
        </row>
        <row r="908">
          <cell r="A908" t="str">
            <v>9001-2211-DS-0022-01-WM138</v>
          </cell>
          <cell r="B908" t="str">
            <v>9001-2211-DS-0022-01-WM</v>
          </cell>
          <cell r="C908">
            <v>138</v>
          </cell>
          <cell r="D908" t="str">
            <v>X6</v>
          </cell>
          <cell r="E908" t="str">
            <v>SB</v>
          </cell>
          <cell r="F908" t="str">
            <v>100%MT&amp;UT</v>
          </cell>
          <cell r="G908" t="str">
            <v>D</v>
          </cell>
          <cell r="H908">
            <v>1434.98</v>
          </cell>
          <cell r="I908">
            <v>15</v>
          </cell>
          <cell r="K908" t="str">
            <v>WPS-TNHA-S07</v>
          </cell>
          <cell r="L908" t="str">
            <v>ST-22</v>
          </cell>
          <cell r="Y908" t="str">
            <v>NOT YET FITUP</v>
          </cell>
        </row>
        <row r="909">
          <cell r="A909" t="str">
            <v>9001-2211-DS-0022-01-WM139</v>
          </cell>
          <cell r="B909" t="str">
            <v>9001-2211-DS-0022-01-WM</v>
          </cell>
          <cell r="C909">
            <v>139</v>
          </cell>
          <cell r="D909" t="str">
            <v>X7</v>
          </cell>
          <cell r="E909" t="str">
            <v>SB</v>
          </cell>
          <cell r="F909" t="str">
            <v>100%MT&amp;UT</v>
          </cell>
          <cell r="G909" t="str">
            <v>D</v>
          </cell>
          <cell r="H909">
            <v>1434.98</v>
          </cell>
          <cell r="I909">
            <v>15</v>
          </cell>
          <cell r="K909" t="str">
            <v>WPS-TNHA-S07</v>
          </cell>
          <cell r="L909" t="str">
            <v>ST-22</v>
          </cell>
          <cell r="Y909" t="str">
            <v>NOT YET FITUP</v>
          </cell>
        </row>
        <row r="910">
          <cell r="A910" t="str">
            <v>9001-2211-DS-0022-01-WM140</v>
          </cell>
          <cell r="B910" t="str">
            <v>9001-2211-DS-0022-01-WM</v>
          </cell>
          <cell r="C910">
            <v>140</v>
          </cell>
          <cell r="D910" t="str">
            <v>X8</v>
          </cell>
          <cell r="E910" t="str">
            <v>SB</v>
          </cell>
          <cell r="F910" t="str">
            <v>100%MT&amp;UT</v>
          </cell>
          <cell r="G910" t="str">
            <v>D</v>
          </cell>
          <cell r="H910">
            <v>1434.98</v>
          </cell>
          <cell r="I910">
            <v>15</v>
          </cell>
          <cell r="K910" t="str">
            <v>WPS-TNHA-S07</v>
          </cell>
          <cell r="L910" t="str">
            <v>ST-22</v>
          </cell>
          <cell r="M910" t="str">
            <v>XUÂN</v>
          </cell>
          <cell r="N910">
            <v>46008</v>
          </cell>
          <cell r="O910" t="str">
            <v>F-138</v>
          </cell>
          <cell r="Y910" t="str">
            <v>NOT YET VISUAL</v>
          </cell>
        </row>
        <row r="911">
          <cell r="A911" t="str">
            <v>9001-2211-DS-0022-01-WM141</v>
          </cell>
          <cell r="B911" t="str">
            <v>9001-2211-DS-0022-01-WM</v>
          </cell>
          <cell r="C911">
            <v>141</v>
          </cell>
          <cell r="D911" t="str">
            <v>X9</v>
          </cell>
          <cell r="E911" t="str">
            <v>SB</v>
          </cell>
          <cell r="F911" t="str">
            <v>100%MT&amp;UT</v>
          </cell>
          <cell r="G911" t="str">
            <v>D</v>
          </cell>
          <cell r="H911">
            <v>1434.98</v>
          </cell>
          <cell r="I911">
            <v>15</v>
          </cell>
          <cell r="K911" t="str">
            <v>WPS-TNHA-S07</v>
          </cell>
          <cell r="L911" t="str">
            <v>ST-22</v>
          </cell>
          <cell r="M911" t="str">
            <v>XUÂN</v>
          </cell>
          <cell r="N911">
            <v>46008</v>
          </cell>
          <cell r="O911" t="str">
            <v>F-138</v>
          </cell>
          <cell r="Y911" t="str">
            <v>NOT YET VISUAL</v>
          </cell>
        </row>
        <row r="912">
          <cell r="A912" t="str">
            <v>9001-2211-DS-0022-01-WM142</v>
          </cell>
          <cell r="B912" t="str">
            <v>9001-2211-DS-0022-01-WM</v>
          </cell>
          <cell r="C912">
            <v>142</v>
          </cell>
          <cell r="D912" t="str">
            <v>X10</v>
          </cell>
          <cell r="E912" t="str">
            <v>SB</v>
          </cell>
          <cell r="F912" t="str">
            <v>100%MT&amp;UT</v>
          </cell>
          <cell r="G912" t="str">
            <v>D</v>
          </cell>
          <cell r="H912">
            <v>1434.98</v>
          </cell>
          <cell r="I912">
            <v>15</v>
          </cell>
          <cell r="K912" t="str">
            <v>WPS-TNHA-S07</v>
          </cell>
          <cell r="L912" t="str">
            <v>ST-22</v>
          </cell>
          <cell r="Y912" t="str">
            <v>NOT YET FITUP</v>
          </cell>
        </row>
        <row r="913">
          <cell r="A913" t="str">
            <v>9001-2211-DS-0022-01-WM143</v>
          </cell>
          <cell r="B913" t="str">
            <v>9001-2211-DS-0022-01-WM</v>
          </cell>
          <cell r="C913">
            <v>143</v>
          </cell>
          <cell r="D913" t="str">
            <v>X11</v>
          </cell>
          <cell r="E913" t="str">
            <v>SB</v>
          </cell>
          <cell r="F913" t="str">
            <v>100%MT&amp;UT</v>
          </cell>
          <cell r="G913" t="str">
            <v>D</v>
          </cell>
          <cell r="H913">
            <v>1434.98</v>
          </cell>
          <cell r="I913">
            <v>15</v>
          </cell>
          <cell r="K913" t="str">
            <v>WPS-TNHA-S07</v>
          </cell>
          <cell r="L913" t="str">
            <v>ST-22</v>
          </cell>
          <cell r="M913" t="str">
            <v>XUÂN</v>
          </cell>
          <cell r="N913">
            <v>46008</v>
          </cell>
          <cell r="O913" t="str">
            <v>F-138</v>
          </cell>
          <cell r="Y913" t="str">
            <v>NOT YET VISUAL</v>
          </cell>
        </row>
        <row r="914">
          <cell r="A914" t="str">
            <v>9001-2211-DS-0022-01-WM144</v>
          </cell>
          <cell r="B914" t="str">
            <v>9001-2211-DS-0022-01-WM</v>
          </cell>
          <cell r="C914">
            <v>144</v>
          </cell>
          <cell r="D914" t="str">
            <v>X12</v>
          </cell>
          <cell r="E914" t="str">
            <v>SB</v>
          </cell>
          <cell r="F914" t="str">
            <v>100%MT&amp;UT</v>
          </cell>
          <cell r="G914" t="str">
            <v>D</v>
          </cell>
          <cell r="H914">
            <v>1434.98</v>
          </cell>
          <cell r="I914">
            <v>15</v>
          </cell>
          <cell r="K914" t="str">
            <v>WPS-TNHA-S07</v>
          </cell>
          <cell r="L914" t="str">
            <v>ST-22</v>
          </cell>
          <cell r="Y914" t="str">
            <v>NOT YET FITUP</v>
          </cell>
        </row>
        <row r="915">
          <cell r="A915" t="str">
            <v>9001-2211-DS-0022-01-WM145</v>
          </cell>
          <cell r="B915" t="str">
            <v>9001-2211-DS-0022-01-WM</v>
          </cell>
          <cell r="C915">
            <v>145</v>
          </cell>
          <cell r="D915" t="str">
            <v>X13</v>
          </cell>
          <cell r="E915" t="str">
            <v>SV</v>
          </cell>
          <cell r="F915" t="str">
            <v>100%MT&amp;UT</v>
          </cell>
          <cell r="G915" t="str">
            <v>L</v>
          </cell>
          <cell r="H915">
            <v>412</v>
          </cell>
          <cell r="I915">
            <v>12</v>
          </cell>
          <cell r="K915" t="str">
            <v>WPS-TNHA-S06</v>
          </cell>
          <cell r="L915" t="str">
            <v>ST-22</v>
          </cell>
          <cell r="M915" t="str">
            <v>XUÂN</v>
          </cell>
          <cell r="N915">
            <v>45970</v>
          </cell>
          <cell r="O915" t="str">
            <v>F-079</v>
          </cell>
          <cell r="P915" t="str">
            <v>22/11/2025</v>
          </cell>
          <cell r="Q915" t="str">
            <v>DHN-SL-19</v>
          </cell>
          <cell r="R915" t="str">
            <v>XUÂN</v>
          </cell>
          <cell r="S915">
            <v>45991</v>
          </cell>
          <cell r="T915" t="str">
            <v>V-103</v>
          </cell>
          <cell r="Y915" t="str">
            <v>FINISH</v>
          </cell>
          <cell r="Z915" t="str">
            <v>ACC</v>
          </cell>
          <cell r="AA915" t="str">
            <v>ACC</v>
          </cell>
          <cell r="AB915" t="str">
            <v>MT-2211-ST-22-0028</v>
          </cell>
          <cell r="AC915" t="str">
            <v>ACC</v>
          </cell>
          <cell r="AD915" t="str">
            <v>UT-2211-ST-22-0050</v>
          </cell>
          <cell r="AL915" t="str">
            <v>5/12/2025</v>
          </cell>
          <cell r="AM915" t="str">
            <v>IRN-2211-ST-22-0002</v>
          </cell>
          <cell r="AP915" t="str">
            <v>2/12/2025</v>
          </cell>
        </row>
        <row r="916">
          <cell r="A916" t="str">
            <v>9001-2211-DS-0022-01-WM146</v>
          </cell>
          <cell r="B916" t="str">
            <v>9001-2211-DS-0022-01-WM</v>
          </cell>
          <cell r="C916">
            <v>146</v>
          </cell>
          <cell r="D916" t="str">
            <v>X14</v>
          </cell>
          <cell r="E916" t="str">
            <v>SB</v>
          </cell>
          <cell r="F916" t="str">
            <v>10%MT&amp;UT</v>
          </cell>
          <cell r="G916" t="str">
            <v>D</v>
          </cell>
          <cell r="H916">
            <v>2712.96</v>
          </cell>
          <cell r="I916">
            <v>12</v>
          </cell>
          <cell r="K916" t="str">
            <v>WPS-TNHA-S06</v>
          </cell>
          <cell r="L916" t="str">
            <v>ST-22</v>
          </cell>
          <cell r="M916" t="str">
            <v>XUÂN</v>
          </cell>
          <cell r="N916">
            <v>45970</v>
          </cell>
          <cell r="O916" t="str">
            <v>F-079</v>
          </cell>
          <cell r="P916" t="str">
            <v>22/11/2025</v>
          </cell>
          <cell r="Q916" t="str">
            <v>DHN-SL-19;PD-17</v>
          </cell>
          <cell r="R916" t="str">
            <v>XUÂN</v>
          </cell>
          <cell r="S916">
            <v>45991</v>
          </cell>
          <cell r="T916" t="str">
            <v>V-103</v>
          </cell>
          <cell r="Y916" t="str">
            <v>FINISH</v>
          </cell>
          <cell r="Z916" t="str">
            <v>ACC</v>
          </cell>
          <cell r="AA916" t="str">
            <v>ACC</v>
          </cell>
          <cell r="AB916" t="str">
            <v>MT-2211-ST-22-0028</v>
          </cell>
          <cell r="AC916" t="str">
            <v>ACC</v>
          </cell>
          <cell r="AD916" t="str">
            <v>UT-2211-ST-22-0051</v>
          </cell>
          <cell r="AL916" t="str">
            <v>5/12/2025</v>
          </cell>
          <cell r="AM916" t="str">
            <v>IRN-2211-ST-22-0002</v>
          </cell>
          <cell r="AP916" t="str">
            <v>2/12/2025</v>
          </cell>
        </row>
        <row r="917">
          <cell r="A917" t="str">
            <v>9001-2211-DS-0022-01-WM147</v>
          </cell>
          <cell r="B917" t="str">
            <v>9001-2211-DS-0022-01-WM</v>
          </cell>
          <cell r="C917">
            <v>147</v>
          </cell>
          <cell r="D917" t="str">
            <v>X15</v>
          </cell>
          <cell r="L917" t="str">
            <v>ST-22</v>
          </cell>
          <cell r="Y917" t="str">
            <v>NOT YET FITUP</v>
          </cell>
        </row>
        <row r="918">
          <cell r="A918" t="str">
            <v>9001-2211-DS-0022-01-WM148</v>
          </cell>
          <cell r="B918" t="str">
            <v>9001-2211-DS-0022-01-WM</v>
          </cell>
          <cell r="C918">
            <v>148</v>
          </cell>
          <cell r="D918" t="str">
            <v>X16</v>
          </cell>
          <cell r="E918" t="str">
            <v>SV</v>
          </cell>
          <cell r="F918" t="str">
            <v>100%MT&amp;UT</v>
          </cell>
          <cell r="G918" t="str">
            <v>L</v>
          </cell>
          <cell r="H918">
            <v>412</v>
          </cell>
          <cell r="I918">
            <v>12</v>
          </cell>
          <cell r="K918" t="str">
            <v>WPS-TNHA-S06</v>
          </cell>
          <cell r="L918" t="str">
            <v>ST-22</v>
          </cell>
          <cell r="Y918" t="str">
            <v>NOT YET FITUP</v>
          </cell>
        </row>
        <row r="919">
          <cell r="A919" t="str">
            <v>9001-2211-DS-0022-01-WM149</v>
          </cell>
          <cell r="B919" t="str">
            <v>9001-2211-DS-0022-01-WM</v>
          </cell>
          <cell r="C919">
            <v>149</v>
          </cell>
          <cell r="D919" t="str">
            <v>X17</v>
          </cell>
          <cell r="E919" t="str">
            <v>SB</v>
          </cell>
          <cell r="F919" t="str">
            <v>10%MT&amp;UT</v>
          </cell>
          <cell r="G919" t="str">
            <v>D</v>
          </cell>
          <cell r="H919">
            <v>2712.96</v>
          </cell>
          <cell r="I919">
            <v>12</v>
          </cell>
          <cell r="K919" t="str">
            <v>WPS-TNHA-S06</v>
          </cell>
          <cell r="L919" t="str">
            <v>ST-22</v>
          </cell>
          <cell r="Y919" t="str">
            <v>NOT YET FITUP</v>
          </cell>
        </row>
        <row r="920">
          <cell r="A920" t="str">
            <v>9001-2211-DS-0022-01-WM150</v>
          </cell>
          <cell r="B920" t="str">
            <v>9001-2211-DS-0022-01-WM</v>
          </cell>
          <cell r="C920">
            <v>150</v>
          </cell>
          <cell r="D920" t="str">
            <v>X18</v>
          </cell>
          <cell r="E920" t="str">
            <v>SV</v>
          </cell>
          <cell r="F920" t="str">
            <v>10%MT&amp;UT</v>
          </cell>
          <cell r="G920" t="str">
            <v>L</v>
          </cell>
          <cell r="H920">
            <v>700</v>
          </cell>
          <cell r="I920">
            <v>25</v>
          </cell>
          <cell r="K920" t="str">
            <v>WPS-TNHA-S06</v>
          </cell>
          <cell r="L920" t="str">
            <v>ST-22</v>
          </cell>
          <cell r="M920" t="str">
            <v>XUÂN</v>
          </cell>
          <cell r="N920">
            <v>46003</v>
          </cell>
          <cell r="O920" t="str">
            <v>F-129</v>
          </cell>
          <cell r="Y920" t="str">
            <v>NOT YET VISUAL</v>
          </cell>
        </row>
        <row r="921">
          <cell r="A921" t="str">
            <v>9001-2211-DS-0022-01-WM151</v>
          </cell>
          <cell r="B921" t="str">
            <v>9001-2211-DS-0022-01-WM</v>
          </cell>
          <cell r="C921">
            <v>151</v>
          </cell>
          <cell r="D921" t="str">
            <v>X19</v>
          </cell>
          <cell r="E921" t="str">
            <v>SV</v>
          </cell>
          <cell r="F921" t="str">
            <v>10%MT&amp;UT</v>
          </cell>
          <cell r="G921" t="str">
            <v>L</v>
          </cell>
          <cell r="H921">
            <v>412</v>
          </cell>
          <cell r="I921">
            <v>12</v>
          </cell>
          <cell r="K921" t="str">
            <v>WPS-TNHA-S06</v>
          </cell>
          <cell r="L921" t="str">
            <v>ST-22</v>
          </cell>
          <cell r="M921" t="str">
            <v>XUÂN</v>
          </cell>
          <cell r="N921">
            <v>45970</v>
          </cell>
          <cell r="O921" t="str">
            <v>F-079</v>
          </cell>
          <cell r="P921" t="str">
            <v>25/11/2025</v>
          </cell>
          <cell r="Q921" t="str">
            <v>DHN-SL-09</v>
          </cell>
          <cell r="R921" t="str">
            <v>XUÂN</v>
          </cell>
          <cell r="S921">
            <v>45991</v>
          </cell>
          <cell r="T921" t="str">
            <v>V-103(VS)</v>
          </cell>
          <cell r="Y921" t="str">
            <v>FINISH</v>
          </cell>
          <cell r="Z921" t="str">
            <v>ACC</v>
          </cell>
          <cell r="AL921" t="str">
            <v>5/12/2025</v>
          </cell>
          <cell r="AM921" t="str">
            <v>IRN-2211-ST-22-0002</v>
          </cell>
        </row>
        <row r="922">
          <cell r="A922" t="str">
            <v>9001-2211-DS-0022-01-WM152</v>
          </cell>
          <cell r="B922" t="str">
            <v>9001-2211-DS-0022-01-WM</v>
          </cell>
          <cell r="C922">
            <v>152</v>
          </cell>
          <cell r="D922" t="str">
            <v>X20</v>
          </cell>
          <cell r="E922" t="str">
            <v>SB</v>
          </cell>
          <cell r="F922" t="str">
            <v>10%MT&amp;UT</v>
          </cell>
          <cell r="G922" t="str">
            <v>D</v>
          </cell>
          <cell r="H922">
            <v>2712.96</v>
          </cell>
          <cell r="I922">
            <v>12</v>
          </cell>
          <cell r="K922" t="str">
            <v>WPS-TNHA-S06</v>
          </cell>
          <cell r="L922" t="str">
            <v>ST-22</v>
          </cell>
          <cell r="M922" t="str">
            <v>XUÂN</v>
          </cell>
          <cell r="N922">
            <v>45970</v>
          </cell>
          <cell r="O922" t="str">
            <v>F-079</v>
          </cell>
          <cell r="P922" t="str">
            <v>25/11/2025</v>
          </cell>
          <cell r="Q922" t="str">
            <v>DHN-SL-09;PD-20</v>
          </cell>
          <cell r="R922" t="str">
            <v>XUÂN</v>
          </cell>
          <cell r="S922">
            <v>45991</v>
          </cell>
          <cell r="T922" t="str">
            <v>V-103</v>
          </cell>
          <cell r="Y922" t="str">
            <v>FINISH</v>
          </cell>
          <cell r="Z922" t="str">
            <v>ACC</v>
          </cell>
          <cell r="AA922" t="str">
            <v>ACC</v>
          </cell>
          <cell r="AB922" t="str">
            <v>MT-2211-ST-22-0029</v>
          </cell>
          <cell r="AC922" t="str">
            <v>ACC</v>
          </cell>
          <cell r="AD922" t="str">
            <v>UT-2211-ST-22-0051</v>
          </cell>
          <cell r="AL922" t="str">
            <v>5/12/2025</v>
          </cell>
          <cell r="AM922" t="str">
            <v>IRN-2211-ST-22-0002</v>
          </cell>
          <cell r="AP922" t="str">
            <v>2/12/2025</v>
          </cell>
        </row>
        <row r="923">
          <cell r="A923" t="str">
            <v>9001-2211-DS-0022-01-WM153</v>
          </cell>
          <cell r="B923" t="str">
            <v>9001-2211-DS-0022-01-WM</v>
          </cell>
          <cell r="C923">
            <v>153</v>
          </cell>
          <cell r="D923" t="str">
            <v>X21</v>
          </cell>
          <cell r="L923" t="str">
            <v>ST-22</v>
          </cell>
          <cell r="Y923" t="str">
            <v>NOT YET FITUP</v>
          </cell>
        </row>
        <row r="924">
          <cell r="A924" t="str">
            <v>9001-2211-DS-0022-01-WM154</v>
          </cell>
          <cell r="B924" t="str">
            <v>9001-2211-DS-0022-01-WM</v>
          </cell>
          <cell r="C924">
            <v>154</v>
          </cell>
          <cell r="D924" t="str">
            <v>X13</v>
          </cell>
          <cell r="E924" t="str">
            <v>SV</v>
          </cell>
          <cell r="F924" t="str">
            <v>10%MT&amp;UT</v>
          </cell>
          <cell r="G924" t="str">
            <v>L</v>
          </cell>
          <cell r="H924">
            <v>412</v>
          </cell>
          <cell r="I924">
            <v>12</v>
          </cell>
          <cell r="K924" t="str">
            <v>WPS-TNHA-S06</v>
          </cell>
          <cell r="L924" t="str">
            <v>ST-22</v>
          </cell>
          <cell r="M924" t="str">
            <v>XUÂN</v>
          </cell>
          <cell r="N924">
            <v>45970</v>
          </cell>
          <cell r="O924" t="str">
            <v>F-079</v>
          </cell>
          <cell r="P924" t="str">
            <v>25/11/2025</v>
          </cell>
          <cell r="Q924" t="str">
            <v>DHN-SL-19</v>
          </cell>
          <cell r="R924" t="str">
            <v>XUÂN</v>
          </cell>
          <cell r="S924">
            <v>45991</v>
          </cell>
          <cell r="T924" t="str">
            <v>V-103(VS)</v>
          </cell>
          <cell r="Y924" t="str">
            <v>FINISH</v>
          </cell>
          <cell r="Z924" t="str">
            <v>ACC</v>
          </cell>
          <cell r="AL924" t="str">
            <v>5/12/2025</v>
          </cell>
          <cell r="AM924" t="str">
            <v>IRN-2211-ST-22-0002</v>
          </cell>
        </row>
        <row r="925">
          <cell r="A925" t="str">
            <v>9001-2211-DS-0022-01-WM155</v>
          </cell>
          <cell r="B925" t="str">
            <v>9001-2211-DS-0022-01-WM</v>
          </cell>
          <cell r="C925">
            <v>155</v>
          </cell>
          <cell r="D925" t="str">
            <v>X14</v>
          </cell>
          <cell r="E925" t="str">
            <v>SB</v>
          </cell>
          <cell r="F925" t="str">
            <v>10%MT&amp;UT</v>
          </cell>
          <cell r="G925" t="str">
            <v>D</v>
          </cell>
          <cell r="H925">
            <v>2712.96</v>
          </cell>
          <cell r="I925">
            <v>12</v>
          </cell>
          <cell r="K925" t="str">
            <v>WPS-TNHA-S06</v>
          </cell>
          <cell r="L925" t="str">
            <v>ST-22</v>
          </cell>
          <cell r="M925" t="str">
            <v>XUÂN</v>
          </cell>
          <cell r="N925">
            <v>45970</v>
          </cell>
          <cell r="O925" t="str">
            <v>F-079</v>
          </cell>
          <cell r="P925" t="str">
            <v>25/11/2025</v>
          </cell>
          <cell r="Q925" t="str">
            <v>DHN-SL-19;PD-17</v>
          </cell>
          <cell r="R925" t="str">
            <v>XUÂN</v>
          </cell>
          <cell r="S925">
            <v>45991</v>
          </cell>
          <cell r="T925" t="str">
            <v>V-103</v>
          </cell>
          <cell r="Y925" t="str">
            <v>FINISH</v>
          </cell>
          <cell r="Z925" t="str">
            <v>ACC</v>
          </cell>
          <cell r="AA925" t="str">
            <v>ACC</v>
          </cell>
          <cell r="AB925" t="str">
            <v>MT-2211-ST-22-0029</v>
          </cell>
          <cell r="AC925" t="str">
            <v>ACC</v>
          </cell>
          <cell r="AD925" t="str">
            <v>UT-2211-ST-22-0051</v>
          </cell>
          <cell r="AL925" t="str">
            <v>5/12/2025</v>
          </cell>
          <cell r="AM925" t="str">
            <v>IRN-2211-ST-22-0002</v>
          </cell>
          <cell r="AP925" t="str">
            <v>2/12/2025</v>
          </cell>
        </row>
        <row r="926">
          <cell r="A926" t="str">
            <v>9001-2211-DS-0022-01-WM156</v>
          </cell>
          <cell r="B926" t="str">
            <v>9001-2211-DS-0022-01-WM</v>
          </cell>
          <cell r="C926">
            <v>156</v>
          </cell>
          <cell r="D926" t="str">
            <v>X15</v>
          </cell>
          <cell r="L926" t="str">
            <v>ST-22</v>
          </cell>
          <cell r="Y926" t="str">
            <v>NOT YET FITUP</v>
          </cell>
        </row>
        <row r="927">
          <cell r="A927" t="str">
            <v>9001-2211-DS-0022-01-WM157</v>
          </cell>
          <cell r="B927" t="str">
            <v>9001-2211-DS-0022-01-WM</v>
          </cell>
          <cell r="C927">
            <v>157</v>
          </cell>
          <cell r="D927" t="str">
            <v>X16</v>
          </cell>
          <cell r="E927" t="str">
            <v>SV</v>
          </cell>
          <cell r="F927" t="str">
            <v>10%MT&amp;UT</v>
          </cell>
          <cell r="G927" t="str">
            <v>L</v>
          </cell>
          <cell r="H927">
            <v>412</v>
          </cell>
          <cell r="I927">
            <v>12</v>
          </cell>
          <cell r="K927" t="str">
            <v>WPS-TNHA-S06</v>
          </cell>
          <cell r="L927" t="str">
            <v>ST-22</v>
          </cell>
          <cell r="M927" t="str">
            <v>XUÂN</v>
          </cell>
          <cell r="N927">
            <v>45970</v>
          </cell>
          <cell r="O927" t="str">
            <v>F-079</v>
          </cell>
          <cell r="P927" t="str">
            <v>25/11/2025</v>
          </cell>
          <cell r="Q927" t="str">
            <v>PD-31</v>
          </cell>
          <cell r="R927" t="str">
            <v>XUÂN</v>
          </cell>
          <cell r="S927">
            <v>45991</v>
          </cell>
          <cell r="T927" t="str">
            <v>V-103(VS)</v>
          </cell>
          <cell r="Y927" t="str">
            <v>FINISH</v>
          </cell>
          <cell r="Z927" t="str">
            <v>ACC</v>
          </cell>
          <cell r="AL927" t="str">
            <v>5/12/2025</v>
          </cell>
          <cell r="AM927" t="str">
            <v>IRN-2211-ST-22-0002</v>
          </cell>
        </row>
        <row r="928">
          <cell r="A928" t="str">
            <v>9001-2211-DS-0022-01-WM158</v>
          </cell>
          <cell r="B928" t="str">
            <v>9001-2211-DS-0022-01-WM</v>
          </cell>
          <cell r="C928">
            <v>158</v>
          </cell>
          <cell r="D928" t="str">
            <v>X17</v>
          </cell>
          <cell r="E928" t="str">
            <v>SB</v>
          </cell>
          <cell r="F928" t="str">
            <v>10%MT&amp;UT</v>
          </cell>
          <cell r="G928" t="str">
            <v>D</v>
          </cell>
          <cell r="H928">
            <v>2712.96</v>
          </cell>
          <cell r="I928">
            <v>12</v>
          </cell>
          <cell r="K928" t="str">
            <v>WPS-TNHA-S06</v>
          </cell>
          <cell r="L928" t="str">
            <v>ST-22</v>
          </cell>
          <cell r="M928" t="str">
            <v>XUÂN</v>
          </cell>
          <cell r="N928">
            <v>45970</v>
          </cell>
          <cell r="O928" t="str">
            <v>F-079</v>
          </cell>
          <cell r="P928" t="str">
            <v>25/11/2025</v>
          </cell>
          <cell r="Q928" t="str">
            <v>PD-31</v>
          </cell>
          <cell r="R928" t="str">
            <v>XUÂN</v>
          </cell>
          <cell r="S928">
            <v>45991</v>
          </cell>
          <cell r="T928" t="str">
            <v>V-103</v>
          </cell>
          <cell r="Y928" t="str">
            <v>FINISH</v>
          </cell>
          <cell r="Z928" t="str">
            <v>ACC</v>
          </cell>
          <cell r="AA928" t="str">
            <v>ACC</v>
          </cell>
          <cell r="AB928" t="str">
            <v>MT-2211-ST-22-0029</v>
          </cell>
          <cell r="AC928" t="str">
            <v>ACC</v>
          </cell>
          <cell r="AD928" t="str">
            <v>UT-2211-ST-22-0051</v>
          </cell>
          <cell r="AL928" t="str">
            <v>5/12/2025</v>
          </cell>
          <cell r="AM928" t="str">
            <v>IRN-2211-ST-22-0002</v>
          </cell>
          <cell r="AP928" t="str">
            <v>2/12/2025</v>
          </cell>
        </row>
        <row r="929">
          <cell r="A929" t="str">
            <v>9001-2211-DS-0022-01-WM159</v>
          </cell>
          <cell r="B929" t="str">
            <v>9001-2211-DS-0022-01-WM</v>
          </cell>
          <cell r="C929">
            <v>159</v>
          </cell>
          <cell r="D929" t="str">
            <v>X18</v>
          </cell>
          <cell r="L929" t="str">
            <v>ST-22</v>
          </cell>
          <cell r="Y929" t="str">
            <v>NOT YET FITUP</v>
          </cell>
        </row>
        <row r="930">
          <cell r="A930" t="str">
            <v>9001-2211-DS-0022-01-WM160</v>
          </cell>
          <cell r="B930" t="str">
            <v>9001-2211-DS-0022-01-WM</v>
          </cell>
          <cell r="C930">
            <v>160</v>
          </cell>
          <cell r="D930" t="str">
            <v>X19</v>
          </cell>
          <cell r="E930" t="str">
            <v>SV</v>
          </cell>
          <cell r="F930" t="str">
            <v>10%MT&amp;UT</v>
          </cell>
          <cell r="G930" t="str">
            <v>L</v>
          </cell>
          <cell r="H930">
            <v>412</v>
          </cell>
          <cell r="I930">
            <v>12</v>
          </cell>
          <cell r="K930" t="str">
            <v>WPS-TNHA-S06</v>
          </cell>
          <cell r="L930" t="str">
            <v>ST-22</v>
          </cell>
          <cell r="M930" t="str">
            <v>XUÂN</v>
          </cell>
          <cell r="N930">
            <v>45970</v>
          </cell>
          <cell r="O930" t="str">
            <v>F-079</v>
          </cell>
          <cell r="P930" t="str">
            <v>24/11/2025</v>
          </cell>
          <cell r="Q930" t="str">
            <v>DHN-SL-09</v>
          </cell>
          <cell r="R930" t="str">
            <v>XUÂN</v>
          </cell>
          <cell r="S930">
            <v>45991</v>
          </cell>
          <cell r="T930" t="str">
            <v>V-103(VS)</v>
          </cell>
          <cell r="Y930" t="str">
            <v>FINISH</v>
          </cell>
          <cell r="Z930" t="str">
            <v>ACC</v>
          </cell>
          <cell r="AL930" t="str">
            <v>5/12/2025</v>
          </cell>
          <cell r="AM930" t="str">
            <v>IRN-2211-ST-22-0002</v>
          </cell>
        </row>
        <row r="931">
          <cell r="A931" t="str">
            <v>9001-2211-DS-0022-01-WM161</v>
          </cell>
          <cell r="B931" t="str">
            <v>9001-2211-DS-0022-01-WM</v>
          </cell>
          <cell r="C931">
            <v>161</v>
          </cell>
          <cell r="D931" t="str">
            <v>X20</v>
          </cell>
          <cell r="E931" t="str">
            <v>SB</v>
          </cell>
          <cell r="F931" t="str">
            <v>10%MT&amp;UT</v>
          </cell>
          <cell r="G931" t="str">
            <v>D</v>
          </cell>
          <cell r="H931">
            <v>2712.96</v>
          </cell>
          <cell r="I931">
            <v>12</v>
          </cell>
          <cell r="K931" t="str">
            <v>WPS-TNHA-S06</v>
          </cell>
          <cell r="L931" t="str">
            <v>ST-22</v>
          </cell>
          <cell r="M931" t="str">
            <v>XUÂN</v>
          </cell>
          <cell r="N931">
            <v>45970</v>
          </cell>
          <cell r="O931" t="str">
            <v>F-079</v>
          </cell>
          <cell r="P931" t="str">
            <v>24/11/2025</v>
          </cell>
          <cell r="Q931" t="str">
            <v>DHN-SL-09;PD-20</v>
          </cell>
          <cell r="R931" t="str">
            <v>XUÂN</v>
          </cell>
          <cell r="S931">
            <v>45991</v>
          </cell>
          <cell r="T931" t="str">
            <v>V-103</v>
          </cell>
          <cell r="Y931" t="str">
            <v>FINISH</v>
          </cell>
          <cell r="Z931" t="str">
            <v>ACC</v>
          </cell>
          <cell r="AA931" t="str">
            <v>ACC</v>
          </cell>
          <cell r="AB931" t="str">
            <v>MT-2211-ST-22-0029</v>
          </cell>
          <cell r="AC931" t="str">
            <v>ACC</v>
          </cell>
          <cell r="AD931" t="str">
            <v>UT-2211-ST-22-0051</v>
          </cell>
          <cell r="AL931" t="str">
            <v>5/12/2025</v>
          </cell>
          <cell r="AM931" t="str">
            <v>IRN-2211-ST-22-0002</v>
          </cell>
          <cell r="AP931" t="str">
            <v>2/12/2025</v>
          </cell>
        </row>
        <row r="932">
          <cell r="A932" t="str">
            <v>9001-2211-DS-0022-01-WM162</v>
          </cell>
          <cell r="B932" t="str">
            <v>9001-2211-DS-0022-01-WM</v>
          </cell>
          <cell r="C932">
            <v>162</v>
          </cell>
          <cell r="D932" t="str">
            <v>X21</v>
          </cell>
          <cell r="L932" t="str">
            <v>ST-22</v>
          </cell>
          <cell r="Y932" t="str">
            <v>NOT YET FITUP</v>
          </cell>
        </row>
        <row r="933">
          <cell r="A933" t="str">
            <v>9001-2211-DS-0022-01-WM163</v>
          </cell>
          <cell r="B933" t="str">
            <v>9001-2211-DS-0022-01-WM</v>
          </cell>
          <cell r="C933">
            <v>163</v>
          </cell>
          <cell r="D933" t="str">
            <v>X13</v>
          </cell>
          <cell r="E933" t="str">
            <v>SV</v>
          </cell>
          <cell r="F933" t="str">
            <v>10%MT&amp;UT</v>
          </cell>
          <cell r="G933" t="str">
            <v>L</v>
          </cell>
          <cell r="H933">
            <v>412</v>
          </cell>
          <cell r="I933">
            <v>12</v>
          </cell>
          <cell r="K933" t="str">
            <v>WPS-TNHA-S06</v>
          </cell>
          <cell r="L933" t="str">
            <v>ST-22</v>
          </cell>
          <cell r="M933" t="str">
            <v>THÁI</v>
          </cell>
          <cell r="N933">
            <v>45970</v>
          </cell>
          <cell r="O933" t="str">
            <v>F-079</v>
          </cell>
          <cell r="P933" t="str">
            <v>24/11/2025</v>
          </cell>
          <cell r="Q933" t="str">
            <v>PD-31</v>
          </cell>
          <cell r="R933" t="str">
            <v>XUÂN</v>
          </cell>
          <cell r="S933">
            <v>45991</v>
          </cell>
          <cell r="T933" t="str">
            <v>V-103(VS)</v>
          </cell>
          <cell r="Y933" t="str">
            <v>FINISH</v>
          </cell>
          <cell r="Z933" t="str">
            <v>ACC</v>
          </cell>
          <cell r="AL933" t="str">
            <v>5/12/2025</v>
          </cell>
          <cell r="AM933" t="str">
            <v>IRN-2211-ST-22-0002</v>
          </cell>
        </row>
        <row r="934">
          <cell r="A934" t="str">
            <v>9001-2211-DS-0022-01-WM164</v>
          </cell>
          <cell r="B934" t="str">
            <v>9001-2211-DS-0022-01-WM</v>
          </cell>
          <cell r="C934">
            <v>164</v>
          </cell>
          <cell r="D934" t="str">
            <v>X14</v>
          </cell>
          <cell r="E934" t="str">
            <v>SB</v>
          </cell>
          <cell r="F934" t="str">
            <v>10%MT&amp;UT</v>
          </cell>
          <cell r="G934" t="str">
            <v>D</v>
          </cell>
          <cell r="H934">
            <v>2712.96</v>
          </cell>
          <cell r="I934">
            <v>12</v>
          </cell>
          <cell r="K934" t="str">
            <v>WPS-TNHA-S06</v>
          </cell>
          <cell r="L934" t="str">
            <v>ST-22</v>
          </cell>
          <cell r="M934" t="str">
            <v>THÁI</v>
          </cell>
          <cell r="N934">
            <v>45970</v>
          </cell>
          <cell r="O934" t="str">
            <v>F-079</v>
          </cell>
          <cell r="P934" t="str">
            <v>24/11/2025</v>
          </cell>
          <cell r="Q934" t="str">
            <v>PD-31</v>
          </cell>
          <cell r="R934" t="str">
            <v>XUÂN</v>
          </cell>
          <cell r="S934">
            <v>45991</v>
          </cell>
          <cell r="T934" t="str">
            <v>V-103</v>
          </cell>
          <cell r="Y934" t="str">
            <v>FINISH</v>
          </cell>
          <cell r="Z934" t="str">
            <v>ACC</v>
          </cell>
          <cell r="AA934" t="str">
            <v>ACC</v>
          </cell>
          <cell r="AB934" t="str">
            <v>MT-2211-ST-22-0029</v>
          </cell>
          <cell r="AC934" t="str">
            <v>ACC</v>
          </cell>
          <cell r="AD934" t="str">
            <v>UT-2211-ST-22-0051</v>
          </cell>
          <cell r="AL934" t="str">
            <v>5/12/2025</v>
          </cell>
          <cell r="AM934" t="str">
            <v>IRN-2211-ST-22-0002</v>
          </cell>
          <cell r="AP934" t="str">
            <v>10/12/2025</v>
          </cell>
        </row>
        <row r="935">
          <cell r="A935" t="str">
            <v>9001-2211-DS-0022-01-WM165</v>
          </cell>
          <cell r="B935" t="str">
            <v>9001-2211-DS-0022-01-WM</v>
          </cell>
          <cell r="C935">
            <v>165</v>
          </cell>
          <cell r="D935" t="str">
            <v>X15</v>
          </cell>
          <cell r="L935" t="str">
            <v>ST-22</v>
          </cell>
          <cell r="Y935" t="str">
            <v>NOT YET FITUP</v>
          </cell>
        </row>
        <row r="936">
          <cell r="A936" t="str">
            <v>9001-2211-DS-0022-01-WM166</v>
          </cell>
          <cell r="B936" t="str">
            <v>9001-2211-DS-0022-01-WM</v>
          </cell>
          <cell r="C936">
            <v>166</v>
          </cell>
          <cell r="D936" t="str">
            <v>X16</v>
          </cell>
          <cell r="E936" t="str">
            <v>SV</v>
          </cell>
          <cell r="F936" t="str">
            <v>10%MT&amp;UT</v>
          </cell>
          <cell r="G936" t="str">
            <v>L</v>
          </cell>
          <cell r="H936">
            <v>412</v>
          </cell>
          <cell r="I936">
            <v>12</v>
          </cell>
          <cell r="K936" t="str">
            <v>WPS-TNHA-S06</v>
          </cell>
          <cell r="L936" t="str">
            <v>ST-22</v>
          </cell>
          <cell r="M936" t="str">
            <v>XUÂN</v>
          </cell>
          <cell r="N936">
            <v>45970</v>
          </cell>
          <cell r="O936" t="str">
            <v>F-079</v>
          </cell>
          <cell r="P936" t="str">
            <v>22/11/2025</v>
          </cell>
          <cell r="Q936" t="str">
            <v>PD-31</v>
          </cell>
          <cell r="R936" t="str">
            <v>XUÂN</v>
          </cell>
          <cell r="S936">
            <v>45991</v>
          </cell>
          <cell r="T936" t="str">
            <v>V-103</v>
          </cell>
          <cell r="Y936" t="str">
            <v>FINISH</v>
          </cell>
          <cell r="Z936" t="str">
            <v>ACC</v>
          </cell>
          <cell r="AA936" t="str">
            <v>ACC</v>
          </cell>
          <cell r="AB936" t="str">
            <v>MT-2211-ST-22-0029</v>
          </cell>
          <cell r="AC936" t="str">
            <v>ACC</v>
          </cell>
          <cell r="AD936" t="str">
            <v>UT-2211-ST-22-0050</v>
          </cell>
          <cell r="AL936" t="str">
            <v>5/12/2025</v>
          </cell>
          <cell r="AM936" t="str">
            <v>IRN-2211-ST-22-0002</v>
          </cell>
          <cell r="AP936" t="str">
            <v>10/12/2025</v>
          </cell>
        </row>
        <row r="937">
          <cell r="A937" t="str">
            <v>9001-2211-DS-0022-01-WM167</v>
          </cell>
          <cell r="B937" t="str">
            <v>9001-2211-DS-0022-01-WM</v>
          </cell>
          <cell r="C937">
            <v>167</v>
          </cell>
          <cell r="D937" t="str">
            <v>X17</v>
          </cell>
          <cell r="E937" t="str">
            <v>SB</v>
          </cell>
          <cell r="F937" t="str">
            <v>10%MT&amp;UT</v>
          </cell>
          <cell r="G937" t="str">
            <v>D</v>
          </cell>
          <cell r="H937">
            <v>2712.96</v>
          </cell>
          <cell r="I937">
            <v>12</v>
          </cell>
          <cell r="K937" t="str">
            <v>WPS-TNHA-S06</v>
          </cell>
          <cell r="L937" t="str">
            <v>ST-22</v>
          </cell>
          <cell r="M937" t="str">
            <v>XUÂN</v>
          </cell>
          <cell r="N937">
            <v>45970</v>
          </cell>
          <cell r="O937" t="str">
            <v>F-079</v>
          </cell>
          <cell r="P937" t="str">
            <v>22/11/2025</v>
          </cell>
          <cell r="Q937" t="str">
            <v>PD-31</v>
          </cell>
          <cell r="R937" t="str">
            <v>XUÂN</v>
          </cell>
          <cell r="S937">
            <v>45991</v>
          </cell>
          <cell r="T937" t="str">
            <v>V-103</v>
          </cell>
          <cell r="Y937" t="str">
            <v>FINISH</v>
          </cell>
          <cell r="Z937" t="str">
            <v>ACC</v>
          </cell>
          <cell r="AA937" t="str">
            <v>ACC</v>
          </cell>
          <cell r="AB937" t="str">
            <v>MT-2211-ST-22-0029</v>
          </cell>
          <cell r="AC937" t="str">
            <v>ACC</v>
          </cell>
          <cell r="AD937" t="str">
            <v>UT-2211-ST-22-0051</v>
          </cell>
          <cell r="AL937" t="str">
            <v>5/12/2025</v>
          </cell>
          <cell r="AM937" t="str">
            <v>IRN-2211-ST-22-0002</v>
          </cell>
          <cell r="AP937" t="str">
            <v>2/12/2025</v>
          </cell>
        </row>
        <row r="938">
          <cell r="A938" t="str">
            <v>9001-2211-DS-0022-01-WM168</v>
          </cell>
          <cell r="B938" t="str">
            <v>9001-2211-DS-0022-01-WM</v>
          </cell>
          <cell r="C938">
            <v>168</v>
          </cell>
          <cell r="D938" t="str">
            <v>X18</v>
          </cell>
          <cell r="L938" t="str">
            <v>ST-22</v>
          </cell>
          <cell r="Y938" t="str">
            <v>NOT YET FITUP</v>
          </cell>
        </row>
        <row r="939">
          <cell r="A939" t="str">
            <v>9001-2211-DS-0022-01-WM169</v>
          </cell>
          <cell r="B939" t="str">
            <v>9001-2211-DS-0022-01-WM</v>
          </cell>
          <cell r="C939">
            <v>169</v>
          </cell>
          <cell r="D939" t="str">
            <v>X19</v>
          </cell>
          <cell r="E939" t="str">
            <v>SV</v>
          </cell>
          <cell r="F939" t="str">
            <v>10%MT&amp;UT</v>
          </cell>
          <cell r="G939" t="str">
            <v>L</v>
          </cell>
          <cell r="H939">
            <v>412</v>
          </cell>
          <cell r="I939">
            <v>12</v>
          </cell>
          <cell r="K939" t="str">
            <v>WPS-TNHA-S06</v>
          </cell>
          <cell r="L939" t="str">
            <v>ST-22</v>
          </cell>
          <cell r="M939" t="str">
            <v>THÁI</v>
          </cell>
          <cell r="N939">
            <v>45970</v>
          </cell>
          <cell r="O939" t="str">
            <v>F-079</v>
          </cell>
          <cell r="P939" t="str">
            <v>24/11/2025</v>
          </cell>
          <cell r="Q939" t="str">
            <v>DHN-SL-19</v>
          </cell>
          <cell r="R939" t="str">
            <v>XUÂN</v>
          </cell>
          <cell r="S939">
            <v>45991</v>
          </cell>
          <cell r="T939" t="str">
            <v>V-103(VS)</v>
          </cell>
          <cell r="Y939" t="str">
            <v>FINISH</v>
          </cell>
          <cell r="Z939" t="str">
            <v>ACC</v>
          </cell>
          <cell r="AL939" t="str">
            <v>5/12/2025</v>
          </cell>
          <cell r="AM939" t="str">
            <v>IRN-2211-ST-22-0002</v>
          </cell>
        </row>
        <row r="940">
          <cell r="A940" t="str">
            <v>9001-2211-DS-0022-01-WM170</v>
          </cell>
          <cell r="B940" t="str">
            <v>9001-2211-DS-0022-01-WM</v>
          </cell>
          <cell r="C940">
            <v>170</v>
          </cell>
          <cell r="D940" t="str">
            <v>X20</v>
          </cell>
          <cell r="E940" t="str">
            <v>SB</v>
          </cell>
          <cell r="F940" t="str">
            <v>10%MT&amp;UT</v>
          </cell>
          <cell r="G940" t="str">
            <v>D</v>
          </cell>
          <cell r="H940">
            <v>2712.96</v>
          </cell>
          <cell r="I940">
            <v>12</v>
          </cell>
          <cell r="K940" t="str">
            <v>WPS-TNHA-S06</v>
          </cell>
          <cell r="L940" t="str">
            <v>ST-22</v>
          </cell>
          <cell r="M940" t="str">
            <v>THÁI</v>
          </cell>
          <cell r="N940">
            <v>45970</v>
          </cell>
          <cell r="O940" t="str">
            <v>F-079</v>
          </cell>
          <cell r="P940" t="str">
            <v>24/11/2025</v>
          </cell>
          <cell r="Q940" t="str">
            <v>DHN-SL-19;PD-17</v>
          </cell>
          <cell r="R940" t="str">
            <v>XUÂN</v>
          </cell>
          <cell r="S940">
            <v>45991</v>
          </cell>
          <cell r="T940" t="str">
            <v>V-103</v>
          </cell>
          <cell r="Y940" t="str">
            <v>FINISH</v>
          </cell>
          <cell r="Z940" t="str">
            <v>ACC</v>
          </cell>
          <cell r="AA940" t="str">
            <v>ACC</v>
          </cell>
          <cell r="AB940" t="str">
            <v>MT-2211-ST-22-0028</v>
          </cell>
          <cell r="AC940" t="str">
            <v>ACC</v>
          </cell>
          <cell r="AD940" t="str">
            <v>UT-2211-ST-22-0051</v>
          </cell>
          <cell r="AL940" t="str">
            <v>5/12/2025</v>
          </cell>
          <cell r="AM940" t="str">
            <v>IRN-2211-ST-22-0002</v>
          </cell>
          <cell r="AP940" t="str">
            <v>2/12/2025</v>
          </cell>
        </row>
        <row r="941">
          <cell r="A941" t="str">
            <v>9001-2211-DS-0022-01-WM171</v>
          </cell>
          <cell r="B941" t="str">
            <v>9001-2211-DS-0022-01-WM</v>
          </cell>
          <cell r="C941">
            <v>171</v>
          </cell>
          <cell r="D941" t="str">
            <v>X21</v>
          </cell>
          <cell r="L941" t="str">
            <v>ST-22</v>
          </cell>
          <cell r="Y941" t="str">
            <v>NOT YET FITUP</v>
          </cell>
        </row>
        <row r="942">
          <cell r="A942" t="str">
            <v>9001-2211-DS-0022-01-WM172</v>
          </cell>
          <cell r="B942" t="str">
            <v>9001-2211-DS-0022-01-WM</v>
          </cell>
          <cell r="C942">
            <v>172</v>
          </cell>
          <cell r="D942" t="str">
            <v>X13</v>
          </cell>
          <cell r="E942" t="str">
            <v>SV</v>
          </cell>
          <cell r="F942" t="str">
            <v>10%MT&amp;UT</v>
          </cell>
          <cell r="G942" t="str">
            <v>L</v>
          </cell>
          <cell r="H942">
            <v>412</v>
          </cell>
          <cell r="I942">
            <v>12</v>
          </cell>
          <cell r="K942" t="str">
            <v>WPS-TNHA-S06</v>
          </cell>
          <cell r="L942" t="str">
            <v>ST-22</v>
          </cell>
          <cell r="M942" t="str">
            <v>BÁCH</v>
          </cell>
          <cell r="N942">
            <v>45984</v>
          </cell>
          <cell r="O942" t="str">
            <v>F-100</v>
          </cell>
          <cell r="P942" t="str">
            <v>24/11/2025</v>
          </cell>
          <cell r="Q942" t="str">
            <v>PD-20</v>
          </cell>
          <cell r="R942" t="str">
            <v>XUÂN</v>
          </cell>
          <cell r="S942">
            <v>45991</v>
          </cell>
          <cell r="T942" t="str">
            <v>V-103(VS)</v>
          </cell>
          <cell r="Y942" t="str">
            <v>FINISH</v>
          </cell>
          <cell r="Z942" t="str">
            <v>ACC</v>
          </cell>
        </row>
        <row r="943">
          <cell r="A943" t="str">
            <v>9001-2211-DS-0022-01-WM173</v>
          </cell>
          <cell r="B943" t="str">
            <v>9001-2211-DS-0022-01-WM</v>
          </cell>
          <cell r="C943">
            <v>173</v>
          </cell>
          <cell r="D943" t="str">
            <v>X14</v>
          </cell>
          <cell r="E943" t="str">
            <v>SB</v>
          </cell>
          <cell r="F943" t="str">
            <v>10%MT&amp;UT</v>
          </cell>
          <cell r="G943" t="str">
            <v>D</v>
          </cell>
          <cell r="H943">
            <v>2712.96</v>
          </cell>
          <cell r="I943">
            <v>12</v>
          </cell>
          <cell r="K943" t="str">
            <v>WPS-TNHA-S06</v>
          </cell>
          <cell r="L943" t="str">
            <v>ST-22</v>
          </cell>
          <cell r="M943" t="str">
            <v>BÁCH</v>
          </cell>
          <cell r="N943">
            <v>45984</v>
          </cell>
          <cell r="O943" t="str">
            <v>F-100</v>
          </cell>
          <cell r="P943" t="str">
            <v>24/11/2025</v>
          </cell>
          <cell r="Q943" t="str">
            <v>PD-20</v>
          </cell>
          <cell r="R943" t="str">
            <v>XUÂN</v>
          </cell>
          <cell r="S943">
            <v>45991</v>
          </cell>
          <cell r="T943" t="str">
            <v>V-103</v>
          </cell>
          <cell r="Y943" t="str">
            <v>FINISH</v>
          </cell>
          <cell r="Z943" t="str">
            <v>ACC</v>
          </cell>
          <cell r="AA943" t="str">
            <v>ACC</v>
          </cell>
          <cell r="AB943" t="str">
            <v>MT-2211-ST-22-0028</v>
          </cell>
          <cell r="AC943" t="str">
            <v>ACC</v>
          </cell>
          <cell r="AD943" t="str">
            <v>UT-2211-ST-22-0052</v>
          </cell>
          <cell r="AP943" t="str">
            <v>2/12/2025</v>
          </cell>
        </row>
        <row r="944">
          <cell r="A944" t="str">
            <v>9001-2211-DS-0022-01-WM174</v>
          </cell>
          <cell r="B944" t="str">
            <v>9001-2211-DS-0022-01-WM</v>
          </cell>
          <cell r="C944">
            <v>174</v>
          </cell>
          <cell r="D944" t="str">
            <v>X15</v>
          </cell>
          <cell r="L944" t="str">
            <v>ST-22</v>
          </cell>
          <cell r="Y944" t="str">
            <v>NOT YET FITUP</v>
          </cell>
        </row>
        <row r="945">
          <cell r="A945" t="str">
            <v>9001-2211-DS-0022-01-WM175</v>
          </cell>
          <cell r="B945" t="str">
            <v>9001-2211-DS-0022-01-WM</v>
          </cell>
          <cell r="C945">
            <v>175</v>
          </cell>
          <cell r="D945" t="str">
            <v>X16</v>
          </cell>
          <cell r="E945" t="str">
            <v>SV</v>
          </cell>
          <cell r="F945" t="str">
            <v>10%MT&amp;UT</v>
          </cell>
          <cell r="G945" t="str">
            <v>L</v>
          </cell>
          <cell r="H945">
            <v>412</v>
          </cell>
          <cell r="I945">
            <v>12</v>
          </cell>
          <cell r="K945" t="str">
            <v>WPS-TNHA-S06</v>
          </cell>
          <cell r="L945" t="str">
            <v>ST-22</v>
          </cell>
          <cell r="Y945" t="str">
            <v>NOT YET FITUP</v>
          </cell>
        </row>
        <row r="946">
          <cell r="A946" t="str">
            <v>9001-2211-DS-0022-01-WM176</v>
          </cell>
          <cell r="B946" t="str">
            <v>9001-2211-DS-0022-01-WM</v>
          </cell>
          <cell r="C946">
            <v>176</v>
          </cell>
          <cell r="D946" t="str">
            <v>X17</v>
          </cell>
          <cell r="E946" t="str">
            <v>SB</v>
          </cell>
          <cell r="F946" t="str">
            <v>10%MT&amp;UT</v>
          </cell>
          <cell r="G946" t="str">
            <v>D</v>
          </cell>
          <cell r="H946">
            <v>2712.96</v>
          </cell>
          <cell r="I946">
            <v>12</v>
          </cell>
          <cell r="K946" t="str">
            <v>WPS-TNHA-S06</v>
          </cell>
          <cell r="L946" t="str">
            <v>ST-22</v>
          </cell>
          <cell r="Y946" t="str">
            <v>NOT YET FITUP</v>
          </cell>
        </row>
        <row r="947">
          <cell r="A947" t="str">
            <v>9001-2211-DS-0022-01-WM177</v>
          </cell>
          <cell r="B947" t="str">
            <v>9001-2211-DS-0022-01-WM</v>
          </cell>
          <cell r="C947">
            <v>177</v>
          </cell>
          <cell r="D947" t="str">
            <v>X18</v>
          </cell>
          <cell r="E947" t="str">
            <v>SV</v>
          </cell>
          <cell r="F947" t="str">
            <v>10%MT&amp;UT</v>
          </cell>
          <cell r="G947" t="str">
            <v>L</v>
          </cell>
          <cell r="H947">
            <v>700</v>
          </cell>
          <cell r="I947">
            <v>25</v>
          </cell>
          <cell r="K947" t="str">
            <v>WPS-TNHA-S06</v>
          </cell>
          <cell r="L947" t="str">
            <v>ST-22</v>
          </cell>
          <cell r="M947" t="str">
            <v>XUÂN</v>
          </cell>
          <cell r="N947">
            <v>46003</v>
          </cell>
          <cell r="O947" t="str">
            <v>F-129</v>
          </cell>
          <cell r="Y947" t="str">
            <v>NOT YET VISUAL</v>
          </cell>
        </row>
        <row r="948">
          <cell r="A948" t="str">
            <v>9001-2211-DS-0022-01-WM178</v>
          </cell>
          <cell r="B948" t="str">
            <v>9001-2211-DS-0022-01-WM</v>
          </cell>
          <cell r="C948">
            <v>178</v>
          </cell>
          <cell r="D948" t="str">
            <v>X19</v>
          </cell>
          <cell r="E948" t="str">
            <v>SV</v>
          </cell>
          <cell r="F948" t="str">
            <v>100%MT&amp;UT</v>
          </cell>
          <cell r="G948" t="str">
            <v>L</v>
          </cell>
          <cell r="H948">
            <v>412</v>
          </cell>
          <cell r="I948">
            <v>12</v>
          </cell>
          <cell r="K948" t="str">
            <v>WPS-TNHA-S06</v>
          </cell>
          <cell r="L948" t="str">
            <v>ST-22</v>
          </cell>
          <cell r="M948" t="str">
            <v>BÁCH</v>
          </cell>
          <cell r="N948">
            <v>45984</v>
          </cell>
          <cell r="O948" t="str">
            <v>F-100</v>
          </cell>
          <cell r="P948" t="str">
            <v>29/11/2025</v>
          </cell>
          <cell r="Q948" t="str">
            <v>PD-06</v>
          </cell>
          <cell r="R948" t="str">
            <v>BÁCH</v>
          </cell>
          <cell r="S948">
            <v>45994</v>
          </cell>
          <cell r="T948" t="str">
            <v>V-110</v>
          </cell>
          <cell r="Y948" t="str">
            <v>FINISH</v>
          </cell>
          <cell r="Z948" t="str">
            <v>ACC</v>
          </cell>
          <cell r="AA948" t="str">
            <v>ACC</v>
          </cell>
          <cell r="AB948" t="str">
            <v>MT-2211-ST-22-0031</v>
          </cell>
          <cell r="AC948" t="str">
            <v>ACC</v>
          </cell>
          <cell r="AD948" t="str">
            <v>UT-2211-ST-22-0055</v>
          </cell>
          <cell r="AP948" t="str">
            <v>10/12/2025</v>
          </cell>
        </row>
        <row r="949">
          <cell r="A949" t="str">
            <v>9001-2211-DS-0022-01-WM179</v>
          </cell>
          <cell r="B949" t="str">
            <v>9001-2211-DS-0022-01-WM</v>
          </cell>
          <cell r="C949">
            <v>179</v>
          </cell>
          <cell r="D949" t="str">
            <v>X20</v>
          </cell>
          <cell r="E949" t="str">
            <v>SB</v>
          </cell>
          <cell r="F949" t="str">
            <v>10%MT&amp;UT</v>
          </cell>
          <cell r="G949" t="str">
            <v>D</v>
          </cell>
          <cell r="H949">
            <v>2712.96</v>
          </cell>
          <cell r="I949">
            <v>12</v>
          </cell>
          <cell r="K949" t="str">
            <v>WPS-TNHA-S06</v>
          </cell>
          <cell r="L949" t="str">
            <v>ST-22</v>
          </cell>
          <cell r="M949" t="str">
            <v>BÁCH</v>
          </cell>
          <cell r="N949">
            <v>45984</v>
          </cell>
          <cell r="O949" t="str">
            <v>F-100</v>
          </cell>
          <cell r="P949" t="str">
            <v>29/11/2025</v>
          </cell>
          <cell r="Q949" t="str">
            <v>PD-06;PD-20</v>
          </cell>
          <cell r="R949" t="str">
            <v>BÁCH</v>
          </cell>
          <cell r="S949">
            <v>45994</v>
          </cell>
          <cell r="T949" t="str">
            <v>V-110</v>
          </cell>
          <cell r="Y949" t="str">
            <v>FINISH</v>
          </cell>
          <cell r="Z949" t="str">
            <v>ACC</v>
          </cell>
          <cell r="AA949" t="str">
            <v>ACC</v>
          </cell>
          <cell r="AB949" t="str">
            <v>MT-2211-ST-22-0031</v>
          </cell>
          <cell r="AC949" t="str">
            <v>ACC</v>
          </cell>
          <cell r="AD949" t="str">
            <v>UT-2211-ST-22-0056</v>
          </cell>
          <cell r="AP949" t="str">
            <v>10/12/2025</v>
          </cell>
        </row>
        <row r="950">
          <cell r="A950" t="str">
            <v>9001-2211-DS-0022-01-WM180</v>
          </cell>
          <cell r="B950" t="str">
            <v>9001-2211-DS-0022-01-WM</v>
          </cell>
          <cell r="C950">
            <v>180</v>
          </cell>
          <cell r="D950" t="str">
            <v>X21</v>
          </cell>
          <cell r="L950" t="str">
            <v>ST-22</v>
          </cell>
          <cell r="Y950" t="str">
            <v>NOT YET FITUP</v>
          </cell>
        </row>
        <row r="951">
          <cell r="A951" t="str">
            <v>9001-2211-DS-0022-01-WM181</v>
          </cell>
          <cell r="B951" t="str">
            <v>9001-2211-DS-0022-01-WM</v>
          </cell>
          <cell r="C951">
            <v>181</v>
          </cell>
          <cell r="D951" t="str">
            <v>X13</v>
          </cell>
          <cell r="E951" t="str">
            <v>SV</v>
          </cell>
          <cell r="F951" t="str">
            <v>10%MT&amp;UT</v>
          </cell>
          <cell r="G951" t="str">
            <v>L</v>
          </cell>
          <cell r="H951">
            <v>412</v>
          </cell>
          <cell r="I951">
            <v>12</v>
          </cell>
          <cell r="K951" t="str">
            <v>WPS-TNHA-S06</v>
          </cell>
          <cell r="L951" t="str">
            <v>ST-22</v>
          </cell>
          <cell r="M951" t="str">
            <v>BÁCH</v>
          </cell>
          <cell r="N951">
            <v>45984</v>
          </cell>
          <cell r="O951" t="str">
            <v>F-100</v>
          </cell>
          <cell r="P951" t="str">
            <v>22/11/2025</v>
          </cell>
          <cell r="Q951" t="str">
            <v>PD-20</v>
          </cell>
          <cell r="R951" t="str">
            <v>XUÂN</v>
          </cell>
          <cell r="S951">
            <v>45991</v>
          </cell>
          <cell r="T951" t="str">
            <v>V-103(VS)</v>
          </cell>
          <cell r="Y951" t="str">
            <v>FINISH</v>
          </cell>
          <cell r="Z951" t="str">
            <v>ACC</v>
          </cell>
        </row>
        <row r="952">
          <cell r="A952" t="str">
            <v>9001-2211-DS-0022-01-WM182</v>
          </cell>
          <cell r="B952" t="str">
            <v>9001-2211-DS-0022-01-WM</v>
          </cell>
          <cell r="C952">
            <v>182</v>
          </cell>
          <cell r="D952" t="str">
            <v>X14</v>
          </cell>
          <cell r="E952" t="str">
            <v>SB</v>
          </cell>
          <cell r="F952" t="str">
            <v>10%MT&amp;UT</v>
          </cell>
          <cell r="G952" t="str">
            <v>D</v>
          </cell>
          <cell r="H952">
            <v>2712.96</v>
          </cell>
          <cell r="I952">
            <v>12</v>
          </cell>
          <cell r="K952" t="str">
            <v>WPS-TNHA-S06</v>
          </cell>
          <cell r="L952" t="str">
            <v>ST-22</v>
          </cell>
          <cell r="M952" t="str">
            <v>BÁCH</v>
          </cell>
          <cell r="N952">
            <v>45984</v>
          </cell>
          <cell r="O952" t="str">
            <v>F-100</v>
          </cell>
          <cell r="P952" t="str">
            <v>22/11/2025</v>
          </cell>
          <cell r="Q952" t="str">
            <v>PD-20</v>
          </cell>
          <cell r="R952" t="str">
            <v>XUÂN</v>
          </cell>
          <cell r="S952">
            <v>45991</v>
          </cell>
          <cell r="T952" t="str">
            <v>V-103</v>
          </cell>
          <cell r="Y952" t="str">
            <v>FINISH</v>
          </cell>
          <cell r="Z952" t="str">
            <v>ACC</v>
          </cell>
          <cell r="AA952" t="str">
            <v>ACC</v>
          </cell>
          <cell r="AB952" t="str">
            <v>MT-2211-ST-22-0028</v>
          </cell>
          <cell r="AC952" t="str">
            <v>ACC</v>
          </cell>
          <cell r="AD952" t="str">
            <v>UT-2211-ST-22-0052</v>
          </cell>
          <cell r="AP952" t="str">
            <v>2/12/2025</v>
          </cell>
        </row>
        <row r="953">
          <cell r="A953" t="str">
            <v>9001-2211-DS-0022-01-WM183</v>
          </cell>
          <cell r="B953" t="str">
            <v>9001-2211-DS-0022-01-WM</v>
          </cell>
          <cell r="C953">
            <v>183</v>
          </cell>
          <cell r="D953" t="str">
            <v>X15</v>
          </cell>
          <cell r="L953" t="str">
            <v>ST-22</v>
          </cell>
          <cell r="Y953" t="str">
            <v>NOT YET FITUP</v>
          </cell>
        </row>
        <row r="954">
          <cell r="A954" t="str">
            <v>9001-2211-DS-0022-01-WM184</v>
          </cell>
          <cell r="B954" t="str">
            <v>9001-2211-DS-0022-01-WM</v>
          </cell>
          <cell r="C954">
            <v>184</v>
          </cell>
          <cell r="D954" t="str">
            <v>X16</v>
          </cell>
          <cell r="E954" t="str">
            <v>SV</v>
          </cell>
          <cell r="F954" t="str">
            <v>10%MT&amp;UT</v>
          </cell>
          <cell r="G954" t="str">
            <v>L</v>
          </cell>
          <cell r="H954">
            <v>412</v>
          </cell>
          <cell r="I954">
            <v>12</v>
          </cell>
          <cell r="K954" t="str">
            <v>WPS-TNHA-S06</v>
          </cell>
          <cell r="L954" t="str">
            <v>ST-22</v>
          </cell>
          <cell r="M954" t="str">
            <v>BÁCH</v>
          </cell>
          <cell r="N954">
            <v>45984</v>
          </cell>
          <cell r="O954" t="str">
            <v>F-100</v>
          </cell>
          <cell r="P954" t="str">
            <v>29/11/2025</v>
          </cell>
          <cell r="Q954" t="str">
            <v>DHN-SL-36</v>
          </cell>
          <cell r="R954" t="str">
            <v>BÁCH</v>
          </cell>
          <cell r="S954">
            <v>45994</v>
          </cell>
          <cell r="T954" t="str">
            <v>V-110(VS)</v>
          </cell>
          <cell r="Y954" t="str">
            <v>FINISH</v>
          </cell>
          <cell r="Z954" t="str">
            <v>ACC</v>
          </cell>
        </row>
        <row r="955">
          <cell r="A955" t="str">
            <v>9001-2211-DS-0022-01-WM185</v>
          </cell>
          <cell r="B955" t="str">
            <v>9001-2211-DS-0022-01-WM</v>
          </cell>
          <cell r="C955">
            <v>185</v>
          </cell>
          <cell r="D955" t="str">
            <v>X17</v>
          </cell>
          <cell r="E955" t="str">
            <v>SB</v>
          </cell>
          <cell r="F955" t="str">
            <v>10%MT&amp;UT</v>
          </cell>
          <cell r="G955" t="str">
            <v>D</v>
          </cell>
          <cell r="H955">
            <v>2712.96</v>
          </cell>
          <cell r="I955">
            <v>12</v>
          </cell>
          <cell r="K955" t="str">
            <v>WPS-TNHA-S06</v>
          </cell>
          <cell r="L955" t="str">
            <v>ST-22</v>
          </cell>
          <cell r="M955" t="str">
            <v>BÁCH</v>
          </cell>
          <cell r="N955">
            <v>45984</v>
          </cell>
          <cell r="O955" t="str">
            <v>F-100</v>
          </cell>
          <cell r="P955" t="str">
            <v>29/11/2025</v>
          </cell>
          <cell r="Q955" t="str">
            <v>DHN-SL-36;PD-20</v>
          </cell>
          <cell r="R955" t="str">
            <v>BÁCH</v>
          </cell>
          <cell r="S955">
            <v>45994</v>
          </cell>
          <cell r="T955" t="str">
            <v>V-110</v>
          </cell>
          <cell r="Y955" t="str">
            <v>FINISH</v>
          </cell>
          <cell r="Z955" t="str">
            <v>ACC</v>
          </cell>
          <cell r="AA955" t="str">
            <v>ACC</v>
          </cell>
          <cell r="AB955" t="str">
            <v>MT-2211-ST-22-0031</v>
          </cell>
          <cell r="AC955" t="str">
            <v>ACC</v>
          </cell>
          <cell r="AD955" t="str">
            <v>UT-2211-ST-22-0056</v>
          </cell>
          <cell r="AP955" t="str">
            <v>10/12/2025</v>
          </cell>
        </row>
        <row r="956">
          <cell r="A956" t="str">
            <v>9001-2211-DS-0022-01-WM186</v>
          </cell>
          <cell r="B956" t="str">
            <v>9001-2211-DS-0022-01-WM</v>
          </cell>
          <cell r="C956">
            <v>186</v>
          </cell>
          <cell r="D956" t="str">
            <v>X18</v>
          </cell>
          <cell r="L956" t="str">
            <v>ST-22</v>
          </cell>
          <cell r="Y956" t="str">
            <v>NOT YET FITUP</v>
          </cell>
        </row>
        <row r="957">
          <cell r="A957" t="str">
            <v>9001-2211-DS-0022-01-WM187</v>
          </cell>
          <cell r="B957" t="str">
            <v>9001-2211-DS-0022-01-WM</v>
          </cell>
          <cell r="C957">
            <v>187</v>
          </cell>
          <cell r="D957" t="str">
            <v>X19</v>
          </cell>
          <cell r="E957" t="str">
            <v>SV</v>
          </cell>
          <cell r="F957" t="str">
            <v>10%MT&amp;UT</v>
          </cell>
          <cell r="G957" t="str">
            <v>L</v>
          </cell>
          <cell r="H957">
            <v>412</v>
          </cell>
          <cell r="I957">
            <v>12</v>
          </cell>
          <cell r="K957" t="str">
            <v>WPS-TNHA-S06</v>
          </cell>
          <cell r="L957" t="str">
            <v>ST-22</v>
          </cell>
          <cell r="M957" t="str">
            <v>BÁCH</v>
          </cell>
          <cell r="N957">
            <v>45984</v>
          </cell>
          <cell r="O957" t="str">
            <v>F-100</v>
          </cell>
          <cell r="P957" t="str">
            <v>22/11/2025</v>
          </cell>
          <cell r="Q957" t="str">
            <v>PD-06</v>
          </cell>
          <cell r="R957" t="str">
            <v>XUÂN</v>
          </cell>
          <cell r="S957">
            <v>45991</v>
          </cell>
          <cell r="T957" t="str">
            <v>V-103(VS)</v>
          </cell>
          <cell r="Y957" t="str">
            <v>FINISH</v>
          </cell>
          <cell r="Z957" t="str">
            <v>ACC</v>
          </cell>
        </row>
        <row r="958">
          <cell r="A958" t="str">
            <v>9001-2211-DS-0022-01-WM188</v>
          </cell>
          <cell r="B958" t="str">
            <v>9001-2211-DS-0022-01-WM</v>
          </cell>
          <cell r="C958">
            <v>188</v>
          </cell>
          <cell r="D958" t="str">
            <v>X20</v>
          </cell>
          <cell r="E958" t="str">
            <v>SB</v>
          </cell>
          <cell r="F958" t="str">
            <v>10%MT&amp;UT</v>
          </cell>
          <cell r="G958" t="str">
            <v>D</v>
          </cell>
          <cell r="H958">
            <v>2712.96</v>
          </cell>
          <cell r="I958">
            <v>12</v>
          </cell>
          <cell r="K958" t="str">
            <v>WPS-TNHA-S06</v>
          </cell>
          <cell r="L958" t="str">
            <v>ST-22</v>
          </cell>
          <cell r="M958" t="str">
            <v>BÁCH</v>
          </cell>
          <cell r="N958">
            <v>45984</v>
          </cell>
          <cell r="O958" t="str">
            <v>F-100</v>
          </cell>
          <cell r="P958" t="str">
            <v>22/11/2025</v>
          </cell>
          <cell r="Q958" t="str">
            <v>PD-06;PD-20</v>
          </cell>
          <cell r="R958" t="str">
            <v>XUÂN</v>
          </cell>
          <cell r="S958">
            <v>45991</v>
          </cell>
          <cell r="T958" t="str">
            <v>V-103</v>
          </cell>
          <cell r="Y958" t="str">
            <v>FINISH</v>
          </cell>
          <cell r="Z958" t="str">
            <v>ACC</v>
          </cell>
          <cell r="AA958" t="str">
            <v>ACC</v>
          </cell>
          <cell r="AB958" t="str">
            <v>MT-2211-ST-22-0028</v>
          </cell>
          <cell r="AC958" t="str">
            <v>ACC</v>
          </cell>
          <cell r="AD958" t="str">
            <v>UT-2211-ST-22-0052</v>
          </cell>
          <cell r="AP958" t="str">
            <v>2/12/2025</v>
          </cell>
        </row>
        <row r="959">
          <cell r="A959" t="str">
            <v>9001-2211-DS-0022-01-WM189</v>
          </cell>
          <cell r="B959" t="str">
            <v>9001-2211-DS-0022-01-WM</v>
          </cell>
          <cell r="C959">
            <v>189</v>
          </cell>
          <cell r="D959" t="str">
            <v>X21</v>
          </cell>
          <cell r="L959" t="str">
            <v>ST-22</v>
          </cell>
          <cell r="Y959" t="str">
            <v>NOT YET FITUP</v>
          </cell>
        </row>
        <row r="960">
          <cell r="A960" t="str">
            <v>9001-2211-DS-0022-01-WM190</v>
          </cell>
          <cell r="B960" t="str">
            <v>9001-2211-DS-0022-01-WM</v>
          </cell>
          <cell r="C960">
            <v>190</v>
          </cell>
          <cell r="D960" t="str">
            <v>X13</v>
          </cell>
          <cell r="E960" t="str">
            <v>SV</v>
          </cell>
          <cell r="F960" t="str">
            <v>10%MT&amp;UT</v>
          </cell>
          <cell r="G960" t="str">
            <v>L</v>
          </cell>
          <cell r="H960">
            <v>412</v>
          </cell>
          <cell r="I960">
            <v>12</v>
          </cell>
          <cell r="K960" t="str">
            <v>WPS-TNHA-S06</v>
          </cell>
          <cell r="L960" t="str">
            <v>ST-22</v>
          </cell>
          <cell r="M960" t="str">
            <v>BÁCH</v>
          </cell>
          <cell r="N960">
            <v>45984</v>
          </cell>
          <cell r="O960" t="str">
            <v>F-100</v>
          </cell>
          <cell r="P960" t="str">
            <v>10h 25/11/2025</v>
          </cell>
          <cell r="Q960" t="str">
            <v>PD-06</v>
          </cell>
          <cell r="R960" t="str">
            <v>BÁCH</v>
          </cell>
          <cell r="S960">
            <v>45997</v>
          </cell>
          <cell r="T960" t="str">
            <v>V-119(VS)</v>
          </cell>
          <cell r="Y960" t="str">
            <v>FINISH</v>
          </cell>
          <cell r="Z960" t="str">
            <v>ACC</v>
          </cell>
        </row>
        <row r="961">
          <cell r="A961" t="str">
            <v>9001-2211-DS-0022-01-WM191</v>
          </cell>
          <cell r="B961" t="str">
            <v>9001-2211-DS-0022-01-WM</v>
          </cell>
          <cell r="C961">
            <v>191</v>
          </cell>
          <cell r="D961" t="str">
            <v>X14</v>
          </cell>
          <cell r="E961" t="str">
            <v>SB</v>
          </cell>
          <cell r="F961" t="str">
            <v>10%MT&amp;UT</v>
          </cell>
          <cell r="G961" t="str">
            <v>D</v>
          </cell>
          <cell r="H961">
            <v>2712.96</v>
          </cell>
          <cell r="I961">
            <v>12</v>
          </cell>
          <cell r="K961" t="str">
            <v>WPS-TNHA-S06</v>
          </cell>
          <cell r="L961" t="str">
            <v>ST-22</v>
          </cell>
          <cell r="M961" t="str">
            <v>BÁCH</v>
          </cell>
          <cell r="N961">
            <v>45984</v>
          </cell>
          <cell r="O961" t="str">
            <v>F-100</v>
          </cell>
          <cell r="P961" t="str">
            <v>10h 25/11/2025</v>
          </cell>
          <cell r="Q961" t="str">
            <v>PD-06</v>
          </cell>
          <cell r="R961" t="str">
            <v>BÁCH</v>
          </cell>
          <cell r="S961">
            <v>45997</v>
          </cell>
          <cell r="T961" t="str">
            <v>V-119</v>
          </cell>
          <cell r="Y961" t="str">
            <v>FINISH</v>
          </cell>
          <cell r="Z961" t="str">
            <v>ACC</v>
          </cell>
          <cell r="AA961" t="str">
            <v>ACC</v>
          </cell>
          <cell r="AB961" t="str">
            <v>MT-2211-ST-22-0035</v>
          </cell>
          <cell r="AC961" t="str">
            <v>ACC</v>
          </cell>
          <cell r="AD961" t="str">
            <v>UT-2211-ST-22-0063</v>
          </cell>
          <cell r="AP961" t="str">
            <v>10/12/2025</v>
          </cell>
        </row>
        <row r="962">
          <cell r="A962" t="str">
            <v>9001-2211-DS-0022-01-WM192</v>
          </cell>
          <cell r="B962" t="str">
            <v>9001-2211-DS-0022-01-WM</v>
          </cell>
          <cell r="C962">
            <v>192</v>
          </cell>
          <cell r="D962" t="str">
            <v>X15</v>
          </cell>
          <cell r="L962" t="str">
            <v>ST-22</v>
          </cell>
          <cell r="Y962" t="str">
            <v>NOT YET FITUP</v>
          </cell>
        </row>
        <row r="963">
          <cell r="A963" t="str">
            <v>9001-2211-DS-0022-01-WM193</v>
          </cell>
          <cell r="B963" t="str">
            <v>9001-2211-DS-0022-01-WM</v>
          </cell>
          <cell r="C963">
            <v>193</v>
          </cell>
          <cell r="D963" t="str">
            <v>X16</v>
          </cell>
          <cell r="E963" t="str">
            <v>SV</v>
          </cell>
          <cell r="F963" t="str">
            <v>10%MT&amp;UT</v>
          </cell>
          <cell r="G963" t="str">
            <v>L</v>
          </cell>
          <cell r="H963">
            <v>412</v>
          </cell>
          <cell r="I963">
            <v>12</v>
          </cell>
          <cell r="K963" t="str">
            <v>WPS-TNHA-S06</v>
          </cell>
          <cell r="L963" t="str">
            <v>ST-22</v>
          </cell>
          <cell r="M963" t="str">
            <v>BÁCH</v>
          </cell>
          <cell r="N963">
            <v>45984</v>
          </cell>
          <cell r="O963" t="str">
            <v>F-100</v>
          </cell>
          <cell r="P963" t="str">
            <v>22/11/2025</v>
          </cell>
          <cell r="Q963" t="str">
            <v>PD-17</v>
          </cell>
          <cell r="R963" t="str">
            <v>XUÂN</v>
          </cell>
          <cell r="S963">
            <v>45991</v>
          </cell>
          <cell r="T963" t="str">
            <v>V-103(VS)</v>
          </cell>
          <cell r="Y963" t="str">
            <v>FINISH</v>
          </cell>
          <cell r="Z963" t="str">
            <v>ACC</v>
          </cell>
        </row>
        <row r="964">
          <cell r="A964" t="str">
            <v>9001-2211-DS-0022-01-WM194</v>
          </cell>
          <cell r="B964" t="str">
            <v>9001-2211-DS-0022-01-WM</v>
          </cell>
          <cell r="C964">
            <v>194</v>
          </cell>
          <cell r="D964" t="str">
            <v>X17</v>
          </cell>
          <cell r="E964" t="str">
            <v>SB</v>
          </cell>
          <cell r="F964" t="str">
            <v>10%MT&amp;UT</v>
          </cell>
          <cell r="G964" t="str">
            <v>D</v>
          </cell>
          <cell r="H964">
            <v>2712.96</v>
          </cell>
          <cell r="I964">
            <v>12</v>
          </cell>
          <cell r="K964" t="str">
            <v>WPS-TNHA-S06</v>
          </cell>
          <cell r="L964" t="str">
            <v>ST-22</v>
          </cell>
          <cell r="M964" t="str">
            <v>BÁCH</v>
          </cell>
          <cell r="N964">
            <v>45984</v>
          </cell>
          <cell r="O964" t="str">
            <v>F-100</v>
          </cell>
          <cell r="P964" t="str">
            <v>22/11/2025</v>
          </cell>
          <cell r="Q964" t="str">
            <v>PD-17</v>
          </cell>
          <cell r="R964" t="str">
            <v>XUÂN</v>
          </cell>
          <cell r="S964">
            <v>45991</v>
          </cell>
          <cell r="T964" t="str">
            <v>V-103</v>
          </cell>
          <cell r="Y964" t="str">
            <v>FINISH</v>
          </cell>
          <cell r="Z964" t="str">
            <v>ACC</v>
          </cell>
          <cell r="AA964" t="str">
            <v>ACC</v>
          </cell>
          <cell r="AB964" t="str">
            <v>MT-2211-ST-22-0028</v>
          </cell>
          <cell r="AC964" t="str">
            <v>ACC</v>
          </cell>
          <cell r="AD964" t="str">
            <v>UT-2211-ST-22-0052</v>
          </cell>
          <cell r="AP964" t="str">
            <v>10/12/2025</v>
          </cell>
        </row>
        <row r="965">
          <cell r="A965" t="str">
            <v>9001-2211-DS-0022-01-WM195</v>
          </cell>
          <cell r="B965" t="str">
            <v>9001-2211-DS-0022-01-WM</v>
          </cell>
          <cell r="C965">
            <v>195</v>
          </cell>
          <cell r="D965" t="str">
            <v>X18</v>
          </cell>
          <cell r="L965" t="str">
            <v>ST-22</v>
          </cell>
          <cell r="Y965" t="str">
            <v>NOT YET FITUP</v>
          </cell>
        </row>
        <row r="966">
          <cell r="A966" t="str">
            <v>9001-2211-DS-0022-01-WM196</v>
          </cell>
          <cell r="B966" t="str">
            <v>9001-2211-DS-0022-01-WM</v>
          </cell>
          <cell r="C966">
            <v>196</v>
          </cell>
          <cell r="D966" t="str">
            <v>X19</v>
          </cell>
          <cell r="E966" t="str">
            <v>SV</v>
          </cell>
          <cell r="F966" t="str">
            <v>10%MT&amp;UT</v>
          </cell>
          <cell r="G966" t="str">
            <v>L</v>
          </cell>
          <cell r="H966">
            <v>412</v>
          </cell>
          <cell r="I966">
            <v>12</v>
          </cell>
          <cell r="K966" t="str">
            <v>WPS-TNHA-S06</v>
          </cell>
          <cell r="L966" t="str">
            <v>ST-22</v>
          </cell>
          <cell r="M966" t="str">
            <v>BÁCH</v>
          </cell>
          <cell r="N966">
            <v>45984</v>
          </cell>
          <cell r="O966" t="str">
            <v>F-100</v>
          </cell>
          <cell r="P966" t="str">
            <v>22/11/2025</v>
          </cell>
          <cell r="Q966" t="str">
            <v>PD-20</v>
          </cell>
          <cell r="R966" t="str">
            <v>XUÂN</v>
          </cell>
          <cell r="S966">
            <v>45991</v>
          </cell>
          <cell r="T966" t="str">
            <v>V-103(VS)</v>
          </cell>
          <cell r="Y966" t="str">
            <v>FINISH</v>
          </cell>
          <cell r="Z966" t="str">
            <v>ACC</v>
          </cell>
        </row>
        <row r="967">
          <cell r="A967" t="str">
            <v>9001-2211-DS-0022-01-WM197</v>
          </cell>
          <cell r="B967" t="str">
            <v>9001-2211-DS-0022-01-WM</v>
          </cell>
          <cell r="C967">
            <v>197</v>
          </cell>
          <cell r="D967" t="str">
            <v>X20</v>
          </cell>
          <cell r="E967" t="str">
            <v>SB</v>
          </cell>
          <cell r="F967" t="str">
            <v>10%MT&amp;UT</v>
          </cell>
          <cell r="G967" t="str">
            <v>D</v>
          </cell>
          <cell r="H967">
            <v>2712.96</v>
          </cell>
          <cell r="I967">
            <v>12</v>
          </cell>
          <cell r="K967" t="str">
            <v>WPS-TNHA-S06</v>
          </cell>
          <cell r="L967" t="str">
            <v>ST-22</v>
          </cell>
          <cell r="M967" t="str">
            <v>BÁCH</v>
          </cell>
          <cell r="N967">
            <v>45984</v>
          </cell>
          <cell r="O967" t="str">
            <v>F-100</v>
          </cell>
          <cell r="P967" t="str">
            <v>22/11/2025</v>
          </cell>
          <cell r="Q967" t="str">
            <v>PD-20</v>
          </cell>
          <cell r="R967" t="str">
            <v>XUÂN</v>
          </cell>
          <cell r="S967">
            <v>45991</v>
          </cell>
          <cell r="T967" t="str">
            <v>V-103</v>
          </cell>
          <cell r="Y967" t="str">
            <v>FINISH</v>
          </cell>
          <cell r="Z967" t="str">
            <v>ACC</v>
          </cell>
          <cell r="AA967" t="str">
            <v>ACC</v>
          </cell>
          <cell r="AB967" t="str">
            <v>MT-2211-ST-22-0028</v>
          </cell>
          <cell r="AC967" t="str">
            <v>ACC</v>
          </cell>
          <cell r="AD967" t="str">
            <v>UT-2211-ST-22-0052</v>
          </cell>
          <cell r="AP967" t="str">
            <v>2/12/2025</v>
          </cell>
        </row>
        <row r="968">
          <cell r="A968" t="str">
            <v>9001-2211-DS-0022-01-WM198</v>
          </cell>
          <cell r="B968" t="str">
            <v>9001-2211-DS-0022-01-WM</v>
          </cell>
          <cell r="C968">
            <v>198</v>
          </cell>
          <cell r="D968" t="str">
            <v>X21</v>
          </cell>
          <cell r="L968" t="str">
            <v>ST-22</v>
          </cell>
          <cell r="Y968" t="str">
            <v>NOT YET FITUP</v>
          </cell>
        </row>
        <row r="969">
          <cell r="A969" t="str">
            <v>9001-2211-DS-0022-01-WM199</v>
          </cell>
          <cell r="B969" t="str">
            <v>9001-2211-DS-0022-01-WM</v>
          </cell>
          <cell r="C969">
            <v>199</v>
          </cell>
          <cell r="D969" t="str">
            <v>X13</v>
          </cell>
          <cell r="E969" t="str">
            <v>SV</v>
          </cell>
          <cell r="F969" t="str">
            <v>10%MT&amp;UT</v>
          </cell>
          <cell r="G969" t="str">
            <v>L</v>
          </cell>
          <cell r="H969">
            <v>412</v>
          </cell>
          <cell r="I969">
            <v>12</v>
          </cell>
          <cell r="K969" t="str">
            <v>WPS-TNHA-S06</v>
          </cell>
          <cell r="L969" t="str">
            <v>ST-22</v>
          </cell>
          <cell r="M969" t="str">
            <v>XUÂN</v>
          </cell>
          <cell r="N969">
            <v>45981</v>
          </cell>
          <cell r="O969" t="str">
            <v>F-094</v>
          </cell>
          <cell r="P969" t="str">
            <v>16h 21/11/2025</v>
          </cell>
          <cell r="Q969" t="str">
            <v>PD-31</v>
          </cell>
          <cell r="R969" t="str">
            <v>BÁCH</v>
          </cell>
          <cell r="S969">
            <v>45995</v>
          </cell>
          <cell r="T969" t="str">
            <v>V-114(VS)</v>
          </cell>
          <cell r="Y969" t="str">
            <v>FINISH</v>
          </cell>
          <cell r="Z969" t="str">
            <v>ACC</v>
          </cell>
        </row>
        <row r="970">
          <cell r="A970" t="str">
            <v>9001-2211-DS-0022-01-WM200</v>
          </cell>
          <cell r="B970" t="str">
            <v>9001-2211-DS-0022-01-WM</v>
          </cell>
          <cell r="C970">
            <v>200</v>
          </cell>
          <cell r="D970" t="str">
            <v>X14</v>
          </cell>
          <cell r="E970" t="str">
            <v>SB</v>
          </cell>
          <cell r="F970" t="str">
            <v>10%MT&amp;UT</v>
          </cell>
          <cell r="G970" t="str">
            <v>D</v>
          </cell>
          <cell r="H970">
            <v>2712.96</v>
          </cell>
          <cell r="I970">
            <v>12</v>
          </cell>
          <cell r="K970" t="str">
            <v>WPS-TNHA-S06</v>
          </cell>
          <cell r="L970" t="str">
            <v>ST-22</v>
          </cell>
          <cell r="M970" t="str">
            <v>XUÂN</v>
          </cell>
          <cell r="N970">
            <v>45981</v>
          </cell>
          <cell r="O970" t="str">
            <v>F-094</v>
          </cell>
          <cell r="P970" t="str">
            <v>16h 21/11/2025</v>
          </cell>
          <cell r="Q970" t="str">
            <v>PD-31</v>
          </cell>
          <cell r="R970" t="str">
            <v>BÁCH</v>
          </cell>
          <cell r="S970">
            <v>45995</v>
          </cell>
          <cell r="T970" t="str">
            <v>V-115</v>
          </cell>
          <cell r="Y970" t="str">
            <v>FINISH</v>
          </cell>
          <cell r="Z970" t="str">
            <v>ACC</v>
          </cell>
          <cell r="AA970" t="str">
            <v>ACC</v>
          </cell>
          <cell r="AB970" t="str">
            <v>MT-2211-ST-22-0033</v>
          </cell>
          <cell r="AC970" t="str">
            <v>ACC</v>
          </cell>
          <cell r="AD970" t="str">
            <v>UT-2211-ST-22-0058</v>
          </cell>
          <cell r="AP970" t="str">
            <v>10/12/2025</v>
          </cell>
        </row>
        <row r="971">
          <cell r="A971" t="str">
            <v>9001-2211-DS-0022-01-WM201</v>
          </cell>
          <cell r="B971" t="str">
            <v>9001-2211-DS-0022-01-WM</v>
          </cell>
          <cell r="C971">
            <v>201</v>
          </cell>
          <cell r="D971" t="str">
            <v>X15</v>
          </cell>
          <cell r="L971" t="str">
            <v>ST-22</v>
          </cell>
          <cell r="Y971" t="str">
            <v>NOT YET FITUP</v>
          </cell>
        </row>
        <row r="972">
          <cell r="A972" t="str">
            <v>9001-2211-DS-0022-01-WM202</v>
          </cell>
          <cell r="B972" t="str">
            <v>9001-2211-DS-0022-01-WM</v>
          </cell>
          <cell r="C972">
            <v>202</v>
          </cell>
          <cell r="D972" t="str">
            <v>X16</v>
          </cell>
          <cell r="E972" t="str">
            <v>SV</v>
          </cell>
          <cell r="F972" t="str">
            <v>10%MT&amp;UT</v>
          </cell>
          <cell r="G972" t="str">
            <v>L</v>
          </cell>
          <cell r="H972">
            <v>412</v>
          </cell>
          <cell r="I972">
            <v>12</v>
          </cell>
          <cell r="K972" t="str">
            <v>WPS-TNHA-S06</v>
          </cell>
          <cell r="L972" t="str">
            <v>ST-22</v>
          </cell>
          <cell r="Y972" t="str">
            <v>NOT YET FITUP</v>
          </cell>
        </row>
        <row r="973">
          <cell r="A973" t="str">
            <v>9001-2211-DS-0022-01-WM203</v>
          </cell>
          <cell r="B973" t="str">
            <v>9001-2211-DS-0022-01-WM</v>
          </cell>
          <cell r="C973">
            <v>203</v>
          </cell>
          <cell r="D973" t="str">
            <v>X17</v>
          </cell>
          <cell r="E973" t="str">
            <v>SB</v>
          </cell>
          <cell r="F973" t="str">
            <v>10%MT&amp;UT</v>
          </cell>
          <cell r="G973" t="str">
            <v>D</v>
          </cell>
          <cell r="H973">
            <v>2712.96</v>
          </cell>
          <cell r="I973">
            <v>12</v>
          </cell>
          <cell r="K973" t="str">
            <v>WPS-TNHA-S06</v>
          </cell>
          <cell r="L973" t="str">
            <v>ST-22</v>
          </cell>
          <cell r="Y973" t="str">
            <v>NOT YET FITUP</v>
          </cell>
        </row>
        <row r="974">
          <cell r="A974" t="str">
            <v>9001-2211-DS-0022-01-WM204</v>
          </cell>
          <cell r="B974" t="str">
            <v>9001-2211-DS-0022-01-WM</v>
          </cell>
          <cell r="C974">
            <v>204</v>
          </cell>
          <cell r="D974" t="str">
            <v>X18</v>
          </cell>
          <cell r="E974" t="str">
            <v>SV</v>
          </cell>
          <cell r="F974" t="str">
            <v>10%MT&amp;UT</v>
          </cell>
          <cell r="G974" t="str">
            <v>L</v>
          </cell>
          <cell r="H974">
            <v>700</v>
          </cell>
          <cell r="I974">
            <v>25</v>
          </cell>
          <cell r="K974" t="str">
            <v>WPS-TNHA-S06</v>
          </cell>
          <cell r="L974" t="str">
            <v>ST-22</v>
          </cell>
          <cell r="M974" t="str">
            <v>XUÂN</v>
          </cell>
          <cell r="N974">
            <v>46003</v>
          </cell>
          <cell r="O974" t="str">
            <v>F-129</v>
          </cell>
          <cell r="Y974" t="str">
            <v>NOT YET VISUAL</v>
          </cell>
        </row>
        <row r="975">
          <cell r="A975" t="str">
            <v>9001-2211-DS-0022-01-WM205</v>
          </cell>
          <cell r="B975" t="str">
            <v>9001-2211-DS-0022-01-WM</v>
          </cell>
          <cell r="C975">
            <v>205</v>
          </cell>
          <cell r="D975" t="str">
            <v>X19</v>
          </cell>
          <cell r="E975" t="str">
            <v>SV</v>
          </cell>
          <cell r="F975" t="str">
            <v>10%MT&amp;UT</v>
          </cell>
          <cell r="G975" t="str">
            <v>L</v>
          </cell>
          <cell r="H975">
            <v>412</v>
          </cell>
          <cell r="I975">
            <v>12</v>
          </cell>
          <cell r="K975" t="str">
            <v>WPS-TNHA-S06</v>
          </cell>
          <cell r="L975" t="str">
            <v>ST-22</v>
          </cell>
          <cell r="M975" t="str">
            <v>XUÂN</v>
          </cell>
          <cell r="N975">
            <v>45981</v>
          </cell>
          <cell r="O975" t="str">
            <v>F-094</v>
          </cell>
          <cell r="P975" t="str">
            <v>15h 22/11/2025</v>
          </cell>
          <cell r="Q975" t="str">
            <v>PD-33</v>
          </cell>
          <cell r="R975" t="str">
            <v>BÁCH</v>
          </cell>
          <cell r="S975">
            <v>45995</v>
          </cell>
          <cell r="T975" t="str">
            <v>V-114(VS)</v>
          </cell>
          <cell r="Y975" t="str">
            <v>FINISH</v>
          </cell>
          <cell r="Z975" t="str">
            <v>ACC</v>
          </cell>
        </row>
        <row r="976">
          <cell r="A976" t="str">
            <v>9001-2211-DS-0022-01-WM206</v>
          </cell>
          <cell r="B976" t="str">
            <v>9001-2211-DS-0022-01-WM</v>
          </cell>
          <cell r="C976">
            <v>206</v>
          </cell>
          <cell r="D976" t="str">
            <v>X20</v>
          </cell>
          <cell r="E976" t="str">
            <v>SB</v>
          </cell>
          <cell r="F976" t="str">
            <v>10%MT&amp;UT</v>
          </cell>
          <cell r="G976" t="str">
            <v>D</v>
          </cell>
          <cell r="H976">
            <v>2712.96</v>
          </cell>
          <cell r="I976">
            <v>12</v>
          </cell>
          <cell r="K976" t="str">
            <v>WPS-TNHA-S06</v>
          </cell>
          <cell r="L976" t="str">
            <v>ST-22</v>
          </cell>
          <cell r="M976" t="str">
            <v>XUÂN</v>
          </cell>
          <cell r="N976">
            <v>45981</v>
          </cell>
          <cell r="O976" t="str">
            <v>F-094</v>
          </cell>
          <cell r="P976" t="str">
            <v>15h 22/11/2025</v>
          </cell>
          <cell r="Q976" t="str">
            <v>PD-33</v>
          </cell>
          <cell r="R976" t="str">
            <v>BÁCH</v>
          </cell>
          <cell r="S976">
            <v>45995</v>
          </cell>
          <cell r="T976" t="str">
            <v>V-115</v>
          </cell>
          <cell r="Y976" t="str">
            <v>FINISH</v>
          </cell>
          <cell r="Z976" t="str">
            <v>ACC</v>
          </cell>
          <cell r="AA976" t="str">
            <v>ACC</v>
          </cell>
          <cell r="AB976" t="str">
            <v>MT-2211-ST-22-0033</v>
          </cell>
          <cell r="AC976" t="str">
            <v>ACC</v>
          </cell>
          <cell r="AD976" t="str">
            <v>UT-2211-ST-22-0058</v>
          </cell>
          <cell r="AP976" t="str">
            <v>10/12/2025</v>
          </cell>
        </row>
        <row r="977">
          <cell r="A977" t="str">
            <v>9001-2211-DS-0022-01-WM207</v>
          </cell>
          <cell r="B977" t="str">
            <v>9001-2211-DS-0022-01-WM</v>
          </cell>
          <cell r="C977">
            <v>207</v>
          </cell>
          <cell r="D977" t="str">
            <v>X21</v>
          </cell>
          <cell r="L977" t="str">
            <v>ST-22</v>
          </cell>
          <cell r="Y977" t="str">
            <v>NOT YET FITUP</v>
          </cell>
        </row>
        <row r="978">
          <cell r="A978" t="str">
            <v>9001-2211-DS-0022-01-WM208</v>
          </cell>
          <cell r="B978" t="str">
            <v>9001-2211-DS-0022-01-WM</v>
          </cell>
          <cell r="C978">
            <v>208</v>
          </cell>
          <cell r="D978" t="str">
            <v>X13</v>
          </cell>
          <cell r="E978" t="str">
            <v>SV</v>
          </cell>
          <cell r="F978" t="str">
            <v>10%MT&amp;UT</v>
          </cell>
          <cell r="G978" t="str">
            <v>L</v>
          </cell>
          <cell r="H978">
            <v>412</v>
          </cell>
          <cell r="I978">
            <v>12</v>
          </cell>
          <cell r="K978" t="str">
            <v>WPS-TNHA-S06</v>
          </cell>
          <cell r="L978" t="str">
            <v>ST-22</v>
          </cell>
          <cell r="M978" t="str">
            <v>XUÂN</v>
          </cell>
          <cell r="N978">
            <v>45981</v>
          </cell>
          <cell r="O978" t="str">
            <v>F-094</v>
          </cell>
          <cell r="P978" t="str">
            <v>17h 23/11/2025</v>
          </cell>
          <cell r="Q978" t="str">
            <v>PD-31</v>
          </cell>
          <cell r="R978" t="str">
            <v>BÁCH</v>
          </cell>
          <cell r="S978">
            <v>45995</v>
          </cell>
          <cell r="T978" t="str">
            <v>V-114(VS)</v>
          </cell>
          <cell r="Y978" t="str">
            <v>FINISH</v>
          </cell>
          <cell r="Z978" t="str">
            <v>ACC</v>
          </cell>
        </row>
        <row r="979">
          <cell r="A979" t="str">
            <v>9001-2211-DS-0022-01-WM209</v>
          </cell>
          <cell r="B979" t="str">
            <v>9001-2211-DS-0022-01-WM</v>
          </cell>
          <cell r="C979">
            <v>209</v>
          </cell>
          <cell r="D979" t="str">
            <v>X14</v>
          </cell>
          <cell r="E979" t="str">
            <v>SB</v>
          </cell>
          <cell r="F979" t="str">
            <v>10%MT&amp;UT</v>
          </cell>
          <cell r="G979" t="str">
            <v>D</v>
          </cell>
          <cell r="H979">
            <v>2712.96</v>
          </cell>
          <cell r="I979">
            <v>12</v>
          </cell>
          <cell r="K979" t="str">
            <v>WPS-TNHA-S06</v>
          </cell>
          <cell r="L979" t="str">
            <v>ST-22</v>
          </cell>
          <cell r="M979" t="str">
            <v>XUÂN</v>
          </cell>
          <cell r="N979">
            <v>45981</v>
          </cell>
          <cell r="O979" t="str">
            <v>F-094</v>
          </cell>
          <cell r="P979" t="str">
            <v>17h 23/11/2025</v>
          </cell>
          <cell r="Q979" t="str">
            <v>PD-31</v>
          </cell>
          <cell r="R979" t="str">
            <v>BÁCH</v>
          </cell>
          <cell r="S979">
            <v>45995</v>
          </cell>
          <cell r="T979" t="str">
            <v>V-115</v>
          </cell>
          <cell r="Y979" t="str">
            <v>FINISH</v>
          </cell>
          <cell r="Z979" t="str">
            <v>ACC</v>
          </cell>
          <cell r="AA979" t="str">
            <v>ACC</v>
          </cell>
          <cell r="AB979" t="str">
            <v>MT-2211-ST-22-0033</v>
          </cell>
          <cell r="AC979" t="str">
            <v>ACC</v>
          </cell>
          <cell r="AD979" t="str">
            <v>UT-2211-ST-22-0058</v>
          </cell>
          <cell r="AP979" t="str">
            <v>10/12/2025</v>
          </cell>
        </row>
        <row r="980">
          <cell r="A980" t="str">
            <v>9001-2211-DS-0022-01-WM210</v>
          </cell>
          <cell r="B980" t="str">
            <v>9001-2211-DS-0022-01-WM</v>
          </cell>
          <cell r="C980">
            <v>210</v>
          </cell>
          <cell r="D980" t="str">
            <v>X15</v>
          </cell>
          <cell r="L980" t="str">
            <v>ST-22</v>
          </cell>
          <cell r="Y980" t="str">
            <v>NOT YET FITUP</v>
          </cell>
        </row>
        <row r="981">
          <cell r="A981" t="str">
            <v>9001-2211-DS-0022-01-WM211</v>
          </cell>
          <cell r="B981" t="str">
            <v>9001-2211-DS-0022-01-WM</v>
          </cell>
          <cell r="C981">
            <v>211</v>
          </cell>
          <cell r="D981" t="str">
            <v>X16</v>
          </cell>
          <cell r="E981" t="str">
            <v>SV</v>
          </cell>
          <cell r="F981" t="str">
            <v>10%MT&amp;UT</v>
          </cell>
          <cell r="G981" t="str">
            <v>L</v>
          </cell>
          <cell r="H981">
            <v>412</v>
          </cell>
          <cell r="I981">
            <v>12</v>
          </cell>
          <cell r="K981" t="str">
            <v>WPS-TNHA-S06</v>
          </cell>
          <cell r="L981" t="str">
            <v>ST-22</v>
          </cell>
          <cell r="M981" t="str">
            <v>XUÂN</v>
          </cell>
          <cell r="N981">
            <v>45981</v>
          </cell>
          <cell r="O981" t="str">
            <v>F-094</v>
          </cell>
          <cell r="P981" t="str">
            <v>11h 24/11/2025</v>
          </cell>
          <cell r="Q981" t="str">
            <v>PD-06</v>
          </cell>
          <cell r="R981" t="str">
            <v>BÁCH</v>
          </cell>
          <cell r="S981">
            <v>45995</v>
          </cell>
          <cell r="T981" t="str">
            <v>V-114(VS)</v>
          </cell>
          <cell r="Y981" t="str">
            <v>FINISH</v>
          </cell>
          <cell r="Z981" t="str">
            <v>ACC</v>
          </cell>
        </row>
        <row r="982">
          <cell r="A982" t="str">
            <v>9001-2211-DS-0022-01-WM212</v>
          </cell>
          <cell r="B982" t="str">
            <v>9001-2211-DS-0022-01-WM</v>
          </cell>
          <cell r="C982">
            <v>212</v>
          </cell>
          <cell r="D982" t="str">
            <v>X17</v>
          </cell>
          <cell r="E982" t="str">
            <v>SB</v>
          </cell>
          <cell r="F982" t="str">
            <v>10%MT&amp;UT</v>
          </cell>
          <cell r="G982" t="str">
            <v>D</v>
          </cell>
          <cell r="H982">
            <v>2712.96</v>
          </cell>
          <cell r="I982">
            <v>12</v>
          </cell>
          <cell r="K982" t="str">
            <v>WPS-TNHA-S06</v>
          </cell>
          <cell r="L982" t="str">
            <v>ST-22</v>
          </cell>
          <cell r="M982" t="str">
            <v>XUÂN</v>
          </cell>
          <cell r="N982">
            <v>45981</v>
          </cell>
          <cell r="O982" t="str">
            <v>F-094</v>
          </cell>
          <cell r="P982" t="str">
            <v>11h 24/11/2025</v>
          </cell>
          <cell r="Q982" t="str">
            <v>PD-06</v>
          </cell>
          <cell r="R982" t="str">
            <v>BÁCH</v>
          </cell>
          <cell r="S982">
            <v>45995</v>
          </cell>
          <cell r="T982" t="str">
            <v>V-115</v>
          </cell>
          <cell r="Y982" t="str">
            <v>FINISH</v>
          </cell>
          <cell r="Z982" t="str">
            <v>ACC</v>
          </cell>
          <cell r="AA982" t="str">
            <v>ACC</v>
          </cell>
          <cell r="AB982" t="str">
            <v>MT-2211-ST-22-0033</v>
          </cell>
          <cell r="AC982" t="str">
            <v>ACC</v>
          </cell>
          <cell r="AD982" t="str">
            <v>UT-2211-ST-22-0058</v>
          </cell>
          <cell r="AP982" t="str">
            <v>10/12/2025</v>
          </cell>
        </row>
        <row r="983">
          <cell r="A983" t="str">
            <v>9001-2211-DS-0022-01-WM213</v>
          </cell>
          <cell r="B983" t="str">
            <v>9001-2211-DS-0022-01-WM</v>
          </cell>
          <cell r="C983">
            <v>213</v>
          </cell>
          <cell r="D983" t="str">
            <v>X18</v>
          </cell>
          <cell r="L983" t="str">
            <v>ST-22</v>
          </cell>
          <cell r="Y983" t="str">
            <v>NOT YET FITUP</v>
          </cell>
        </row>
        <row r="984">
          <cell r="A984" t="str">
            <v>9001-2211-DS-0022-01-WM214</v>
          </cell>
          <cell r="B984" t="str">
            <v>9001-2211-DS-0022-01-WM</v>
          </cell>
          <cell r="C984">
            <v>214</v>
          </cell>
          <cell r="D984" t="str">
            <v>X19</v>
          </cell>
          <cell r="E984" t="str">
            <v>SV</v>
          </cell>
          <cell r="F984" t="str">
            <v>10%MT&amp;UT</v>
          </cell>
          <cell r="G984" t="str">
            <v>L</v>
          </cell>
          <cell r="H984">
            <v>412</v>
          </cell>
          <cell r="I984">
            <v>12</v>
          </cell>
          <cell r="K984" t="str">
            <v>WPS-TNHA-S06</v>
          </cell>
          <cell r="L984" t="str">
            <v>ST-22</v>
          </cell>
          <cell r="M984" t="str">
            <v>XUÂN</v>
          </cell>
          <cell r="N984">
            <v>45981</v>
          </cell>
          <cell r="O984" t="str">
            <v>F-094</v>
          </cell>
          <cell r="P984" t="str">
            <v>11h 24/11/2025</v>
          </cell>
          <cell r="Q984" t="str">
            <v>PD-06</v>
          </cell>
          <cell r="R984" t="str">
            <v>BÁCH</v>
          </cell>
          <cell r="S984">
            <v>45995</v>
          </cell>
          <cell r="T984" t="str">
            <v>V-114(VS)</v>
          </cell>
          <cell r="Y984" t="str">
            <v>FINISH</v>
          </cell>
          <cell r="Z984" t="str">
            <v>ACC</v>
          </cell>
        </row>
        <row r="985">
          <cell r="A985" t="str">
            <v>9001-2211-DS-0022-01-WM215</v>
          </cell>
          <cell r="B985" t="str">
            <v>9001-2211-DS-0022-01-WM</v>
          </cell>
          <cell r="C985">
            <v>215</v>
          </cell>
          <cell r="D985" t="str">
            <v>X20</v>
          </cell>
          <cell r="E985" t="str">
            <v>SB</v>
          </cell>
          <cell r="F985" t="str">
            <v>10%MT&amp;UT</v>
          </cell>
          <cell r="G985" t="str">
            <v>D</v>
          </cell>
          <cell r="H985">
            <v>2712.96</v>
          </cell>
          <cell r="I985">
            <v>12</v>
          </cell>
          <cell r="K985" t="str">
            <v>WPS-TNHA-S06</v>
          </cell>
          <cell r="L985" t="str">
            <v>ST-22</v>
          </cell>
          <cell r="M985" t="str">
            <v>XUÂN</v>
          </cell>
          <cell r="N985">
            <v>45981</v>
          </cell>
          <cell r="O985" t="str">
            <v>F-094</v>
          </cell>
          <cell r="P985" t="str">
            <v>11h 24/11/2025</v>
          </cell>
          <cell r="Q985" t="str">
            <v>PD-06</v>
          </cell>
          <cell r="R985" t="str">
            <v>BÁCH</v>
          </cell>
          <cell r="S985">
            <v>45995</v>
          </cell>
          <cell r="T985" t="str">
            <v>V-115</v>
          </cell>
          <cell r="Y985" t="str">
            <v>FINISH</v>
          </cell>
          <cell r="Z985" t="str">
            <v>ACC</v>
          </cell>
          <cell r="AA985" t="str">
            <v>ACC</v>
          </cell>
          <cell r="AB985" t="str">
            <v>MT-2211-ST-22-0033</v>
          </cell>
          <cell r="AC985" t="str">
            <v>ACC</v>
          </cell>
          <cell r="AD985" t="str">
            <v>UT-2211-ST-22-0058</v>
          </cell>
          <cell r="AP985" t="str">
            <v>10/12/2025</v>
          </cell>
        </row>
        <row r="986">
          <cell r="A986" t="str">
            <v>9001-2211-DS-0022-01-WM216</v>
          </cell>
          <cell r="B986" t="str">
            <v>9001-2211-DS-0022-01-WM</v>
          </cell>
          <cell r="C986">
            <v>216</v>
          </cell>
          <cell r="D986" t="str">
            <v>X21</v>
          </cell>
          <cell r="L986" t="str">
            <v>ST-22</v>
          </cell>
          <cell r="Y986" t="str">
            <v>NOT YET FITUP</v>
          </cell>
        </row>
        <row r="987">
          <cell r="A987" t="str">
            <v>9001-2211-DS-0022-01-WM217</v>
          </cell>
          <cell r="B987" t="str">
            <v>9001-2211-DS-0022-01-WM</v>
          </cell>
          <cell r="C987">
            <v>217</v>
          </cell>
          <cell r="D987" t="str">
            <v>X13</v>
          </cell>
          <cell r="E987" t="str">
            <v>SV</v>
          </cell>
          <cell r="F987" t="str">
            <v>10%MT&amp;UT</v>
          </cell>
          <cell r="G987" t="str">
            <v>L</v>
          </cell>
          <cell r="H987">
            <v>412</v>
          </cell>
          <cell r="I987">
            <v>12</v>
          </cell>
          <cell r="K987" t="str">
            <v>WPS-TNHA-S06</v>
          </cell>
          <cell r="L987" t="str">
            <v>ST-22</v>
          </cell>
          <cell r="M987" t="str">
            <v>XUÂN</v>
          </cell>
          <cell r="N987">
            <v>45981</v>
          </cell>
          <cell r="O987" t="str">
            <v>F-094</v>
          </cell>
          <cell r="P987" t="str">
            <v>19h 21/11/2025</v>
          </cell>
          <cell r="Q987" t="str">
            <v>PD-33</v>
          </cell>
          <cell r="R987" t="str">
            <v>BÁCH</v>
          </cell>
          <cell r="S987">
            <v>45995</v>
          </cell>
          <cell r="T987" t="str">
            <v>V-114(VS)</v>
          </cell>
          <cell r="Y987" t="str">
            <v>FINISH</v>
          </cell>
          <cell r="Z987" t="str">
            <v>ACC</v>
          </cell>
        </row>
        <row r="988">
          <cell r="A988" t="str">
            <v>9001-2211-DS-0022-01-WM218</v>
          </cell>
          <cell r="B988" t="str">
            <v>9001-2211-DS-0022-01-WM</v>
          </cell>
          <cell r="C988">
            <v>218</v>
          </cell>
          <cell r="D988" t="str">
            <v>X14</v>
          </cell>
          <cell r="E988" t="str">
            <v>SB</v>
          </cell>
          <cell r="F988" t="str">
            <v>10%MT&amp;UT</v>
          </cell>
          <cell r="G988" t="str">
            <v>D</v>
          </cell>
          <cell r="H988">
            <v>2712.96</v>
          </cell>
          <cell r="I988">
            <v>12</v>
          </cell>
          <cell r="K988" t="str">
            <v>WPS-TNHA-S06</v>
          </cell>
          <cell r="L988" t="str">
            <v>ST-22</v>
          </cell>
          <cell r="M988" t="str">
            <v>XUÂN</v>
          </cell>
          <cell r="N988">
            <v>45981</v>
          </cell>
          <cell r="O988" t="str">
            <v>F-094</v>
          </cell>
          <cell r="P988" t="str">
            <v>19h 21/11/2025</v>
          </cell>
          <cell r="Q988" t="str">
            <v>PD-33</v>
          </cell>
          <cell r="R988" t="str">
            <v>BÁCH</v>
          </cell>
          <cell r="S988">
            <v>45995</v>
          </cell>
          <cell r="T988" t="str">
            <v>V-115</v>
          </cell>
          <cell r="Y988" t="str">
            <v>FINISH</v>
          </cell>
          <cell r="Z988" t="str">
            <v>ACC</v>
          </cell>
          <cell r="AA988" t="str">
            <v>ACC</v>
          </cell>
          <cell r="AB988" t="str">
            <v>MT-2211-ST-22-0033</v>
          </cell>
          <cell r="AC988" t="str">
            <v>ACC</v>
          </cell>
          <cell r="AD988" t="str">
            <v>UT-2211-ST-22-0058</v>
          </cell>
          <cell r="AP988" t="str">
            <v>10/12/2025</v>
          </cell>
        </row>
        <row r="989">
          <cell r="A989" t="str">
            <v>9001-2211-DS-0022-01-WM219</v>
          </cell>
          <cell r="B989" t="str">
            <v>9001-2211-DS-0022-01-WM</v>
          </cell>
          <cell r="C989">
            <v>219</v>
          </cell>
          <cell r="D989" t="str">
            <v>X15</v>
          </cell>
          <cell r="L989" t="str">
            <v>ST-22</v>
          </cell>
          <cell r="Y989" t="str">
            <v>NOT YET FITUP</v>
          </cell>
        </row>
        <row r="990">
          <cell r="A990" t="str">
            <v>9001-2211-DS-0022-01-WM220</v>
          </cell>
          <cell r="B990" t="str">
            <v>9001-2211-DS-0022-01-WM</v>
          </cell>
          <cell r="C990">
            <v>220</v>
          </cell>
          <cell r="D990" t="str">
            <v>X16</v>
          </cell>
          <cell r="E990" t="str">
            <v>SV</v>
          </cell>
          <cell r="F990" t="str">
            <v>10%MT&amp;UT</v>
          </cell>
          <cell r="G990" t="str">
            <v>L</v>
          </cell>
          <cell r="H990">
            <v>412</v>
          </cell>
          <cell r="I990">
            <v>12</v>
          </cell>
          <cell r="K990" t="str">
            <v>WPS-TNHA-S06</v>
          </cell>
          <cell r="L990" t="str">
            <v>ST-22</v>
          </cell>
          <cell r="M990" t="str">
            <v>XUÂN</v>
          </cell>
          <cell r="N990">
            <v>45981</v>
          </cell>
          <cell r="O990" t="str">
            <v>F-094</v>
          </cell>
          <cell r="P990" t="str">
            <v>11h 24/11/2025</v>
          </cell>
          <cell r="Q990" t="str">
            <v>PD-31</v>
          </cell>
          <cell r="R990" t="str">
            <v>BÁCH</v>
          </cell>
          <cell r="S990">
            <v>45995</v>
          </cell>
          <cell r="T990" t="str">
            <v>V-114(VS)</v>
          </cell>
          <cell r="Y990" t="str">
            <v>FINISH</v>
          </cell>
          <cell r="Z990" t="str">
            <v>ACC</v>
          </cell>
        </row>
        <row r="991">
          <cell r="A991" t="str">
            <v>9001-2211-DS-0022-01-WM221</v>
          </cell>
          <cell r="B991" t="str">
            <v>9001-2211-DS-0022-01-WM</v>
          </cell>
          <cell r="C991">
            <v>221</v>
          </cell>
          <cell r="D991" t="str">
            <v>X17</v>
          </cell>
          <cell r="E991" t="str">
            <v>SB</v>
          </cell>
          <cell r="F991" t="str">
            <v>10%MT&amp;UT</v>
          </cell>
          <cell r="G991" t="str">
            <v>D</v>
          </cell>
          <cell r="H991">
            <v>2712.96</v>
          </cell>
          <cell r="I991">
            <v>12</v>
          </cell>
          <cell r="K991" t="str">
            <v>WPS-TNHA-S06</v>
          </cell>
          <cell r="L991" t="str">
            <v>ST-22</v>
          </cell>
          <cell r="M991" t="str">
            <v>XUÂN</v>
          </cell>
          <cell r="N991">
            <v>45981</v>
          </cell>
          <cell r="O991" t="str">
            <v>F-094</v>
          </cell>
          <cell r="P991" t="str">
            <v>11h 24/11/2025</v>
          </cell>
          <cell r="Q991" t="str">
            <v>PD-31</v>
          </cell>
          <cell r="R991" t="str">
            <v>BÁCH</v>
          </cell>
          <cell r="S991">
            <v>45995</v>
          </cell>
          <cell r="T991" t="str">
            <v>V-115</v>
          </cell>
          <cell r="Y991" t="str">
            <v>FINISH</v>
          </cell>
          <cell r="Z991" t="str">
            <v>ACC</v>
          </cell>
          <cell r="AA991" t="str">
            <v>ACC</v>
          </cell>
          <cell r="AB991" t="str">
            <v>MT-2211-ST-22-0033</v>
          </cell>
          <cell r="AC991" t="str">
            <v>ACC</v>
          </cell>
          <cell r="AD991" t="str">
            <v>UT-2211-ST-22-0058</v>
          </cell>
          <cell r="AP991" t="str">
            <v>10/12/2025</v>
          </cell>
        </row>
        <row r="992">
          <cell r="A992" t="str">
            <v>9001-2211-DS-0022-01-WM222</v>
          </cell>
          <cell r="B992" t="str">
            <v>9001-2211-DS-0022-01-WM</v>
          </cell>
          <cell r="C992">
            <v>222</v>
          </cell>
          <cell r="D992" t="str">
            <v>X18</v>
          </cell>
          <cell r="L992" t="str">
            <v>ST-22</v>
          </cell>
          <cell r="Y992" t="str">
            <v>NOT YET FITUP</v>
          </cell>
        </row>
        <row r="993">
          <cell r="A993" t="str">
            <v>9001-2211-DS-0022-01-WM223</v>
          </cell>
          <cell r="B993" t="str">
            <v>9001-2211-DS-0022-01-WM</v>
          </cell>
          <cell r="C993">
            <v>223</v>
          </cell>
          <cell r="D993" t="str">
            <v>X19</v>
          </cell>
          <cell r="E993" t="str">
            <v>SV</v>
          </cell>
          <cell r="F993" t="str">
            <v>10%MT&amp;UT</v>
          </cell>
          <cell r="G993" t="str">
            <v>L</v>
          </cell>
          <cell r="H993">
            <v>412</v>
          </cell>
          <cell r="I993">
            <v>12</v>
          </cell>
          <cell r="K993" t="str">
            <v>WPS-TNHA-S06</v>
          </cell>
          <cell r="L993" t="str">
            <v>ST-22</v>
          </cell>
          <cell r="M993" t="str">
            <v>XUÂN</v>
          </cell>
          <cell r="N993">
            <v>45981</v>
          </cell>
          <cell r="O993" t="str">
            <v>F-094</v>
          </cell>
          <cell r="P993" t="str">
            <v>18h 23/11/2025</v>
          </cell>
          <cell r="Q993" t="str">
            <v>PD-06</v>
          </cell>
          <cell r="R993" t="str">
            <v>BÁCH</v>
          </cell>
          <cell r="S993">
            <v>45995</v>
          </cell>
          <cell r="T993" t="str">
            <v>V-114(VS)</v>
          </cell>
          <cell r="Y993" t="str">
            <v>FINISH</v>
          </cell>
          <cell r="Z993" t="str">
            <v>ACC</v>
          </cell>
        </row>
        <row r="994">
          <cell r="A994" t="str">
            <v>9001-2211-DS-0022-01-WM224</v>
          </cell>
          <cell r="B994" t="str">
            <v>9001-2211-DS-0022-01-WM</v>
          </cell>
          <cell r="C994">
            <v>224</v>
          </cell>
          <cell r="D994" t="str">
            <v>X20</v>
          </cell>
          <cell r="E994" t="str">
            <v>SB</v>
          </cell>
          <cell r="F994" t="str">
            <v>10%MT&amp;UT</v>
          </cell>
          <cell r="G994" t="str">
            <v>D</v>
          </cell>
          <cell r="H994">
            <v>2712.96</v>
          </cell>
          <cell r="I994">
            <v>12</v>
          </cell>
          <cell r="K994" t="str">
            <v>WPS-TNHA-S06</v>
          </cell>
          <cell r="L994" t="str">
            <v>ST-22</v>
          </cell>
          <cell r="M994" t="str">
            <v>XUÂN</v>
          </cell>
          <cell r="N994">
            <v>45981</v>
          </cell>
          <cell r="O994" t="str">
            <v>F-094</v>
          </cell>
          <cell r="P994" t="str">
            <v>18h 23/11/2025</v>
          </cell>
          <cell r="Q994" t="str">
            <v>PD-06</v>
          </cell>
          <cell r="R994" t="str">
            <v>BÁCH</v>
          </cell>
          <cell r="S994">
            <v>45995</v>
          </cell>
          <cell r="T994" t="str">
            <v>V-115</v>
          </cell>
          <cell r="Y994" t="str">
            <v>FINISH</v>
          </cell>
          <cell r="Z994" t="str">
            <v>ACC</v>
          </cell>
          <cell r="AA994" t="str">
            <v>ACC</v>
          </cell>
          <cell r="AB994" t="str">
            <v>MT-2211-ST-22-0033</v>
          </cell>
          <cell r="AC994" t="str">
            <v>ACC</v>
          </cell>
          <cell r="AD994" t="str">
            <v>UT-2211-ST-22-0058</v>
          </cell>
          <cell r="AP994" t="str">
            <v>10/12/2025</v>
          </cell>
        </row>
        <row r="995">
          <cell r="A995" t="str">
            <v>9001-2211-DS-0022-01-WM225</v>
          </cell>
          <cell r="B995" t="str">
            <v>9001-2211-DS-0022-01-WM</v>
          </cell>
          <cell r="C995">
            <v>225</v>
          </cell>
          <cell r="D995" t="str">
            <v>X21</v>
          </cell>
          <cell r="L995" t="str">
            <v>ST-22</v>
          </cell>
          <cell r="Y995" t="str">
            <v>NOT YET FITUP</v>
          </cell>
        </row>
        <row r="996">
          <cell r="A996" t="str">
            <v>9001-2211-DS-0022-01-WM226</v>
          </cell>
          <cell r="B996" t="str">
            <v>9001-2211-DS-0022-01-WM</v>
          </cell>
          <cell r="C996">
            <v>226</v>
          </cell>
          <cell r="D996" t="str">
            <v>X13</v>
          </cell>
          <cell r="E996" t="str">
            <v>SV</v>
          </cell>
          <cell r="F996" t="str">
            <v>10%MT&amp;UT</v>
          </cell>
          <cell r="G996" t="str">
            <v>L</v>
          </cell>
          <cell r="H996">
            <v>412</v>
          </cell>
          <cell r="I996">
            <v>12</v>
          </cell>
          <cell r="K996" t="str">
            <v>WPS-TNHA-S06</v>
          </cell>
          <cell r="L996" t="str">
            <v>ST-22</v>
          </cell>
          <cell r="M996" t="str">
            <v>BÁCH</v>
          </cell>
          <cell r="N996">
            <v>45984</v>
          </cell>
          <cell r="O996" t="str">
            <v>F-100</v>
          </cell>
          <cell r="P996" t="str">
            <v>29/11/2025</v>
          </cell>
          <cell r="Q996" t="str">
            <v>PD-17</v>
          </cell>
          <cell r="R996" t="str">
            <v>BÁCH</v>
          </cell>
          <cell r="S996">
            <v>45994</v>
          </cell>
          <cell r="T996" t="str">
            <v>V-110(VS)</v>
          </cell>
          <cell r="Y996" t="str">
            <v>FINISH</v>
          </cell>
          <cell r="Z996" t="str">
            <v>ACC</v>
          </cell>
        </row>
        <row r="997">
          <cell r="A997" t="str">
            <v>9001-2211-DS-0022-01-WM227</v>
          </cell>
          <cell r="B997" t="str">
            <v>9001-2211-DS-0022-01-WM</v>
          </cell>
          <cell r="C997">
            <v>227</v>
          </cell>
          <cell r="D997" t="str">
            <v>X14</v>
          </cell>
          <cell r="E997" t="str">
            <v>SB</v>
          </cell>
          <cell r="F997" t="str">
            <v>10%MT&amp;UT</v>
          </cell>
          <cell r="G997" t="str">
            <v>D</v>
          </cell>
          <cell r="H997">
            <v>2712.96</v>
          </cell>
          <cell r="I997">
            <v>12</v>
          </cell>
          <cell r="K997" t="str">
            <v>WPS-TNHA-S06</v>
          </cell>
          <cell r="L997" t="str">
            <v>ST-22</v>
          </cell>
          <cell r="M997" t="str">
            <v>BÁCH</v>
          </cell>
          <cell r="N997">
            <v>45984</v>
          </cell>
          <cell r="O997" t="str">
            <v>F-100</v>
          </cell>
          <cell r="P997" t="str">
            <v>29/11/2025</v>
          </cell>
          <cell r="Q997" t="str">
            <v>PD-17</v>
          </cell>
          <cell r="R997" t="str">
            <v>BÁCH</v>
          </cell>
          <cell r="S997">
            <v>45994</v>
          </cell>
          <cell r="T997" t="str">
            <v>V-110</v>
          </cell>
          <cell r="Y997" t="str">
            <v>FINISH</v>
          </cell>
          <cell r="Z997" t="str">
            <v>ACC</v>
          </cell>
          <cell r="AA997" t="str">
            <v>ACC</v>
          </cell>
          <cell r="AB997" t="str">
            <v>MT-2211-ST-22-0031</v>
          </cell>
          <cell r="AC997" t="str">
            <v>ACC</v>
          </cell>
          <cell r="AD997" t="str">
            <v>UT-2211-ST-22-0056</v>
          </cell>
          <cell r="AP997" t="str">
            <v>10/12/2025</v>
          </cell>
        </row>
        <row r="998">
          <cell r="A998" t="str">
            <v>9001-2211-DS-0022-01-WM228</v>
          </cell>
          <cell r="B998" t="str">
            <v>9001-2211-DS-0022-01-WM</v>
          </cell>
          <cell r="C998">
            <v>228</v>
          </cell>
          <cell r="D998" t="str">
            <v>X15</v>
          </cell>
          <cell r="L998" t="str">
            <v>ST-22</v>
          </cell>
          <cell r="Y998" t="str">
            <v>NOT YET FITUP</v>
          </cell>
        </row>
        <row r="999">
          <cell r="A999" t="str">
            <v>9001-2211-DS-0022-01-WM229</v>
          </cell>
          <cell r="B999" t="str">
            <v>9001-2211-DS-0022-01-WM</v>
          </cell>
          <cell r="C999">
            <v>229</v>
          </cell>
          <cell r="D999" t="str">
            <v>X16</v>
          </cell>
          <cell r="E999" t="str">
            <v>SV</v>
          </cell>
          <cell r="F999" t="str">
            <v>10%MT&amp;UT</v>
          </cell>
          <cell r="G999" t="str">
            <v>L</v>
          </cell>
          <cell r="H999">
            <v>412</v>
          </cell>
          <cell r="I999">
            <v>12</v>
          </cell>
          <cell r="K999" t="str">
            <v>WPS-TNHA-S06</v>
          </cell>
          <cell r="Y999" t="str">
            <v>NOT YET FITUP</v>
          </cell>
        </row>
        <row r="1000">
          <cell r="A1000" t="str">
            <v>9001-2211-DS-0022-01-WM230</v>
          </cell>
          <cell r="B1000" t="str">
            <v>9001-2211-DS-0022-01-WM</v>
          </cell>
          <cell r="C1000">
            <v>230</v>
          </cell>
          <cell r="D1000" t="str">
            <v>X17</v>
          </cell>
          <cell r="E1000" t="str">
            <v>SB</v>
          </cell>
          <cell r="F1000" t="str">
            <v>10%MT&amp;UT</v>
          </cell>
          <cell r="G1000" t="str">
            <v>D</v>
          </cell>
          <cell r="H1000">
            <v>2712.96</v>
          </cell>
          <cell r="I1000">
            <v>12</v>
          </cell>
          <cell r="K1000" t="str">
            <v>WPS-TNHA-S06</v>
          </cell>
          <cell r="Y1000" t="str">
            <v>NOT YET FITUP</v>
          </cell>
        </row>
        <row r="1001">
          <cell r="A1001" t="str">
            <v>9001-2211-DS-0022-01-WM231</v>
          </cell>
          <cell r="B1001" t="str">
            <v>9001-2211-DS-0022-01-WM</v>
          </cell>
          <cell r="C1001">
            <v>231</v>
          </cell>
          <cell r="D1001" t="str">
            <v>X18</v>
          </cell>
          <cell r="E1001" t="str">
            <v>SV</v>
          </cell>
          <cell r="F1001" t="str">
            <v>10%MT&amp;UT</v>
          </cell>
          <cell r="G1001" t="str">
            <v>L</v>
          </cell>
          <cell r="H1001">
            <v>700</v>
          </cell>
          <cell r="I1001">
            <v>25</v>
          </cell>
          <cell r="K1001" t="str">
            <v>WPS-TNHA-S06</v>
          </cell>
          <cell r="L1001" t="str">
            <v>ST-22</v>
          </cell>
          <cell r="M1001" t="str">
            <v>XUÂN</v>
          </cell>
          <cell r="N1001">
            <v>46003</v>
          </cell>
          <cell r="O1001" t="str">
            <v>F-129</v>
          </cell>
          <cell r="Y1001" t="str">
            <v>NOT YET VISUAL</v>
          </cell>
        </row>
        <row r="1002">
          <cell r="A1002" t="str">
            <v>9001-2211-DS-0022-01-WM232</v>
          </cell>
          <cell r="B1002" t="str">
            <v>9001-2211-DS-0022-01-WM</v>
          </cell>
          <cell r="C1002">
            <v>232</v>
          </cell>
          <cell r="D1002" t="str">
            <v>X19</v>
          </cell>
          <cell r="E1002" t="str">
            <v>SV</v>
          </cell>
          <cell r="F1002" t="str">
            <v>10%MT&amp;UT</v>
          </cell>
          <cell r="G1002" t="str">
            <v>L</v>
          </cell>
          <cell r="H1002">
            <v>412</v>
          </cell>
          <cell r="I1002">
            <v>12</v>
          </cell>
          <cell r="K1002" t="str">
            <v>WPS-TNHA-S06</v>
          </cell>
          <cell r="L1002" t="str">
            <v>ST-22</v>
          </cell>
          <cell r="M1002" t="str">
            <v>BÁCH</v>
          </cell>
          <cell r="N1002">
            <v>45984</v>
          </cell>
          <cell r="O1002" t="str">
            <v>F-100</v>
          </cell>
          <cell r="P1002" t="str">
            <v>17h 20/11/2025</v>
          </cell>
          <cell r="Q1002" t="str">
            <v>DHN-SL-36</v>
          </cell>
          <cell r="R1002" t="str">
            <v>BÁCH</v>
          </cell>
          <cell r="S1002">
            <v>45997</v>
          </cell>
          <cell r="T1002" t="str">
            <v>V-119(VS)</v>
          </cell>
          <cell r="Y1002" t="str">
            <v>FINISH</v>
          </cell>
          <cell r="Z1002" t="str">
            <v>ACC</v>
          </cell>
        </row>
        <row r="1003">
          <cell r="A1003" t="str">
            <v>9001-2211-DS-0022-01-WM233</v>
          </cell>
          <cell r="B1003" t="str">
            <v>9001-2211-DS-0022-01-WM</v>
          </cell>
          <cell r="C1003">
            <v>233</v>
          </cell>
          <cell r="D1003" t="str">
            <v>X20</v>
          </cell>
          <cell r="E1003" t="str">
            <v>SB</v>
          </cell>
          <cell r="F1003" t="str">
            <v>10%MT&amp;UT</v>
          </cell>
          <cell r="G1003" t="str">
            <v>D</v>
          </cell>
          <cell r="H1003">
            <v>2712.96</v>
          </cell>
          <cell r="I1003">
            <v>12</v>
          </cell>
          <cell r="K1003" t="str">
            <v>WPS-TNHA-S06</v>
          </cell>
          <cell r="L1003" t="str">
            <v>ST-22</v>
          </cell>
          <cell r="M1003" t="str">
            <v>BÁCH</v>
          </cell>
          <cell r="N1003">
            <v>45984</v>
          </cell>
          <cell r="O1003" t="str">
            <v>F-100</v>
          </cell>
          <cell r="P1003" t="str">
            <v>17h 20/11/2025</v>
          </cell>
          <cell r="Q1003" t="str">
            <v>DHN-SL-36</v>
          </cell>
          <cell r="R1003" t="str">
            <v>BÁCH</v>
          </cell>
          <cell r="S1003">
            <v>45997</v>
          </cell>
          <cell r="T1003" t="str">
            <v>V-119</v>
          </cell>
          <cell r="Y1003" t="str">
            <v>FINISH</v>
          </cell>
          <cell r="Z1003" t="str">
            <v>ACC</v>
          </cell>
          <cell r="AA1003" t="str">
            <v>ACC</v>
          </cell>
          <cell r="AB1003" t="str">
            <v>MT-2211-ST-22-0035</v>
          </cell>
          <cell r="AC1003" t="str">
            <v>ACC</v>
          </cell>
          <cell r="AD1003" t="str">
            <v>UT-2211-ST-22-0064</v>
          </cell>
          <cell r="AP1003" t="str">
            <v>10/12/2025</v>
          </cell>
        </row>
        <row r="1004">
          <cell r="A1004" t="str">
            <v>9001-2211-DS-0022-01-WM234</v>
          </cell>
          <cell r="B1004" t="str">
            <v>9001-2211-DS-0022-01-WM</v>
          </cell>
          <cell r="C1004">
            <v>234</v>
          </cell>
          <cell r="D1004" t="str">
            <v>X21</v>
          </cell>
          <cell r="L1004" t="str">
            <v>ST-22</v>
          </cell>
          <cell r="Y1004" t="str">
            <v>NOT YET FITUP</v>
          </cell>
        </row>
        <row r="1005">
          <cell r="A1005" t="str">
            <v>9001-2211-DS-0022-01-WM235</v>
          </cell>
          <cell r="B1005" t="str">
            <v>9001-2211-DS-0022-01-WM</v>
          </cell>
          <cell r="C1005">
            <v>235</v>
          </cell>
          <cell r="D1005" t="str">
            <v>X13</v>
          </cell>
          <cell r="E1005" t="str">
            <v>SV</v>
          </cell>
          <cell r="F1005" t="str">
            <v>10%MT&amp;UT</v>
          </cell>
          <cell r="G1005" t="str">
            <v>L</v>
          </cell>
          <cell r="H1005">
            <v>412</v>
          </cell>
          <cell r="I1005">
            <v>12</v>
          </cell>
          <cell r="K1005" t="str">
            <v>WPS-TNHA-S06</v>
          </cell>
          <cell r="L1005" t="str">
            <v>ST-22</v>
          </cell>
          <cell r="M1005" t="str">
            <v>BÁCH</v>
          </cell>
          <cell r="N1005">
            <v>45984</v>
          </cell>
          <cell r="O1005" t="str">
            <v>F-100</v>
          </cell>
          <cell r="P1005" t="str">
            <v>30/11/2025</v>
          </cell>
          <cell r="Q1005" t="str">
            <v>DHN-SL-36</v>
          </cell>
          <cell r="R1005" t="str">
            <v>BÁCH</v>
          </cell>
          <cell r="S1005">
            <v>45994</v>
          </cell>
          <cell r="T1005" t="str">
            <v>V-110(VS)</v>
          </cell>
          <cell r="Y1005" t="str">
            <v>FINISH</v>
          </cell>
          <cell r="Z1005" t="str">
            <v>ACC</v>
          </cell>
        </row>
        <row r="1006">
          <cell r="A1006" t="str">
            <v>9001-2211-DS-0022-01-WM236</v>
          </cell>
          <cell r="B1006" t="str">
            <v>9001-2211-DS-0022-01-WM</v>
          </cell>
          <cell r="C1006">
            <v>236</v>
          </cell>
          <cell r="D1006" t="str">
            <v>X14</v>
          </cell>
          <cell r="E1006" t="str">
            <v>SB</v>
          </cell>
          <cell r="F1006" t="str">
            <v>10%MT&amp;UT</v>
          </cell>
          <cell r="G1006" t="str">
            <v>D</v>
          </cell>
          <cell r="H1006">
            <v>2712.96</v>
          </cell>
          <cell r="I1006">
            <v>12</v>
          </cell>
          <cell r="K1006" t="str">
            <v>WPS-TNHA-S06</v>
          </cell>
          <cell r="L1006" t="str">
            <v>ST-22</v>
          </cell>
          <cell r="M1006" t="str">
            <v>BÁCH</v>
          </cell>
          <cell r="N1006">
            <v>45984</v>
          </cell>
          <cell r="O1006" t="str">
            <v>F-100</v>
          </cell>
          <cell r="P1006" t="str">
            <v>30/11/2025</v>
          </cell>
          <cell r="Q1006" t="str">
            <v>DHN-SL-36;PD-20</v>
          </cell>
          <cell r="R1006" t="str">
            <v>BÁCH</v>
          </cell>
          <cell r="S1006">
            <v>45994</v>
          </cell>
          <cell r="T1006" t="str">
            <v>V-110</v>
          </cell>
          <cell r="Y1006" t="str">
            <v>FINISH</v>
          </cell>
          <cell r="Z1006" t="str">
            <v>ACC</v>
          </cell>
          <cell r="AA1006" t="str">
            <v>ACC</v>
          </cell>
          <cell r="AB1006" t="str">
            <v>MT-2211-ST-22-0031</v>
          </cell>
          <cell r="AC1006" t="str">
            <v>ACC</v>
          </cell>
          <cell r="AD1006" t="str">
            <v>UT-2211-ST-22-0056</v>
          </cell>
          <cell r="AP1006" t="str">
            <v>10/12/2025</v>
          </cell>
        </row>
        <row r="1007">
          <cell r="A1007" t="str">
            <v>9001-2211-DS-0022-01-WM237</v>
          </cell>
          <cell r="B1007" t="str">
            <v>9001-2211-DS-0022-01-WM</v>
          </cell>
          <cell r="C1007">
            <v>237</v>
          </cell>
          <cell r="D1007" t="str">
            <v>X15</v>
          </cell>
          <cell r="L1007" t="str">
            <v>ST-22</v>
          </cell>
          <cell r="Y1007" t="str">
            <v>NOT YET FITUP</v>
          </cell>
        </row>
        <row r="1008">
          <cell r="A1008" t="str">
            <v>9001-2211-DS-0022-01-WM238</v>
          </cell>
          <cell r="B1008" t="str">
            <v>9001-2211-DS-0022-01-WM</v>
          </cell>
          <cell r="C1008">
            <v>238</v>
          </cell>
          <cell r="D1008" t="str">
            <v>X16</v>
          </cell>
          <cell r="E1008" t="str">
            <v>SV</v>
          </cell>
          <cell r="F1008" t="str">
            <v>100%MT&amp;UT</v>
          </cell>
          <cell r="G1008" t="str">
            <v>L</v>
          </cell>
          <cell r="H1008">
            <v>412</v>
          </cell>
          <cell r="I1008">
            <v>12</v>
          </cell>
          <cell r="K1008" t="str">
            <v>WPS-TNHA-S06</v>
          </cell>
          <cell r="L1008" t="str">
            <v>ST-22</v>
          </cell>
          <cell r="M1008" t="str">
            <v>BÁCH</v>
          </cell>
          <cell r="N1008">
            <v>45990</v>
          </cell>
          <cell r="O1008" t="str">
            <v>F-079</v>
          </cell>
          <cell r="P1008" t="str">
            <v>30/11/2025</v>
          </cell>
          <cell r="Q1008" t="str">
            <v>PD-20</v>
          </cell>
          <cell r="R1008" t="str">
            <v>BÁCH</v>
          </cell>
          <cell r="S1008">
            <v>45994</v>
          </cell>
          <cell r="T1008" t="str">
            <v>V-110</v>
          </cell>
          <cell r="Y1008" t="str">
            <v>FINISH</v>
          </cell>
          <cell r="Z1008" t="str">
            <v>ACC</v>
          </cell>
          <cell r="AA1008" t="str">
            <v>ACC</v>
          </cell>
          <cell r="AB1008" t="str">
            <v>MT-2211-ST-22-0031</v>
          </cell>
          <cell r="AC1008" t="str">
            <v>ACC</v>
          </cell>
          <cell r="AD1008" t="str">
            <v>UT-2211-ST-22-0055</v>
          </cell>
          <cell r="AP1008" t="str">
            <v>10/12/2025</v>
          </cell>
        </row>
        <row r="1009">
          <cell r="A1009" t="str">
            <v>9001-2211-DS-0022-01-WM239</v>
          </cell>
          <cell r="B1009" t="str">
            <v>9001-2211-DS-0022-01-WM</v>
          </cell>
          <cell r="C1009">
            <v>239</v>
          </cell>
          <cell r="D1009" t="str">
            <v>X17</v>
          </cell>
          <cell r="E1009" t="str">
            <v>SB</v>
          </cell>
          <cell r="F1009" t="str">
            <v>10%MT&amp;UT</v>
          </cell>
          <cell r="G1009" t="str">
            <v>D</v>
          </cell>
          <cell r="H1009">
            <v>2712.96</v>
          </cell>
          <cell r="I1009">
            <v>12</v>
          </cell>
          <cell r="K1009" t="str">
            <v>WPS-TNHA-S06</v>
          </cell>
          <cell r="L1009" t="str">
            <v>ST-22</v>
          </cell>
          <cell r="M1009" t="str">
            <v>BÁCH</v>
          </cell>
          <cell r="N1009">
            <v>45990</v>
          </cell>
          <cell r="O1009" t="str">
            <v>F-079</v>
          </cell>
          <cell r="P1009" t="str">
            <v>30/11/2025</v>
          </cell>
          <cell r="Q1009" t="str">
            <v>PD-20</v>
          </cell>
          <cell r="R1009" t="str">
            <v>BÁCH</v>
          </cell>
          <cell r="S1009">
            <v>45994</v>
          </cell>
          <cell r="T1009" t="str">
            <v>V-110</v>
          </cell>
          <cell r="Y1009" t="str">
            <v>FINISH</v>
          </cell>
          <cell r="Z1009" t="str">
            <v>ACC</v>
          </cell>
          <cell r="AA1009" t="str">
            <v>ACC</v>
          </cell>
          <cell r="AB1009" t="str">
            <v>MT-2211-ST-22-0031</v>
          </cell>
          <cell r="AC1009" t="str">
            <v>ACC</v>
          </cell>
          <cell r="AD1009" t="str">
            <v>UT-2211-ST-22-0056</v>
          </cell>
          <cell r="AP1009" t="str">
            <v>10/12/2025</v>
          </cell>
        </row>
        <row r="1010">
          <cell r="A1010" t="str">
            <v>9001-2211-DS-0022-01-WM240</v>
          </cell>
          <cell r="B1010" t="str">
            <v>9001-2211-DS-0022-01-WM</v>
          </cell>
          <cell r="C1010">
            <v>240</v>
          </cell>
          <cell r="D1010" t="str">
            <v>X18</v>
          </cell>
          <cell r="L1010" t="str">
            <v>ST-22</v>
          </cell>
          <cell r="Y1010" t="str">
            <v>NOT YET FITUP</v>
          </cell>
        </row>
        <row r="1011">
          <cell r="A1011" t="str">
            <v>9001-2211-DS-0022-01-WM241</v>
          </cell>
          <cell r="B1011" t="str">
            <v>9001-2211-DS-0022-01-WM</v>
          </cell>
          <cell r="C1011">
            <v>241</v>
          </cell>
          <cell r="D1011" t="str">
            <v>X19</v>
          </cell>
          <cell r="E1011" t="str">
            <v>SV</v>
          </cell>
          <cell r="F1011" t="str">
            <v>10%MT&amp;UT</v>
          </cell>
          <cell r="G1011" t="str">
            <v>L</v>
          </cell>
          <cell r="H1011">
            <v>412</v>
          </cell>
          <cell r="I1011">
            <v>12</v>
          </cell>
          <cell r="K1011" t="str">
            <v>WPS-TNHA-S06</v>
          </cell>
          <cell r="L1011" t="str">
            <v>ST-22</v>
          </cell>
          <cell r="M1011" t="str">
            <v>BÁCH</v>
          </cell>
          <cell r="N1011">
            <v>45984</v>
          </cell>
          <cell r="O1011" t="str">
            <v>F-100</v>
          </cell>
          <cell r="P1011" t="str">
            <v>30/11/2025</v>
          </cell>
          <cell r="Q1011" t="str">
            <v>PD-17</v>
          </cell>
          <cell r="R1011" t="str">
            <v>BÁCH</v>
          </cell>
          <cell r="S1011">
            <v>45994</v>
          </cell>
          <cell r="T1011" t="str">
            <v>V-110(VS)</v>
          </cell>
          <cell r="Y1011" t="str">
            <v>FINISH</v>
          </cell>
          <cell r="Z1011" t="str">
            <v>ACC</v>
          </cell>
        </row>
        <row r="1012">
          <cell r="A1012" t="str">
            <v>9001-2211-DS-0022-01-WM242</v>
          </cell>
          <cell r="B1012" t="str">
            <v>9001-2211-DS-0022-01-WM</v>
          </cell>
          <cell r="C1012">
            <v>242</v>
          </cell>
          <cell r="D1012" t="str">
            <v>X20</v>
          </cell>
          <cell r="E1012" t="str">
            <v>SB</v>
          </cell>
          <cell r="F1012" t="str">
            <v>10%MT&amp;UT</v>
          </cell>
          <cell r="G1012" t="str">
            <v>D</v>
          </cell>
          <cell r="H1012">
            <v>2712.96</v>
          </cell>
          <cell r="I1012">
            <v>12</v>
          </cell>
          <cell r="K1012" t="str">
            <v>WPS-TNHA-S06</v>
          </cell>
          <cell r="L1012" t="str">
            <v>ST-22</v>
          </cell>
          <cell r="M1012" t="str">
            <v>BÁCH</v>
          </cell>
          <cell r="N1012">
            <v>45984</v>
          </cell>
          <cell r="O1012" t="str">
            <v>F-100</v>
          </cell>
          <cell r="P1012" t="str">
            <v>30/11/2025</v>
          </cell>
          <cell r="Q1012" t="str">
            <v>PD-17</v>
          </cell>
          <cell r="R1012" t="str">
            <v>BÁCH</v>
          </cell>
          <cell r="S1012">
            <v>45994</v>
          </cell>
          <cell r="T1012" t="str">
            <v>V-110</v>
          </cell>
          <cell r="Y1012" t="str">
            <v>FINISH</v>
          </cell>
          <cell r="Z1012" t="str">
            <v>ACC</v>
          </cell>
          <cell r="AA1012" t="str">
            <v>ACC</v>
          </cell>
          <cell r="AB1012" t="str">
            <v>MT-2211-ST-22-0031</v>
          </cell>
          <cell r="AC1012" t="str">
            <v>ACC</v>
          </cell>
          <cell r="AD1012" t="str">
            <v>UT-2211-ST-22-0056</v>
          </cell>
          <cell r="AP1012" t="str">
            <v>10/12/2025</v>
          </cell>
        </row>
        <row r="1013">
          <cell r="A1013" t="str">
            <v>9001-2211-DS-0022-01-WM243</v>
          </cell>
          <cell r="B1013" t="str">
            <v>9001-2211-DS-0022-01-WM</v>
          </cell>
          <cell r="C1013">
            <v>243</v>
          </cell>
          <cell r="D1013" t="str">
            <v>X21</v>
          </cell>
          <cell r="L1013" t="str">
            <v>ST-22</v>
          </cell>
          <cell r="Y1013" t="str">
            <v>NOT YET FITUP</v>
          </cell>
        </row>
        <row r="1014">
          <cell r="A1014" t="str">
            <v>9001-2211-DS-0022-01-WM244</v>
          </cell>
          <cell r="B1014" t="str">
            <v>9001-2211-DS-0022-01-WM</v>
          </cell>
          <cell r="C1014">
            <v>244</v>
          </cell>
          <cell r="D1014" t="str">
            <v>X13</v>
          </cell>
          <cell r="E1014" t="str">
            <v>SV</v>
          </cell>
          <cell r="F1014" t="str">
            <v>10%MT&amp;UT</v>
          </cell>
          <cell r="G1014" t="str">
            <v>L</v>
          </cell>
          <cell r="H1014">
            <v>412</v>
          </cell>
          <cell r="I1014">
            <v>12</v>
          </cell>
          <cell r="K1014" t="str">
            <v>WPS-TNHA-S06</v>
          </cell>
          <cell r="L1014" t="str">
            <v>ST-22</v>
          </cell>
          <cell r="M1014" t="str">
            <v>BÁCH</v>
          </cell>
          <cell r="N1014">
            <v>45984</v>
          </cell>
          <cell r="O1014" t="str">
            <v>F-100</v>
          </cell>
          <cell r="P1014" t="str">
            <v>18h 25/11/2025</v>
          </cell>
          <cell r="Q1014" t="str">
            <v>DHN-SL-43</v>
          </cell>
          <cell r="R1014" t="str">
            <v>BÁCH</v>
          </cell>
          <cell r="S1014">
            <v>45997</v>
          </cell>
          <cell r="T1014" t="str">
            <v>V-119(VS)</v>
          </cell>
          <cell r="Y1014" t="str">
            <v>FINISH</v>
          </cell>
          <cell r="Z1014" t="str">
            <v>ACC</v>
          </cell>
        </row>
        <row r="1015">
          <cell r="A1015" t="str">
            <v>9001-2211-DS-0022-01-WM245</v>
          </cell>
          <cell r="B1015" t="str">
            <v>9001-2211-DS-0022-01-WM</v>
          </cell>
          <cell r="C1015">
            <v>245</v>
          </cell>
          <cell r="D1015" t="str">
            <v>X14</v>
          </cell>
          <cell r="E1015" t="str">
            <v>SB</v>
          </cell>
          <cell r="F1015" t="str">
            <v>10%MT&amp;UT</v>
          </cell>
          <cell r="G1015" t="str">
            <v>D</v>
          </cell>
          <cell r="H1015">
            <v>2712.96</v>
          </cell>
          <cell r="I1015">
            <v>12</v>
          </cell>
          <cell r="K1015" t="str">
            <v>WPS-TNHA-S06</v>
          </cell>
          <cell r="L1015" t="str">
            <v>ST-22</v>
          </cell>
          <cell r="M1015" t="str">
            <v>BÁCH</v>
          </cell>
          <cell r="N1015">
            <v>45984</v>
          </cell>
          <cell r="O1015" t="str">
            <v>F-100</v>
          </cell>
          <cell r="P1015" t="str">
            <v>18h 25/11/2025</v>
          </cell>
          <cell r="Q1015" t="str">
            <v>DHN-SL-43</v>
          </cell>
          <cell r="R1015" t="str">
            <v>BÁCH</v>
          </cell>
          <cell r="S1015">
            <v>45997</v>
          </cell>
          <cell r="T1015" t="str">
            <v>V-119</v>
          </cell>
          <cell r="Y1015" t="str">
            <v>FINISH</v>
          </cell>
          <cell r="Z1015" t="str">
            <v>ACC</v>
          </cell>
          <cell r="AA1015" t="str">
            <v>ACC</v>
          </cell>
          <cell r="AB1015" t="str">
            <v>MT-2211-ST-22-0035</v>
          </cell>
          <cell r="AC1015" t="str">
            <v>ACC</v>
          </cell>
          <cell r="AD1015" t="str">
            <v>UT-2211-ST-22-0063</v>
          </cell>
          <cell r="AP1015" t="str">
            <v>10/12/2025</v>
          </cell>
        </row>
        <row r="1016">
          <cell r="A1016" t="str">
            <v>9001-2211-DS-0022-01-WM246</v>
          </cell>
          <cell r="B1016" t="str">
            <v>9001-2211-DS-0022-01-WM</v>
          </cell>
          <cell r="C1016">
            <v>246</v>
          </cell>
          <cell r="D1016" t="str">
            <v>X15</v>
          </cell>
          <cell r="L1016" t="str">
            <v>ST-22</v>
          </cell>
          <cell r="Y1016" t="str">
            <v>NOT YET FITUP</v>
          </cell>
        </row>
        <row r="1017">
          <cell r="A1017" t="str">
            <v>9001-2211-DS-0022-01-WM247</v>
          </cell>
          <cell r="B1017" t="str">
            <v>9001-2211-DS-0022-01-WM</v>
          </cell>
          <cell r="C1017">
            <v>247</v>
          </cell>
          <cell r="D1017" t="str">
            <v>X16</v>
          </cell>
          <cell r="E1017" t="str">
            <v>SV</v>
          </cell>
          <cell r="F1017" t="str">
            <v>10%MT&amp;UT</v>
          </cell>
          <cell r="G1017" t="str">
            <v>L</v>
          </cell>
          <cell r="H1017">
            <v>412</v>
          </cell>
          <cell r="I1017">
            <v>12</v>
          </cell>
          <cell r="K1017" t="str">
            <v>WPS-TNHA-S06</v>
          </cell>
          <cell r="L1017" t="str">
            <v>ST-22</v>
          </cell>
          <cell r="M1017" t="str">
            <v>BÁCH</v>
          </cell>
          <cell r="N1017">
            <v>45984</v>
          </cell>
          <cell r="O1017" t="str">
            <v>F-100</v>
          </cell>
          <cell r="P1017" t="str">
            <v>29/11/2025</v>
          </cell>
          <cell r="Q1017" t="str">
            <v>PD-33</v>
          </cell>
          <cell r="R1017" t="str">
            <v>BÁCH</v>
          </cell>
          <cell r="S1017">
            <v>45994</v>
          </cell>
          <cell r="T1017" t="str">
            <v>V-110(VS)</v>
          </cell>
          <cell r="Y1017" t="str">
            <v>FINISH</v>
          </cell>
          <cell r="Z1017" t="str">
            <v>ACC</v>
          </cell>
        </row>
        <row r="1018">
          <cell r="A1018" t="str">
            <v>9001-2211-DS-0022-01-WM248</v>
          </cell>
          <cell r="B1018" t="str">
            <v>9001-2211-DS-0022-01-WM</v>
          </cell>
          <cell r="C1018">
            <v>248</v>
          </cell>
          <cell r="D1018" t="str">
            <v>X17</v>
          </cell>
          <cell r="E1018" t="str">
            <v>SB</v>
          </cell>
          <cell r="F1018" t="str">
            <v>10%MT&amp;UT</v>
          </cell>
          <cell r="G1018" t="str">
            <v>D</v>
          </cell>
          <cell r="H1018">
            <v>2712.96</v>
          </cell>
          <cell r="I1018">
            <v>12</v>
          </cell>
          <cell r="K1018" t="str">
            <v>WPS-TNHA-S06</v>
          </cell>
          <cell r="L1018" t="str">
            <v>ST-22</v>
          </cell>
          <cell r="M1018" t="str">
            <v>BÁCH</v>
          </cell>
          <cell r="N1018">
            <v>45984</v>
          </cell>
          <cell r="O1018" t="str">
            <v>F-100</v>
          </cell>
          <cell r="P1018" t="str">
            <v>30/11/2025</v>
          </cell>
          <cell r="Q1018" t="str">
            <v>PD-33</v>
          </cell>
          <cell r="R1018" t="str">
            <v>BÁCH</v>
          </cell>
          <cell r="S1018">
            <v>45994</v>
          </cell>
          <cell r="T1018" t="str">
            <v>V-110</v>
          </cell>
          <cell r="Y1018" t="str">
            <v>FINISH</v>
          </cell>
          <cell r="Z1018" t="str">
            <v>ACC</v>
          </cell>
          <cell r="AA1018" t="str">
            <v>ACC</v>
          </cell>
          <cell r="AB1018" t="str">
            <v>MT-2211-ST-22-0031</v>
          </cell>
          <cell r="AC1018" t="str">
            <v>ACC</v>
          </cell>
          <cell r="AD1018" t="str">
            <v>UT-2211-ST-22-0056</v>
          </cell>
          <cell r="AP1018" t="str">
            <v>10/12/2025</v>
          </cell>
        </row>
        <row r="1019">
          <cell r="A1019" t="str">
            <v>9001-2211-DS-0022-01-WM249</v>
          </cell>
          <cell r="B1019" t="str">
            <v>9001-2211-DS-0022-01-WM</v>
          </cell>
          <cell r="C1019">
            <v>249</v>
          </cell>
          <cell r="D1019" t="str">
            <v>X18</v>
          </cell>
          <cell r="L1019" t="str">
            <v>ST-22</v>
          </cell>
          <cell r="Y1019" t="str">
            <v>NOT YET FITUP</v>
          </cell>
        </row>
        <row r="1020">
          <cell r="A1020" t="str">
            <v>9001-2211-DS-0022-01-WM250</v>
          </cell>
          <cell r="B1020" t="str">
            <v>9001-2211-DS-0022-01-WM</v>
          </cell>
          <cell r="C1020">
            <v>250</v>
          </cell>
          <cell r="D1020" t="str">
            <v>X19</v>
          </cell>
          <cell r="E1020" t="str">
            <v>SV</v>
          </cell>
          <cell r="F1020" t="str">
            <v>10%MT&amp;UT</v>
          </cell>
          <cell r="G1020" t="str">
            <v>L</v>
          </cell>
          <cell r="H1020">
            <v>412</v>
          </cell>
          <cell r="I1020">
            <v>12</v>
          </cell>
          <cell r="K1020" t="str">
            <v>WPS-TNHA-S06</v>
          </cell>
          <cell r="L1020" t="str">
            <v>ST-22</v>
          </cell>
          <cell r="M1020" t="str">
            <v>BÁCH</v>
          </cell>
          <cell r="N1020">
            <v>45984</v>
          </cell>
          <cell r="O1020" t="str">
            <v>F-099</v>
          </cell>
          <cell r="P1020" t="str">
            <v>30/11/2025</v>
          </cell>
          <cell r="Q1020" t="str">
            <v>PD-06</v>
          </cell>
          <cell r="R1020" t="str">
            <v>BÁCH</v>
          </cell>
          <cell r="S1020">
            <v>45994</v>
          </cell>
          <cell r="T1020" t="str">
            <v>V-110(VS)</v>
          </cell>
          <cell r="Y1020" t="str">
            <v>FINISH</v>
          </cell>
          <cell r="Z1020" t="str">
            <v>ACC</v>
          </cell>
        </row>
        <row r="1021">
          <cell r="A1021" t="str">
            <v>9001-2211-DS-0022-01-WM251</v>
          </cell>
          <cell r="B1021" t="str">
            <v>9001-2211-DS-0022-01-WM</v>
          </cell>
          <cell r="C1021">
            <v>251</v>
          </cell>
          <cell r="D1021" t="str">
            <v>X20</v>
          </cell>
          <cell r="E1021" t="str">
            <v>SB</v>
          </cell>
          <cell r="F1021" t="str">
            <v>10%MT&amp;UT</v>
          </cell>
          <cell r="G1021" t="str">
            <v>D</v>
          </cell>
          <cell r="H1021">
            <v>2712.96</v>
          </cell>
          <cell r="I1021">
            <v>12</v>
          </cell>
          <cell r="K1021" t="str">
            <v>WPS-TNHA-S06</v>
          </cell>
          <cell r="L1021" t="str">
            <v>ST-22</v>
          </cell>
          <cell r="M1021" t="str">
            <v>BÁCH</v>
          </cell>
          <cell r="N1021">
            <v>45984</v>
          </cell>
          <cell r="O1021" t="str">
            <v>F-099</v>
          </cell>
          <cell r="P1021" t="str">
            <v>30/11/2025</v>
          </cell>
          <cell r="Q1021" t="str">
            <v>PD-06;PD-20</v>
          </cell>
          <cell r="R1021" t="str">
            <v>BÁCH</v>
          </cell>
          <cell r="S1021">
            <v>45994</v>
          </cell>
          <cell r="T1021" t="str">
            <v>V-110</v>
          </cell>
          <cell r="Y1021" t="str">
            <v>FINISH</v>
          </cell>
          <cell r="Z1021" t="str">
            <v>ACC</v>
          </cell>
          <cell r="AA1021" t="str">
            <v>ACC</v>
          </cell>
          <cell r="AB1021" t="str">
            <v>MT-2211-ST-22-0031</v>
          </cell>
          <cell r="AC1021" t="str">
            <v>ACC</v>
          </cell>
          <cell r="AD1021" t="str">
            <v>UT-2211-ST-22-0056</v>
          </cell>
          <cell r="AP1021" t="str">
            <v>10/12/2025</v>
          </cell>
        </row>
        <row r="1022">
          <cell r="A1022" t="str">
            <v>9001-2211-DS-0022-01-WM252</v>
          </cell>
          <cell r="B1022" t="str">
            <v>9001-2211-DS-0022-01-WM</v>
          </cell>
          <cell r="C1022">
            <v>252</v>
          </cell>
          <cell r="D1022" t="str">
            <v>X21</v>
          </cell>
          <cell r="L1022" t="str">
            <v>ST-22</v>
          </cell>
          <cell r="Y1022" t="str">
            <v>NOT YET FITUP</v>
          </cell>
        </row>
        <row r="1023">
          <cell r="A1023" t="str">
            <v>9001-2211-DS-0017-01-WM1</v>
          </cell>
          <cell r="B1023" t="str">
            <v>9001-2211-DS-0017-01-WM</v>
          </cell>
          <cell r="C1023">
            <v>1</v>
          </cell>
          <cell r="E1023" t="str">
            <v>SV</v>
          </cell>
          <cell r="F1023" t="str">
            <v>100%MT&amp;UT</v>
          </cell>
          <cell r="G1023" t="str">
            <v>D</v>
          </cell>
          <cell r="H1023">
            <v>2869.96</v>
          </cell>
          <cell r="I1023" t="str">
            <v>25/35</v>
          </cell>
          <cell r="K1023" t="str">
            <v>WPS-TNHA-S06</v>
          </cell>
          <cell r="L1023" t="str">
            <v>ST-09</v>
          </cell>
          <cell r="M1023" t="str">
            <v>THÁI</v>
          </cell>
          <cell r="N1023">
            <v>45966</v>
          </cell>
          <cell r="O1023" t="str">
            <v>F-076</v>
          </cell>
          <cell r="P1023" t="str">
            <v>7/11/2025</v>
          </cell>
          <cell r="Q1023" t="str">
            <v>BGT0019;GTC-10;ND-01;BGT-0024</v>
          </cell>
          <cell r="R1023" t="str">
            <v>THÁI</v>
          </cell>
          <cell r="S1023">
            <v>45972</v>
          </cell>
          <cell r="T1023" t="str">
            <v>V-067</v>
          </cell>
          <cell r="Y1023" t="str">
            <v>FINISH</v>
          </cell>
          <cell r="Z1023" t="str">
            <v>ACC</v>
          </cell>
          <cell r="AA1023" t="str">
            <v>ACC</v>
          </cell>
          <cell r="AB1023" t="str">
            <v>MT-2211-ST-09-0001</v>
          </cell>
          <cell r="AC1023" t="str">
            <v>ACC</v>
          </cell>
          <cell r="AD1023" t="str">
            <v>UT-2211-ST-09-0001</v>
          </cell>
          <cell r="AP1023" t="str">
            <v>12/11/2025</v>
          </cell>
        </row>
        <row r="1024">
          <cell r="A1024" t="str">
            <v>9001-2211-DS-0017-01-WM2</v>
          </cell>
          <cell r="B1024" t="str">
            <v>9001-2211-DS-0017-01-WM</v>
          </cell>
          <cell r="C1024">
            <v>2</v>
          </cell>
          <cell r="E1024" t="str">
            <v>SV</v>
          </cell>
          <cell r="F1024" t="str">
            <v>100%MT&amp;UT</v>
          </cell>
          <cell r="G1024" t="str">
            <v>D</v>
          </cell>
          <cell r="H1024">
            <v>2869.96</v>
          </cell>
          <cell r="I1024" t="str">
            <v>25/35</v>
          </cell>
          <cell r="K1024" t="str">
            <v>WPS-TNHA-S06</v>
          </cell>
          <cell r="L1024" t="str">
            <v>ST-09</v>
          </cell>
          <cell r="M1024" t="str">
            <v>THÁI</v>
          </cell>
          <cell r="N1024">
            <v>45966</v>
          </cell>
          <cell r="O1024" t="str">
            <v>F-076</v>
          </cell>
          <cell r="P1024" t="str">
            <v>7/11/2025</v>
          </cell>
          <cell r="Q1024" t="str">
            <v>BGT0019;GTC-10;ND-01;BGT-0024</v>
          </cell>
          <cell r="R1024" t="str">
            <v>THÁI</v>
          </cell>
          <cell r="S1024">
            <v>45972</v>
          </cell>
          <cell r="T1024" t="str">
            <v>V-067</v>
          </cell>
          <cell r="Y1024" t="str">
            <v>FINISH</v>
          </cell>
          <cell r="Z1024" t="str">
            <v>ACC</v>
          </cell>
          <cell r="AA1024" t="str">
            <v>ACC</v>
          </cell>
          <cell r="AB1024" t="str">
            <v>MT-2211-ST-09-0001</v>
          </cell>
          <cell r="AC1024" t="str">
            <v>ACC</v>
          </cell>
          <cell r="AD1024" t="str">
            <v>UT-2211-ST-09-0001</v>
          </cell>
          <cell r="AP1024" t="str">
            <v>12/11/2025</v>
          </cell>
        </row>
        <row r="1025">
          <cell r="A1025" t="str">
            <v>9001-2211-DS-0017-01-WM3</v>
          </cell>
          <cell r="B1025" t="str">
            <v>9001-2211-DS-0017-01-WM</v>
          </cell>
          <cell r="C1025">
            <v>3</v>
          </cell>
          <cell r="E1025" t="str">
            <v>SV</v>
          </cell>
          <cell r="F1025" t="str">
            <v>100%MT&amp;UT</v>
          </cell>
          <cell r="G1025" t="str">
            <v>D</v>
          </cell>
          <cell r="H1025">
            <v>2869.96</v>
          </cell>
          <cell r="I1025" t="str">
            <v>25/35</v>
          </cell>
          <cell r="K1025" t="str">
            <v>WPS-TNHA-S06</v>
          </cell>
          <cell r="L1025" t="str">
            <v>ST-09</v>
          </cell>
          <cell r="M1025" t="str">
            <v>THÁI</v>
          </cell>
          <cell r="N1025">
            <v>45966</v>
          </cell>
          <cell r="O1025" t="str">
            <v>F-076</v>
          </cell>
          <cell r="P1025" t="str">
            <v>7/11/2025</v>
          </cell>
          <cell r="Q1025" t="str">
            <v>BGT0019;GTC-10;ND-01;BGT-0024</v>
          </cell>
          <cell r="R1025" t="str">
            <v>THÁI</v>
          </cell>
          <cell r="S1025">
            <v>45972</v>
          </cell>
          <cell r="T1025" t="str">
            <v>V-067</v>
          </cell>
          <cell r="Y1025" t="str">
            <v>FINISH</v>
          </cell>
          <cell r="Z1025" t="str">
            <v>ACC</v>
          </cell>
          <cell r="AA1025" t="str">
            <v>ACC</v>
          </cell>
          <cell r="AB1025" t="str">
            <v>MT-2211-ST-09-0001</v>
          </cell>
          <cell r="AC1025" t="str">
            <v>ACC</v>
          </cell>
          <cell r="AD1025" t="str">
            <v>UT-2211-ST-09-0001</v>
          </cell>
          <cell r="AP1025" t="str">
            <v>12/11/2025</v>
          </cell>
        </row>
        <row r="1026">
          <cell r="A1026" t="str">
            <v>9001-2211-DS-0017-01-WM4</v>
          </cell>
          <cell r="B1026" t="str">
            <v>9001-2211-DS-0017-01-WM</v>
          </cell>
          <cell r="C1026">
            <v>4</v>
          </cell>
          <cell r="E1026" t="str">
            <v>SV</v>
          </cell>
          <cell r="F1026" t="str">
            <v>100%MT&amp;UT</v>
          </cell>
          <cell r="G1026" t="str">
            <v>D</v>
          </cell>
          <cell r="H1026">
            <v>2869.96</v>
          </cell>
          <cell r="I1026" t="str">
            <v>25/35</v>
          </cell>
          <cell r="K1026" t="str">
            <v>WPS-TNHA-S06</v>
          </cell>
          <cell r="L1026" t="str">
            <v>ST-09</v>
          </cell>
          <cell r="M1026" t="str">
            <v>THÁI</v>
          </cell>
          <cell r="N1026">
            <v>45966</v>
          </cell>
          <cell r="O1026" t="str">
            <v>F-076</v>
          </cell>
          <cell r="P1026" t="str">
            <v>6/11/2025</v>
          </cell>
          <cell r="Q1026" t="str">
            <v>BGT0017;BGT-0032</v>
          </cell>
          <cell r="R1026" t="str">
            <v>TUÂN</v>
          </cell>
          <cell r="S1026">
            <v>45974</v>
          </cell>
          <cell r="T1026" t="str">
            <v>V-070</v>
          </cell>
          <cell r="Y1026" t="str">
            <v>FINISH</v>
          </cell>
          <cell r="Z1026" t="str">
            <v>ACC</v>
          </cell>
          <cell r="AA1026" t="str">
            <v>ACC</v>
          </cell>
          <cell r="AB1026" t="str">
            <v>MT-2211-ST-09-0002</v>
          </cell>
          <cell r="AC1026" t="str">
            <v>ACC</v>
          </cell>
          <cell r="AD1026" t="str">
            <v>UT-2211-ST-09-0002</v>
          </cell>
          <cell r="AP1026" t="str">
            <v>19/11/2025</v>
          </cell>
        </row>
        <row r="1027">
          <cell r="A1027" t="str">
            <v>9001-2211-DS-0017-01-WM5</v>
          </cell>
          <cell r="B1027" t="str">
            <v>9001-2211-DS-0017-01-WM</v>
          </cell>
          <cell r="C1027">
            <v>5</v>
          </cell>
          <cell r="E1027" t="str">
            <v>SV</v>
          </cell>
          <cell r="F1027" t="str">
            <v>100%MT&amp;UT</v>
          </cell>
          <cell r="G1027" t="str">
            <v>D</v>
          </cell>
          <cell r="H1027">
            <v>2869.96</v>
          </cell>
          <cell r="I1027" t="str">
            <v>25/35</v>
          </cell>
          <cell r="K1027" t="str">
            <v>WPS-TNHA-S06</v>
          </cell>
          <cell r="L1027" t="str">
            <v>ST-09</v>
          </cell>
          <cell r="M1027" t="str">
            <v>THÁI</v>
          </cell>
          <cell r="N1027">
            <v>45966</v>
          </cell>
          <cell r="O1027" t="str">
            <v>F-076</v>
          </cell>
          <cell r="P1027" t="str">
            <v>6/11/2025</v>
          </cell>
          <cell r="Q1027" t="str">
            <v>BGT0017;BGT-0032</v>
          </cell>
          <cell r="R1027" t="str">
            <v>TUÂN</v>
          </cell>
          <cell r="S1027">
            <v>45974</v>
          </cell>
          <cell r="T1027" t="str">
            <v>V-070</v>
          </cell>
          <cell r="Y1027" t="str">
            <v>FINISH</v>
          </cell>
          <cell r="Z1027" t="str">
            <v>ACC</v>
          </cell>
          <cell r="AA1027" t="str">
            <v>ACC</v>
          </cell>
          <cell r="AB1027" t="str">
            <v>MT-2211-ST-09-0002</v>
          </cell>
          <cell r="AC1027" t="str">
            <v>ACC</v>
          </cell>
          <cell r="AD1027" t="str">
            <v>UT-2211-ST-09-0002</v>
          </cell>
          <cell r="AP1027" t="str">
            <v>19/11/2025</v>
          </cell>
        </row>
        <row r="1028">
          <cell r="A1028" t="str">
            <v>9001-2211-DS-0017-01-WM6</v>
          </cell>
          <cell r="B1028" t="str">
            <v>9001-2211-DS-0017-01-WM</v>
          </cell>
          <cell r="C1028">
            <v>6</v>
          </cell>
          <cell r="E1028" t="str">
            <v>SV</v>
          </cell>
          <cell r="F1028" t="str">
            <v>100%MT&amp;UT</v>
          </cell>
          <cell r="G1028" t="str">
            <v>D</v>
          </cell>
          <cell r="H1028">
            <v>2869.96</v>
          </cell>
          <cell r="I1028" t="str">
            <v>25/35</v>
          </cell>
          <cell r="K1028" t="str">
            <v>WPS-TNHA-S06</v>
          </cell>
          <cell r="L1028" t="str">
            <v>ST-09</v>
          </cell>
          <cell r="M1028" t="str">
            <v>THÁI</v>
          </cell>
          <cell r="N1028">
            <v>45966</v>
          </cell>
          <cell r="O1028" t="str">
            <v>F-076</v>
          </cell>
          <cell r="P1028" t="str">
            <v>8/11/2025</v>
          </cell>
          <cell r="Q1028" t="str">
            <v>BGT0017;BGT-0032</v>
          </cell>
          <cell r="R1028" t="str">
            <v>XUÂN</v>
          </cell>
          <cell r="S1028">
            <v>45977</v>
          </cell>
          <cell r="T1028" t="str">
            <v>V-077</v>
          </cell>
          <cell r="Y1028" t="str">
            <v>FINISH</v>
          </cell>
          <cell r="Z1028" t="str">
            <v>ACC</v>
          </cell>
          <cell r="AA1028" t="str">
            <v>ACC</v>
          </cell>
          <cell r="AB1028" t="str">
            <v>MT-2211-ST-09-0003</v>
          </cell>
          <cell r="AC1028" t="str">
            <v>ACC</v>
          </cell>
          <cell r="AD1028" t="str">
            <v>UT-2211-ST-09-0003</v>
          </cell>
          <cell r="AP1028" t="str">
            <v>19/11/2025</v>
          </cell>
        </row>
        <row r="1029">
          <cell r="A1029" t="str">
            <v>9001-2211-DS-0017-01-WM7</v>
          </cell>
          <cell r="B1029" t="str">
            <v>9001-2211-DS-0017-01-WM</v>
          </cell>
          <cell r="C1029">
            <v>7</v>
          </cell>
          <cell r="E1029" t="str">
            <v>SV</v>
          </cell>
          <cell r="F1029" t="str">
            <v>100%MT&amp;UT</v>
          </cell>
          <cell r="G1029" t="str">
            <v>D</v>
          </cell>
          <cell r="H1029">
            <v>2869.96</v>
          </cell>
          <cell r="I1029" t="str">
            <v>25/45</v>
          </cell>
          <cell r="K1029" t="str">
            <v>WPS-TNHA-S06</v>
          </cell>
          <cell r="L1029" t="str">
            <v>ST-09</v>
          </cell>
          <cell r="M1029" t="str">
            <v>BÁCH</v>
          </cell>
          <cell r="N1029">
            <v>45984</v>
          </cell>
          <cell r="O1029" t="str">
            <v>F-100</v>
          </cell>
          <cell r="P1029" t="str">
            <v>20h 24/11/2025</v>
          </cell>
          <cell r="Q1029" t="str">
            <v>PD-05;PD-16</v>
          </cell>
          <cell r="R1029" t="str">
            <v>BÁCH</v>
          </cell>
          <cell r="S1029">
            <v>45999</v>
          </cell>
          <cell r="T1029" t="str">
            <v>V-122</v>
          </cell>
          <cell r="Y1029" t="str">
            <v>FINISH</v>
          </cell>
          <cell r="Z1029" t="str">
            <v>ACC</v>
          </cell>
          <cell r="AA1029" t="str">
            <v>ACC</v>
          </cell>
          <cell r="AB1029" t="str">
            <v>MT-2211-ST-09-0012</v>
          </cell>
          <cell r="AC1029" t="str">
            <v>ACC</v>
          </cell>
          <cell r="AD1029" t="str">
            <v>UT-2211-ST-09-0010</v>
          </cell>
          <cell r="AP1029" t="str">
            <v>10/12/2025</v>
          </cell>
        </row>
        <row r="1030">
          <cell r="A1030" t="str">
            <v>9001-2211-DS-0017-01-WM8</v>
          </cell>
          <cell r="B1030" t="str">
            <v>9001-2211-DS-0017-01-WM</v>
          </cell>
          <cell r="C1030">
            <v>8</v>
          </cell>
          <cell r="E1030" t="str">
            <v>SV</v>
          </cell>
          <cell r="F1030" t="str">
            <v>100%MT&amp;UT</v>
          </cell>
          <cell r="G1030" t="str">
            <v>D</v>
          </cell>
          <cell r="H1030">
            <v>2869.96</v>
          </cell>
          <cell r="I1030" t="str">
            <v>25/45</v>
          </cell>
          <cell r="K1030" t="str">
            <v>WPS-TNHA-S06</v>
          </cell>
          <cell r="L1030" t="str">
            <v>ST-09</v>
          </cell>
          <cell r="Y1030" t="str">
            <v>NOT YET FITUP</v>
          </cell>
        </row>
        <row r="1031">
          <cell r="A1031" t="str">
            <v>9001-2211-DS-0017-01-WM9</v>
          </cell>
          <cell r="B1031" t="str">
            <v>9001-2211-DS-0017-01-WM</v>
          </cell>
          <cell r="C1031">
            <v>9</v>
          </cell>
          <cell r="E1031" t="str">
            <v>SV</v>
          </cell>
          <cell r="F1031" t="str">
            <v>100%MT&amp;UT</v>
          </cell>
          <cell r="G1031" t="str">
            <v>D</v>
          </cell>
          <cell r="H1031">
            <v>2869.96</v>
          </cell>
          <cell r="I1031" t="str">
            <v>25/45</v>
          </cell>
          <cell r="K1031" t="str">
            <v>WPS-TNHA-S06</v>
          </cell>
          <cell r="L1031" t="str">
            <v>ST-09</v>
          </cell>
          <cell r="Y1031" t="str">
            <v>NOT YET FITUP</v>
          </cell>
        </row>
        <row r="1032">
          <cell r="A1032" t="str">
            <v>9001-2211-DS-0017-01-WM10</v>
          </cell>
          <cell r="B1032" t="str">
            <v>9001-2211-DS-0017-01-WM</v>
          </cell>
          <cell r="C1032">
            <v>10</v>
          </cell>
          <cell r="E1032" t="str">
            <v>SV</v>
          </cell>
          <cell r="F1032" t="str">
            <v>100%MT&amp;UT</v>
          </cell>
          <cell r="G1032" t="str">
            <v>D</v>
          </cell>
          <cell r="H1032">
            <v>2869.96</v>
          </cell>
          <cell r="I1032" t="str">
            <v>25/45</v>
          </cell>
          <cell r="K1032" t="str">
            <v>WPS-TNHA-S06</v>
          </cell>
          <cell r="L1032" t="str">
            <v>ST-09</v>
          </cell>
          <cell r="M1032" t="str">
            <v>BÁCH</v>
          </cell>
          <cell r="N1032">
            <v>45984</v>
          </cell>
          <cell r="O1032" t="str">
            <v>F-100</v>
          </cell>
          <cell r="P1032" t="str">
            <v>14h 25/11/2025</v>
          </cell>
          <cell r="Q1032" t="str">
            <v>DHN-SL-07;DHN-SL-19</v>
          </cell>
          <cell r="R1032" t="str">
            <v>XUÂN</v>
          </cell>
          <cell r="S1032">
            <v>45989</v>
          </cell>
          <cell r="T1032" t="str">
            <v>V-098</v>
          </cell>
          <cell r="Y1032" t="str">
            <v>FINISH</v>
          </cell>
          <cell r="Z1032" t="str">
            <v>ACC</v>
          </cell>
          <cell r="AA1032" t="str">
            <v>ACC</v>
          </cell>
          <cell r="AB1032" t="str">
            <v>MT-2211-ST-09-0008</v>
          </cell>
          <cell r="AC1032" t="str">
            <v>ACC</v>
          </cell>
          <cell r="AD1032" t="str">
            <v>UT-2211-ST-09-0008</v>
          </cell>
          <cell r="AP1032" t="str">
            <v>2/12/2025</v>
          </cell>
        </row>
        <row r="1033">
          <cell r="A1033" t="str">
            <v>9001-2211-DS-0017-01-WM11</v>
          </cell>
          <cell r="B1033" t="str">
            <v>9001-2211-DS-0017-01-WM</v>
          </cell>
          <cell r="C1033">
            <v>11</v>
          </cell>
          <cell r="E1033" t="str">
            <v>SV</v>
          </cell>
          <cell r="F1033" t="str">
            <v>100%MT&amp;UT</v>
          </cell>
          <cell r="G1033" t="str">
            <v>D</v>
          </cell>
          <cell r="H1033">
            <v>2869.96</v>
          </cell>
          <cell r="I1033" t="str">
            <v>25/35</v>
          </cell>
          <cell r="K1033" t="str">
            <v>WPS-TNHA-S06</v>
          </cell>
          <cell r="L1033" t="str">
            <v>ST-09</v>
          </cell>
          <cell r="M1033" t="str">
            <v>XUÂN</v>
          </cell>
          <cell r="N1033">
            <v>45972</v>
          </cell>
          <cell r="O1033" t="str">
            <v>F-081</v>
          </cell>
          <cell r="P1033" t="str">
            <v>17/11/2025</v>
          </cell>
          <cell r="Q1033" t="str">
            <v>BGT-0030;GTC-10;BGT0019</v>
          </cell>
          <cell r="R1033" t="str">
            <v>BÁCH</v>
          </cell>
          <cell r="S1033">
            <v>45983</v>
          </cell>
          <cell r="T1033" t="str">
            <v>V-087</v>
          </cell>
          <cell r="Y1033" t="str">
            <v>FINISH</v>
          </cell>
          <cell r="Z1033" t="str">
            <v>ACC</v>
          </cell>
          <cell r="AA1033" t="str">
            <v>ACC</v>
          </cell>
          <cell r="AB1033" t="str">
            <v>MT-2211-ST-09-0005</v>
          </cell>
          <cell r="AC1033" t="str">
            <v>ACC</v>
          </cell>
          <cell r="AD1033" t="str">
            <v>UT-2211-ST-09-0005</v>
          </cell>
          <cell r="AP1033" t="str">
            <v>26/11/2025</v>
          </cell>
        </row>
        <row r="1034">
          <cell r="A1034" t="str">
            <v>9001-2211-DS-0017-01-WM12</v>
          </cell>
          <cell r="B1034" t="str">
            <v>9001-2211-DS-0017-01-WM</v>
          </cell>
          <cell r="C1034">
            <v>12</v>
          </cell>
          <cell r="E1034" t="str">
            <v>SV</v>
          </cell>
          <cell r="F1034" t="str">
            <v>100%MT&amp;UT</v>
          </cell>
          <cell r="G1034" t="str">
            <v>D</v>
          </cell>
          <cell r="H1034">
            <v>2869.96</v>
          </cell>
          <cell r="I1034" t="str">
            <v>25/35</v>
          </cell>
          <cell r="K1034" t="str">
            <v>WPS-TNHA-S06</v>
          </cell>
          <cell r="L1034" t="str">
            <v>ST-09</v>
          </cell>
          <cell r="M1034" t="str">
            <v>XUÂN</v>
          </cell>
          <cell r="N1034">
            <v>45972</v>
          </cell>
          <cell r="O1034" t="str">
            <v>F-081</v>
          </cell>
          <cell r="P1034" t="str">
            <v>16/11/2025</v>
          </cell>
          <cell r="Q1034" t="str">
            <v>BGT-0032;BGT-0006</v>
          </cell>
          <cell r="R1034" t="str">
            <v>BÁCH</v>
          </cell>
          <cell r="S1034">
            <v>45983</v>
          </cell>
          <cell r="T1034" t="str">
            <v>V-087</v>
          </cell>
          <cell r="Y1034" t="str">
            <v>FINISH</v>
          </cell>
          <cell r="Z1034" t="str">
            <v>ACC</v>
          </cell>
          <cell r="AA1034" t="str">
            <v>ACC</v>
          </cell>
          <cell r="AB1034" t="str">
            <v>MT-2211-ST-09-0005</v>
          </cell>
          <cell r="AC1034" t="str">
            <v>ACC</v>
          </cell>
          <cell r="AD1034" t="str">
            <v>UT-2211-ST-09-0005</v>
          </cell>
          <cell r="AP1034" t="str">
            <v>26/11/2025</v>
          </cell>
        </row>
        <row r="1035">
          <cell r="A1035" t="str">
            <v>9001-2211-DS-0017-01-WM13</v>
          </cell>
          <cell r="B1035" t="str">
            <v>9001-2211-DS-0017-01-WM</v>
          </cell>
          <cell r="C1035">
            <v>13</v>
          </cell>
          <cell r="E1035" t="str">
            <v>SV</v>
          </cell>
          <cell r="F1035" t="str">
            <v>100%MT&amp;UT</v>
          </cell>
          <cell r="G1035" t="str">
            <v>D</v>
          </cell>
          <cell r="H1035">
            <v>2869.96</v>
          </cell>
          <cell r="I1035" t="str">
            <v>25/35</v>
          </cell>
          <cell r="K1035" t="str">
            <v>WPS-TNHA-S06</v>
          </cell>
          <cell r="L1035" t="str">
            <v>ST-09</v>
          </cell>
          <cell r="M1035" t="str">
            <v>XUÂN</v>
          </cell>
          <cell r="N1035">
            <v>45972</v>
          </cell>
          <cell r="O1035" t="str">
            <v>F-081</v>
          </cell>
          <cell r="P1035" t="str">
            <v>16/11/2025</v>
          </cell>
          <cell r="Q1035" t="str">
            <v>BGT-0030;BGT-0008;BGT0019</v>
          </cell>
          <cell r="R1035" t="str">
            <v>BÁCH</v>
          </cell>
          <cell r="S1035">
            <v>45983</v>
          </cell>
          <cell r="T1035" t="str">
            <v>V-087</v>
          </cell>
          <cell r="Y1035" t="str">
            <v>FINISH</v>
          </cell>
          <cell r="Z1035" t="str">
            <v>ACC</v>
          </cell>
          <cell r="AA1035" t="str">
            <v>ACC</v>
          </cell>
          <cell r="AB1035" t="str">
            <v>MT-2211-ST-09-0005</v>
          </cell>
          <cell r="AC1035" t="str">
            <v>ACC</v>
          </cell>
          <cell r="AD1035" t="str">
            <v>UT-2211-ST-09-0006</v>
          </cell>
          <cell r="AP1035" t="str">
            <v>26/11/2025</v>
          </cell>
        </row>
        <row r="1036">
          <cell r="A1036" t="str">
            <v>9001-2211-DS-0017-01-WM14</v>
          </cell>
          <cell r="B1036" t="str">
            <v>9001-2211-DS-0017-01-WM</v>
          </cell>
          <cell r="C1036">
            <v>14</v>
          </cell>
          <cell r="E1036" t="str">
            <v>SV</v>
          </cell>
          <cell r="F1036" t="str">
            <v>100%MT&amp;UT</v>
          </cell>
          <cell r="G1036" t="str">
            <v>D</v>
          </cell>
          <cell r="H1036">
            <v>2869.96</v>
          </cell>
          <cell r="I1036" t="str">
            <v>25/35</v>
          </cell>
          <cell r="K1036" t="str">
            <v>WPS-TNHA-S06</v>
          </cell>
          <cell r="L1036" t="str">
            <v>ST-09</v>
          </cell>
          <cell r="M1036" t="str">
            <v>XUÂN</v>
          </cell>
          <cell r="N1036">
            <v>45972</v>
          </cell>
          <cell r="O1036" t="str">
            <v>F-081</v>
          </cell>
          <cell r="P1036" t="str">
            <v>13/11/2025</v>
          </cell>
          <cell r="Q1036" t="str">
            <v>ND-01;BGT-0008</v>
          </cell>
          <cell r="R1036" t="str">
            <v>THÁI</v>
          </cell>
          <cell r="S1036">
            <v>45982</v>
          </cell>
          <cell r="T1036" t="str">
            <v>V-086</v>
          </cell>
          <cell r="Y1036" t="str">
            <v>FINISH</v>
          </cell>
          <cell r="Z1036" t="str">
            <v>ACC</v>
          </cell>
          <cell r="AA1036" t="str">
            <v>ACC</v>
          </cell>
          <cell r="AB1036" t="str">
            <v>MT-2211-ST-09-0004</v>
          </cell>
          <cell r="AC1036" t="str">
            <v>ACC</v>
          </cell>
          <cell r="AD1036" t="str">
            <v>UT-2211-ST-09-0004</v>
          </cell>
          <cell r="AP1036" t="str">
            <v>26/11/2025</v>
          </cell>
        </row>
        <row r="1037">
          <cell r="A1037" t="str">
            <v>9001-2211-DS-0017-01-WM15</v>
          </cell>
          <cell r="B1037" t="str">
            <v>9001-2211-DS-0017-01-WM</v>
          </cell>
          <cell r="C1037">
            <v>15</v>
          </cell>
          <cell r="E1037" t="str">
            <v>SV</v>
          </cell>
          <cell r="F1037" t="str">
            <v>100%MT&amp;UT</v>
          </cell>
          <cell r="G1037" t="str">
            <v>D</v>
          </cell>
          <cell r="H1037">
            <v>2869.96</v>
          </cell>
          <cell r="I1037" t="str">
            <v>25/35</v>
          </cell>
          <cell r="K1037" t="str">
            <v>WPS-TNHA-S06</v>
          </cell>
          <cell r="L1037" t="str">
            <v>ST-09</v>
          </cell>
          <cell r="M1037" t="str">
            <v>XUÂN</v>
          </cell>
          <cell r="N1037">
            <v>45972</v>
          </cell>
          <cell r="O1037" t="str">
            <v>F-081</v>
          </cell>
          <cell r="P1037" t="str">
            <v>13/11/2025</v>
          </cell>
          <cell r="Q1037" t="str">
            <v>BGT-0032;BGT-0008</v>
          </cell>
          <cell r="R1037" t="str">
            <v>THÁI</v>
          </cell>
          <cell r="S1037">
            <v>45982</v>
          </cell>
          <cell r="T1037" t="str">
            <v>V-086</v>
          </cell>
          <cell r="Y1037" t="str">
            <v>FINISH</v>
          </cell>
          <cell r="Z1037" t="str">
            <v>ACC</v>
          </cell>
          <cell r="AA1037" t="str">
            <v>ACC</v>
          </cell>
          <cell r="AB1037" t="str">
            <v>MT-2211-ST-09-0004</v>
          </cell>
          <cell r="AC1037" t="str">
            <v>ACC</v>
          </cell>
          <cell r="AD1037" t="str">
            <v>UT-2211-ST-09-0004</v>
          </cell>
          <cell r="AP1037" t="str">
            <v>26/11/2025</v>
          </cell>
        </row>
        <row r="1038">
          <cell r="A1038" t="str">
            <v>9001-2211-DS-0017-01-WM16</v>
          </cell>
          <cell r="B1038" t="str">
            <v>9001-2211-DS-0017-01-WM</v>
          </cell>
          <cell r="C1038">
            <v>16</v>
          </cell>
          <cell r="E1038" t="str">
            <v>SV</v>
          </cell>
          <cell r="F1038" t="str">
            <v>100%MT&amp;UT</v>
          </cell>
          <cell r="G1038" t="str">
            <v>D</v>
          </cell>
          <cell r="H1038">
            <v>2869.96</v>
          </cell>
          <cell r="I1038" t="str">
            <v>25/35</v>
          </cell>
          <cell r="K1038" t="str">
            <v>WPS-TNHA-S06</v>
          </cell>
          <cell r="L1038" t="str">
            <v>ST-09</v>
          </cell>
          <cell r="M1038" t="str">
            <v>XUÂN</v>
          </cell>
          <cell r="N1038">
            <v>45972</v>
          </cell>
          <cell r="O1038" t="str">
            <v>F-081</v>
          </cell>
          <cell r="P1038" t="str">
            <v>13/11/2025</v>
          </cell>
          <cell r="Q1038" t="str">
            <v>ND-01;BGT0019</v>
          </cell>
          <cell r="R1038" t="str">
            <v>THÁI</v>
          </cell>
          <cell r="S1038">
            <v>45982</v>
          </cell>
          <cell r="T1038" t="str">
            <v>V-086</v>
          </cell>
          <cell r="Y1038" t="str">
            <v>FINISH</v>
          </cell>
          <cell r="Z1038" t="str">
            <v>ACC</v>
          </cell>
          <cell r="AA1038" t="str">
            <v>ACC</v>
          </cell>
          <cell r="AB1038" t="str">
            <v>MT-2211-ST-09-0004</v>
          </cell>
          <cell r="AC1038" t="str">
            <v>ACC</v>
          </cell>
          <cell r="AD1038" t="str">
            <v>UT-2211-ST-09-0004</v>
          </cell>
          <cell r="AP1038" t="str">
            <v>26/11/2025</v>
          </cell>
        </row>
        <row r="1039">
          <cell r="A1039" t="str">
            <v>9001-2211-DS-0017-01-WM17</v>
          </cell>
          <cell r="B1039" t="str">
            <v>9001-2211-DS-0017-01-WM</v>
          </cell>
          <cell r="C1039">
            <v>17</v>
          </cell>
          <cell r="E1039" t="str">
            <v>SV</v>
          </cell>
          <cell r="F1039" t="str">
            <v>100%MT &amp; UT</v>
          </cell>
          <cell r="G1039" t="str">
            <v>D</v>
          </cell>
          <cell r="H1039">
            <v>2869.96</v>
          </cell>
          <cell r="I1039" t="str">
            <v>25/45</v>
          </cell>
          <cell r="K1039" t="str">
            <v>WPS-TNHA-S06</v>
          </cell>
          <cell r="L1039" t="str">
            <v>ST-09</v>
          </cell>
          <cell r="M1039" t="str">
            <v>BÁCH</v>
          </cell>
          <cell r="N1039">
            <v>45983</v>
          </cell>
          <cell r="O1039" t="str">
            <v>F-098</v>
          </cell>
          <cell r="P1039" t="str">
            <v>21h30 22/11/2025</v>
          </cell>
          <cell r="Q1039" t="str">
            <v>DHN-SL-15;DHN-SL-29</v>
          </cell>
          <cell r="R1039" t="str">
            <v>XUÂN</v>
          </cell>
          <cell r="S1039">
            <v>45986</v>
          </cell>
          <cell r="T1039" t="str">
            <v>V-092</v>
          </cell>
          <cell r="Y1039" t="str">
            <v>FINISH</v>
          </cell>
          <cell r="Z1039" t="str">
            <v>ACC</v>
          </cell>
          <cell r="AA1039" t="str">
            <v>ACC</v>
          </cell>
          <cell r="AB1039" t="str">
            <v>MT-2211-ST-09-0007</v>
          </cell>
          <cell r="AC1039" t="str">
            <v>ACC</v>
          </cell>
          <cell r="AD1039" t="str">
            <v>UT-2211-ST-09-0007</v>
          </cell>
          <cell r="AP1039" t="str">
            <v>26/11/2025</v>
          </cell>
        </row>
        <row r="1040">
          <cell r="A1040" t="str">
            <v>9001-2211-DS-0017-01-WM18</v>
          </cell>
          <cell r="B1040" t="str">
            <v>9001-2211-DS-0017-01-WM</v>
          </cell>
          <cell r="C1040">
            <v>18</v>
          </cell>
          <cell r="E1040" t="str">
            <v>SV</v>
          </cell>
          <cell r="F1040" t="str">
            <v>100%MT&amp;UT</v>
          </cell>
          <cell r="G1040" t="str">
            <v>D</v>
          </cell>
          <cell r="H1040">
            <v>2869.96</v>
          </cell>
          <cell r="I1040" t="str">
            <v>25/45</v>
          </cell>
          <cell r="K1040" t="str">
            <v>WPS-TNHA-S06</v>
          </cell>
          <cell r="L1040" t="str">
            <v>ST-09</v>
          </cell>
          <cell r="Y1040" t="str">
            <v>NOT YET FITUP</v>
          </cell>
        </row>
        <row r="1041">
          <cell r="A1041" t="str">
            <v>9001-2211-DS-0017-01-WM19</v>
          </cell>
          <cell r="B1041" t="str">
            <v>9001-2211-DS-0017-01-WM</v>
          </cell>
          <cell r="C1041">
            <v>19</v>
          </cell>
          <cell r="E1041" t="str">
            <v>SV</v>
          </cell>
          <cell r="F1041" t="str">
            <v>100%MT&amp;UT</v>
          </cell>
          <cell r="G1041" t="str">
            <v>D</v>
          </cell>
          <cell r="H1041">
            <v>2869.96</v>
          </cell>
          <cell r="I1041" t="str">
            <v>25/35</v>
          </cell>
          <cell r="K1041" t="str">
            <v>WPS-TNHA-S06</v>
          </cell>
          <cell r="L1041" t="str">
            <v>ST-09</v>
          </cell>
          <cell r="M1041" t="str">
            <v>XUÂN</v>
          </cell>
          <cell r="N1041">
            <v>45987</v>
          </cell>
          <cell r="O1041" t="str">
            <v>F-104</v>
          </cell>
          <cell r="P1041" t="str">
            <v>17h30 26/11/2025</v>
          </cell>
          <cell r="Q1041" t="str">
            <v>PD-05;PD-16</v>
          </cell>
          <cell r="R1041" t="str">
            <v>BÁCH</v>
          </cell>
          <cell r="S1041">
            <v>45998</v>
          </cell>
          <cell r="T1041" t="str">
            <v>V-121</v>
          </cell>
          <cell r="Y1041" t="str">
            <v>FINISH</v>
          </cell>
          <cell r="Z1041" t="str">
            <v>ACC</v>
          </cell>
          <cell r="AA1041" t="str">
            <v>ACC</v>
          </cell>
          <cell r="AB1041" t="str">
            <v>MT-2211-ST-09-0011</v>
          </cell>
          <cell r="AC1041" t="str">
            <v>ACC</v>
          </cell>
          <cell r="AD1041" t="str">
            <v>UT-2211-ST-09-0009</v>
          </cell>
          <cell r="AP1041" t="str">
            <v>10/12/2025</v>
          </cell>
        </row>
        <row r="1042">
          <cell r="A1042" t="str">
            <v>9001-2211-DS-0017-01-WM20</v>
          </cell>
          <cell r="B1042" t="str">
            <v>9001-2211-DS-0017-01-WM</v>
          </cell>
          <cell r="C1042">
            <v>20</v>
          </cell>
          <cell r="E1042" t="str">
            <v>SV</v>
          </cell>
          <cell r="F1042" t="str">
            <v>100%MT&amp;UT</v>
          </cell>
          <cell r="G1042" t="str">
            <v>D</v>
          </cell>
          <cell r="H1042">
            <v>2869.96</v>
          </cell>
          <cell r="I1042" t="str">
            <v>25/35</v>
          </cell>
          <cell r="K1042" t="str">
            <v>WPS-TNHA-S06</v>
          </cell>
          <cell r="L1042" t="str">
            <v>ST-09</v>
          </cell>
          <cell r="M1042" t="str">
            <v>XUÂN</v>
          </cell>
          <cell r="N1042">
            <v>45987</v>
          </cell>
          <cell r="O1042" t="str">
            <v>F-104</v>
          </cell>
          <cell r="P1042" t="str">
            <v>13h30 26/11/2025</v>
          </cell>
          <cell r="Q1042" t="str">
            <v>PD-05;PD-16</v>
          </cell>
          <cell r="R1042" t="str">
            <v>BÁCH</v>
          </cell>
          <cell r="S1042">
            <v>45998</v>
          </cell>
          <cell r="T1042" t="str">
            <v>V-121</v>
          </cell>
          <cell r="Y1042" t="str">
            <v>FINISH</v>
          </cell>
          <cell r="Z1042" t="str">
            <v>ACC</v>
          </cell>
          <cell r="AA1042" t="str">
            <v>ACC</v>
          </cell>
          <cell r="AB1042" t="str">
            <v>MT-2211-ST-09-0011</v>
          </cell>
          <cell r="AC1042" t="str">
            <v>ACC</v>
          </cell>
          <cell r="AD1042" t="str">
            <v>UT-2211-ST-09-0009</v>
          </cell>
          <cell r="AP1042" t="str">
            <v>10/12/2025</v>
          </cell>
        </row>
        <row r="1043">
          <cell r="A1043" t="str">
            <v>9001-2211-DS-0017-01-WM21</v>
          </cell>
          <cell r="B1043" t="str">
            <v>9001-2211-DS-0017-01-WM</v>
          </cell>
          <cell r="C1043">
            <v>21</v>
          </cell>
          <cell r="E1043" t="str">
            <v>SV</v>
          </cell>
          <cell r="F1043" t="str">
            <v>100%MT&amp;UT</v>
          </cell>
          <cell r="G1043" t="str">
            <v>D</v>
          </cell>
          <cell r="H1043">
            <v>2869.96</v>
          </cell>
          <cell r="I1043" t="str">
            <v>25/45</v>
          </cell>
          <cell r="K1043" t="str">
            <v>WPS-TNHA-S06</v>
          </cell>
          <cell r="L1043" t="str">
            <v>ST-09</v>
          </cell>
          <cell r="Y1043" t="str">
            <v>NOT YET FITUP</v>
          </cell>
        </row>
        <row r="1044">
          <cell r="A1044" t="str">
            <v>9001-2211-DS-0017-01-WM22</v>
          </cell>
          <cell r="B1044" t="str">
            <v>9001-2211-DS-0017-01-WM</v>
          </cell>
          <cell r="C1044">
            <v>22</v>
          </cell>
          <cell r="E1044" t="str">
            <v>SV</v>
          </cell>
          <cell r="F1044" t="str">
            <v>100%MT&amp;UT</v>
          </cell>
          <cell r="G1044" t="str">
            <v>D</v>
          </cell>
          <cell r="H1044">
            <v>2869.96</v>
          </cell>
          <cell r="I1044" t="str">
            <v>25/45</v>
          </cell>
          <cell r="K1044" t="str">
            <v>WPS-TNHA-S06</v>
          </cell>
          <cell r="L1044" t="str">
            <v>ST-09</v>
          </cell>
          <cell r="M1044" t="str">
            <v>BÁCH</v>
          </cell>
          <cell r="N1044">
            <v>45984</v>
          </cell>
          <cell r="O1044" t="str">
            <v>F-100</v>
          </cell>
          <cell r="P1044" t="str">
            <v>18h 24/11/2025</v>
          </cell>
          <cell r="Q1044" t="str">
            <v>DHN-SL-07;DHN-SL-19</v>
          </cell>
          <cell r="R1044" t="str">
            <v>XUÂN</v>
          </cell>
          <cell r="S1044">
            <v>45989</v>
          </cell>
          <cell r="T1044" t="str">
            <v>V-098</v>
          </cell>
          <cell r="Y1044" t="str">
            <v>FINISH</v>
          </cell>
          <cell r="Z1044" t="str">
            <v>ACC</v>
          </cell>
          <cell r="AA1044" t="str">
            <v>ACC</v>
          </cell>
          <cell r="AB1044" t="str">
            <v>MT-2211-ST-09-0008</v>
          </cell>
          <cell r="AC1044" t="str">
            <v>ACC</v>
          </cell>
          <cell r="AD1044" t="str">
            <v>UT-2211-ST-09-0008</v>
          </cell>
          <cell r="AP1044" t="str">
            <v>2/12/2025</v>
          </cell>
        </row>
        <row r="1045">
          <cell r="A1045" t="str">
            <v>9001-2211-DS-0017-01-WM23</v>
          </cell>
          <cell r="B1045" t="str">
            <v>9001-2211-DS-0017-01-WM</v>
          </cell>
          <cell r="C1045">
            <v>23</v>
          </cell>
          <cell r="E1045" t="str">
            <v>SV</v>
          </cell>
          <cell r="F1045" t="str">
            <v>100%MT&amp;UT</v>
          </cell>
          <cell r="G1045" t="str">
            <v>D</v>
          </cell>
          <cell r="H1045">
            <v>1915.4</v>
          </cell>
          <cell r="I1045" t="str">
            <v>12/15</v>
          </cell>
          <cell r="K1045" t="str">
            <v>WPS-TNHA-S06</v>
          </cell>
          <cell r="L1045" t="str">
            <v>ST-09</v>
          </cell>
          <cell r="M1045" t="str">
            <v>BÁCH</v>
          </cell>
          <cell r="N1045">
            <v>45994</v>
          </cell>
          <cell r="O1045" t="str">
            <v>F-111</v>
          </cell>
          <cell r="P1045" t="str">
            <v>17h 03/12/2025</v>
          </cell>
          <cell r="Q1045" t="str">
            <v>PD-31;PD-06</v>
          </cell>
          <cell r="R1045" t="str">
            <v>BÁCH</v>
          </cell>
          <cell r="S1045">
            <v>45999</v>
          </cell>
          <cell r="T1045" t="str">
            <v>V-123</v>
          </cell>
          <cell r="Y1045" t="str">
            <v>FINISH</v>
          </cell>
          <cell r="Z1045" t="str">
            <v>ACC</v>
          </cell>
          <cell r="AA1045" t="str">
            <v>ACC</v>
          </cell>
          <cell r="AB1045" t="str">
            <v>MT-2211-ST-09-0013</v>
          </cell>
          <cell r="AC1045" t="str">
            <v>ACC</v>
          </cell>
          <cell r="AD1045" t="str">
            <v>UT-2211-ST-09-0012</v>
          </cell>
          <cell r="AP1045" t="str">
            <v>10/12/2025</v>
          </cell>
        </row>
        <row r="1046">
          <cell r="A1046" t="str">
            <v>9001-2211-DS-0017-01-WM24</v>
          </cell>
          <cell r="B1046" t="str">
            <v>9001-2211-DS-0017-01-WM</v>
          </cell>
          <cell r="C1046">
            <v>24</v>
          </cell>
          <cell r="E1046" t="str">
            <v>SV</v>
          </cell>
          <cell r="F1046" t="str">
            <v>100%MT&amp;UT</v>
          </cell>
          <cell r="G1046" t="str">
            <v>D</v>
          </cell>
          <cell r="H1046">
            <v>1915.4</v>
          </cell>
          <cell r="I1046" t="str">
            <v>12/15</v>
          </cell>
          <cell r="K1046" t="str">
            <v>WPS-TNHA-S06</v>
          </cell>
          <cell r="L1046" t="str">
            <v>ST-09</v>
          </cell>
          <cell r="M1046" t="str">
            <v>BÁCH</v>
          </cell>
          <cell r="N1046">
            <v>45994</v>
          </cell>
          <cell r="O1046" t="str">
            <v>F-111</v>
          </cell>
          <cell r="P1046" t="str">
            <v>14h 03/12/2025</v>
          </cell>
          <cell r="Q1046" t="str">
            <v>PD-06;PD-31</v>
          </cell>
          <cell r="R1046" t="str">
            <v>BÁCH</v>
          </cell>
          <cell r="S1046">
            <v>45999</v>
          </cell>
          <cell r="T1046" t="str">
            <v>V-122</v>
          </cell>
          <cell r="Y1046" t="str">
            <v>FINISH</v>
          </cell>
          <cell r="Z1046" t="str">
            <v>ACC</v>
          </cell>
          <cell r="AA1046" t="str">
            <v>ACC</v>
          </cell>
          <cell r="AB1046" t="str">
            <v>MT-2211-ST-09-0012</v>
          </cell>
          <cell r="AC1046" t="str">
            <v>ACC</v>
          </cell>
          <cell r="AD1046" t="str">
            <v>UT-2211-ST-09-0010</v>
          </cell>
          <cell r="AP1046" t="str">
            <v>10/12/2025</v>
          </cell>
        </row>
        <row r="1047">
          <cell r="A1047" t="str">
            <v>9001-2211-DS-0017-01-WM25</v>
          </cell>
          <cell r="B1047" t="str">
            <v>9001-2211-DS-0017-01-WM</v>
          </cell>
          <cell r="C1047">
            <v>25</v>
          </cell>
          <cell r="E1047" t="str">
            <v>SV</v>
          </cell>
          <cell r="F1047" t="str">
            <v>100%MT&amp;UT</v>
          </cell>
          <cell r="G1047" t="str">
            <v>D</v>
          </cell>
          <cell r="H1047">
            <v>1915.4</v>
          </cell>
          <cell r="I1047" t="str">
            <v>12/15</v>
          </cell>
          <cell r="K1047" t="str">
            <v>WPS-TNHA-S06</v>
          </cell>
          <cell r="L1047" t="str">
            <v>ST-09</v>
          </cell>
          <cell r="M1047" t="str">
            <v>BÁCH</v>
          </cell>
          <cell r="N1047">
            <v>45994</v>
          </cell>
          <cell r="O1047" t="str">
            <v>F-111</v>
          </cell>
          <cell r="P1047" t="str">
            <v>18h 03/12/2025</v>
          </cell>
          <cell r="Q1047" t="str">
            <v>PD-05;PD-16</v>
          </cell>
          <cell r="R1047" t="str">
            <v>BÁCH</v>
          </cell>
          <cell r="S1047">
            <v>45999</v>
          </cell>
          <cell r="T1047" t="str">
            <v>V-123</v>
          </cell>
          <cell r="Y1047" t="str">
            <v>FINISH</v>
          </cell>
          <cell r="Z1047" t="str">
            <v>ACC</v>
          </cell>
          <cell r="AA1047" t="str">
            <v>ACC</v>
          </cell>
          <cell r="AB1047" t="str">
            <v>MT-2211-ST-09-0013</v>
          </cell>
          <cell r="AC1047" t="str">
            <v>ACC</v>
          </cell>
          <cell r="AD1047" t="str">
            <v>UT-2211-ST-09-0012</v>
          </cell>
          <cell r="AP1047" t="str">
            <v>10/12/2025</v>
          </cell>
        </row>
        <row r="1048">
          <cell r="A1048" t="str">
            <v>9001-2211-DS-0017-01-WM26</v>
          </cell>
          <cell r="B1048" t="str">
            <v>9001-2211-DS-0017-01-WM</v>
          </cell>
          <cell r="C1048">
            <v>26</v>
          </cell>
          <cell r="E1048" t="str">
            <v>SV</v>
          </cell>
          <cell r="F1048" t="str">
            <v>100%MT&amp;UT</v>
          </cell>
          <cell r="G1048" t="str">
            <v>D</v>
          </cell>
          <cell r="H1048">
            <v>1915.4</v>
          </cell>
          <cell r="I1048" t="str">
            <v>12/15</v>
          </cell>
          <cell r="K1048" t="str">
            <v>WPS-TNHA-S06</v>
          </cell>
          <cell r="L1048" t="str">
            <v>ST-09</v>
          </cell>
          <cell r="M1048" t="str">
            <v>BÁCH</v>
          </cell>
          <cell r="N1048">
            <v>45994</v>
          </cell>
          <cell r="O1048" t="str">
            <v>F-111</v>
          </cell>
          <cell r="P1048" t="str">
            <v>10h 03/12/2025</v>
          </cell>
          <cell r="Q1048" t="str">
            <v>PD-05;PD-16</v>
          </cell>
          <cell r="R1048" t="str">
            <v>BÁCH</v>
          </cell>
          <cell r="S1048">
            <v>45999</v>
          </cell>
          <cell r="T1048" t="str">
            <v>V-123</v>
          </cell>
          <cell r="Y1048" t="str">
            <v>FINISH</v>
          </cell>
          <cell r="Z1048" t="str">
            <v>ACC</v>
          </cell>
          <cell r="AA1048" t="str">
            <v>ACC</v>
          </cell>
          <cell r="AB1048" t="str">
            <v>MT-2211-ST-09-0014</v>
          </cell>
          <cell r="AC1048" t="str">
            <v>ACC</v>
          </cell>
          <cell r="AD1048" t="str">
            <v>UT-2211-ST-09-0012</v>
          </cell>
          <cell r="AP1048" t="str">
            <v>10/12/2025</v>
          </cell>
        </row>
        <row r="1049">
          <cell r="A1049" t="str">
            <v>9001-2211-DS-0017-01-WM27</v>
          </cell>
          <cell r="B1049" t="str">
            <v>9001-2211-DS-0017-01-WM</v>
          </cell>
          <cell r="C1049">
            <v>27</v>
          </cell>
          <cell r="E1049" t="str">
            <v>SV</v>
          </cell>
          <cell r="F1049" t="str">
            <v>100%MT&amp;UT</v>
          </cell>
          <cell r="G1049" t="str">
            <v>D</v>
          </cell>
          <cell r="H1049">
            <v>1915.4</v>
          </cell>
          <cell r="I1049">
            <v>12</v>
          </cell>
          <cell r="K1049" t="str">
            <v>WPS-TNHA-S06</v>
          </cell>
          <cell r="L1049" t="str">
            <v>ST-09</v>
          </cell>
          <cell r="M1049" t="str">
            <v>XUÂN</v>
          </cell>
          <cell r="N1049">
            <v>45987</v>
          </cell>
          <cell r="O1049" t="str">
            <v>F-104</v>
          </cell>
          <cell r="P1049" t="str">
            <v>13h30 30/11/2025</v>
          </cell>
          <cell r="Q1049" t="str">
            <v>PD-06;PD-16</v>
          </cell>
          <cell r="R1049" t="str">
            <v>BÁCH</v>
          </cell>
          <cell r="S1049">
            <v>45999</v>
          </cell>
          <cell r="T1049" t="str">
            <v>V-122</v>
          </cell>
          <cell r="Y1049" t="str">
            <v>FINISH</v>
          </cell>
          <cell r="Z1049" t="str">
            <v>ACC</v>
          </cell>
          <cell r="AA1049" t="str">
            <v>ACC</v>
          </cell>
          <cell r="AB1049" t="str">
            <v>MT-2211-ST-09-0012</v>
          </cell>
          <cell r="AC1049" t="str">
            <v>ACC</v>
          </cell>
          <cell r="AD1049" t="str">
            <v>UT-2211-ST-09-0010</v>
          </cell>
          <cell r="AP1049" t="str">
            <v>10/12/2025</v>
          </cell>
        </row>
        <row r="1050">
          <cell r="A1050" t="str">
            <v>9001-2211-DS-0017-01-WM28</v>
          </cell>
          <cell r="B1050" t="str">
            <v>9001-2211-DS-0017-01-WM</v>
          </cell>
          <cell r="C1050">
            <v>28</v>
          </cell>
          <cell r="E1050" t="str">
            <v>SV</v>
          </cell>
          <cell r="F1050" t="str">
            <v>100%MT&amp;UT</v>
          </cell>
          <cell r="G1050" t="str">
            <v>D</v>
          </cell>
          <cell r="H1050">
            <v>2869.96</v>
          </cell>
          <cell r="I1050" t="str">
            <v>25/35</v>
          </cell>
          <cell r="K1050" t="str">
            <v>WPS-TNHA-S06</v>
          </cell>
          <cell r="L1050" t="str">
            <v>ST-09</v>
          </cell>
          <cell r="M1050" t="str">
            <v>BÁCH</v>
          </cell>
          <cell r="N1050">
            <v>45983</v>
          </cell>
          <cell r="O1050" t="str">
            <v>F-098</v>
          </cell>
          <cell r="P1050" t="str">
            <v>21h30 22/11/2025</v>
          </cell>
          <cell r="Q1050" t="str">
            <v>DHN-SL-36;DHN-SL-27</v>
          </cell>
          <cell r="R1050" t="str">
            <v>XUÂN</v>
          </cell>
          <cell r="S1050">
            <v>45986</v>
          </cell>
          <cell r="T1050" t="str">
            <v>V-092</v>
          </cell>
          <cell r="Y1050" t="str">
            <v>FINISH</v>
          </cell>
          <cell r="Z1050" t="str">
            <v>ACC</v>
          </cell>
          <cell r="AA1050" t="str">
            <v>ACC</v>
          </cell>
          <cell r="AB1050" t="str">
            <v>MT-2211-ST-09-0007</v>
          </cell>
          <cell r="AC1050" t="str">
            <v>ACC</v>
          </cell>
          <cell r="AD1050" t="str">
            <v>UT-2211-ST-09-0007</v>
          </cell>
          <cell r="AP1050" t="str">
            <v>26/11/2025</v>
          </cell>
        </row>
        <row r="1051">
          <cell r="A1051" t="str">
            <v>9001-2211-DS-0017-01-WM29</v>
          </cell>
          <cell r="B1051" t="str">
            <v>9001-2211-DS-0017-01-WM</v>
          </cell>
          <cell r="C1051">
            <v>29</v>
          </cell>
          <cell r="E1051" t="str">
            <v>SV</v>
          </cell>
          <cell r="F1051" t="str">
            <v>100%MT&amp;UT</v>
          </cell>
          <cell r="G1051" t="str">
            <v>D</v>
          </cell>
          <cell r="H1051">
            <v>1915.4</v>
          </cell>
          <cell r="I1051">
            <v>12</v>
          </cell>
          <cell r="K1051" t="str">
            <v>WPS-TNHA-S06</v>
          </cell>
          <cell r="L1051" t="str">
            <v>ST-09</v>
          </cell>
          <cell r="M1051" t="str">
            <v>BÁCH</v>
          </cell>
          <cell r="N1051">
            <v>45991</v>
          </cell>
          <cell r="O1051" t="str">
            <v>F-110</v>
          </cell>
          <cell r="P1051" t="str">
            <v>10h15 02/12/2025</v>
          </cell>
          <cell r="Q1051" t="str">
            <v>PD-31;PD-06</v>
          </cell>
          <cell r="R1051" t="str">
            <v>BÁCH</v>
          </cell>
          <cell r="S1051">
            <v>45999</v>
          </cell>
          <cell r="T1051" t="str">
            <v>V-122</v>
          </cell>
          <cell r="Y1051" t="str">
            <v>FINISH</v>
          </cell>
          <cell r="Z1051" t="str">
            <v>ACC</v>
          </cell>
          <cell r="AA1051" t="str">
            <v>ACC</v>
          </cell>
          <cell r="AB1051" t="str">
            <v>MT-2211-ST-09-0012</v>
          </cell>
          <cell r="AC1051" t="str">
            <v>ACC</v>
          </cell>
          <cell r="AD1051" t="str">
            <v>UT-2211-ST-09-0010</v>
          </cell>
          <cell r="AP1051" t="str">
            <v>10/12/2025</v>
          </cell>
        </row>
        <row r="1052">
          <cell r="A1052" t="str">
            <v>9001-2211-DS-0017-01-WM30</v>
          </cell>
          <cell r="B1052" t="str">
            <v>9001-2211-DS-0017-01-WM</v>
          </cell>
          <cell r="C1052">
            <v>30</v>
          </cell>
          <cell r="E1052" t="str">
            <v>SV</v>
          </cell>
          <cell r="F1052" t="str">
            <v>100%MT&amp;UT</v>
          </cell>
          <cell r="G1052" t="str">
            <v>D</v>
          </cell>
          <cell r="H1052">
            <v>2869.96</v>
          </cell>
          <cell r="I1052" t="str">
            <v>25/35</v>
          </cell>
          <cell r="K1052" t="str">
            <v>WPS-TNHA-S06</v>
          </cell>
          <cell r="L1052" t="str">
            <v>ST-09</v>
          </cell>
          <cell r="M1052" t="str">
            <v>XUÂN</v>
          </cell>
          <cell r="N1052">
            <v>45990</v>
          </cell>
          <cell r="O1052" t="str">
            <v>F-108</v>
          </cell>
          <cell r="P1052" t="str">
            <v>21h30 29/11/2025</v>
          </cell>
          <cell r="Q1052" t="str">
            <v>DHN-SL-15;DHN-SL-22</v>
          </cell>
          <cell r="R1052" t="str">
            <v>BÁCH</v>
          </cell>
          <cell r="S1052">
            <v>45999</v>
          </cell>
          <cell r="T1052" t="str">
            <v>V-122</v>
          </cell>
          <cell r="Y1052" t="str">
            <v>FINISH</v>
          </cell>
          <cell r="Z1052" t="str">
            <v>ACC</v>
          </cell>
          <cell r="AA1052" t="str">
            <v>ACC</v>
          </cell>
          <cell r="AB1052" t="str">
            <v>MT-2211-ST-09-0012</v>
          </cell>
          <cell r="AC1052" t="str">
            <v>ACC</v>
          </cell>
          <cell r="AD1052" t="str">
            <v>UT-2211-ST-09-0010</v>
          </cell>
          <cell r="AP1052" t="str">
            <v>10/12/2025</v>
          </cell>
        </row>
        <row r="1053">
          <cell r="A1053" t="str">
            <v>9001-2211-DS-0017-01-WM31</v>
          </cell>
          <cell r="B1053" t="str">
            <v>9001-2211-DS-0017-01-WM</v>
          </cell>
          <cell r="C1053">
            <v>31</v>
          </cell>
          <cell r="E1053" t="str">
            <v>SV</v>
          </cell>
          <cell r="F1053" t="str">
            <v>100%MT&amp;UT</v>
          </cell>
          <cell r="G1053" t="str">
            <v>D</v>
          </cell>
          <cell r="H1053">
            <v>1915.4</v>
          </cell>
          <cell r="I1053">
            <v>12</v>
          </cell>
          <cell r="K1053" t="str">
            <v>WPS-TNHA-S06</v>
          </cell>
          <cell r="L1053" t="str">
            <v>ST-09</v>
          </cell>
          <cell r="M1053" t="str">
            <v>BÁCH</v>
          </cell>
          <cell r="N1053">
            <v>45991</v>
          </cell>
          <cell r="O1053" t="str">
            <v>F-110</v>
          </cell>
          <cell r="P1053" t="str">
            <v>13h 29/11/2025</v>
          </cell>
          <cell r="Q1053" t="str">
            <v>PD-05;PD-16</v>
          </cell>
          <cell r="R1053" t="str">
            <v>BÁCH</v>
          </cell>
          <cell r="S1053">
            <v>45999</v>
          </cell>
          <cell r="T1053" t="str">
            <v>V-123</v>
          </cell>
          <cell r="Y1053" t="str">
            <v>FINISH</v>
          </cell>
          <cell r="Z1053" t="str">
            <v>ACC</v>
          </cell>
          <cell r="AA1053" t="str">
            <v>ACC</v>
          </cell>
          <cell r="AB1053" t="str">
            <v>MT-2211-ST-09-0014</v>
          </cell>
          <cell r="AC1053" t="str">
            <v>ACC</v>
          </cell>
          <cell r="AD1053" t="str">
            <v>UT-2211-ST-09-0012</v>
          </cell>
          <cell r="AP1053" t="str">
            <v>10/12/2025</v>
          </cell>
        </row>
        <row r="1054">
          <cell r="A1054" t="str">
            <v>9001-2211-DS-0017-01-WM32</v>
          </cell>
          <cell r="B1054" t="str">
            <v>9001-2211-DS-0017-01-WM</v>
          </cell>
          <cell r="C1054">
            <v>32</v>
          </cell>
          <cell r="E1054" t="str">
            <v>SV</v>
          </cell>
          <cell r="F1054" t="str">
            <v>100%MT&amp;UT</v>
          </cell>
          <cell r="G1054" t="str">
            <v>D</v>
          </cell>
          <cell r="H1054">
            <v>1915.4</v>
          </cell>
          <cell r="I1054">
            <v>12</v>
          </cell>
          <cell r="K1054" t="str">
            <v>WPS-TNHA-S06</v>
          </cell>
          <cell r="L1054" t="str">
            <v>ST-09</v>
          </cell>
          <cell r="M1054" t="str">
            <v>XUÂN</v>
          </cell>
          <cell r="N1054">
            <v>45987</v>
          </cell>
          <cell r="O1054" t="str">
            <v>F-104</v>
          </cell>
          <cell r="P1054" t="str">
            <v>16h 28/11/2025</v>
          </cell>
          <cell r="Q1054" t="str">
            <v>PD-05;PD-16</v>
          </cell>
          <cell r="R1054" t="str">
            <v>BÁCH</v>
          </cell>
          <cell r="S1054">
            <v>45999</v>
          </cell>
          <cell r="T1054" t="str">
            <v>V-122</v>
          </cell>
          <cell r="Y1054" t="str">
            <v>FINISH</v>
          </cell>
          <cell r="Z1054" t="str">
            <v>ACC</v>
          </cell>
          <cell r="AA1054" t="str">
            <v>ACC</v>
          </cell>
          <cell r="AB1054" t="str">
            <v>MT-2211-ST-09-0012</v>
          </cell>
          <cell r="AC1054" t="str">
            <v>ACC</v>
          </cell>
          <cell r="AD1054" t="str">
            <v>UT-2211-ST-09-0010</v>
          </cell>
          <cell r="AP1054" t="str">
            <v>10/12/2025</v>
          </cell>
        </row>
        <row r="1055">
          <cell r="A1055" t="str">
            <v>9001-2211-DS-0017-01-WM33</v>
          </cell>
          <cell r="B1055" t="str">
            <v>9001-2211-DS-0017-01-WM</v>
          </cell>
          <cell r="C1055">
            <v>33</v>
          </cell>
          <cell r="E1055" t="str">
            <v>SV</v>
          </cell>
          <cell r="F1055" t="str">
            <v>100%MT&amp;UT</v>
          </cell>
          <cell r="G1055" t="str">
            <v>D</v>
          </cell>
          <cell r="H1055">
            <v>1915.4</v>
          </cell>
          <cell r="I1055">
            <v>12</v>
          </cell>
          <cell r="K1055" t="str">
            <v>WPS-TNHA-S06</v>
          </cell>
          <cell r="L1055" t="str">
            <v>ST-09</v>
          </cell>
          <cell r="M1055" t="str">
            <v>BÁCH</v>
          </cell>
          <cell r="N1055">
            <v>45994</v>
          </cell>
          <cell r="O1055" t="str">
            <v>F-111</v>
          </cell>
          <cell r="P1055" t="str">
            <v>15h 02/12/2025</v>
          </cell>
          <cell r="Q1055" t="str">
            <v>PD-05;TNHA-SL-012;TNHA-SL-003</v>
          </cell>
          <cell r="R1055" t="str">
            <v>BÁCH</v>
          </cell>
          <cell r="S1055">
            <v>45999</v>
          </cell>
          <cell r="T1055" t="str">
            <v>V-122</v>
          </cell>
          <cell r="Y1055" t="str">
            <v>FINISH</v>
          </cell>
          <cell r="Z1055" t="str">
            <v>ACC</v>
          </cell>
          <cell r="AA1055" t="str">
            <v>ACC</v>
          </cell>
          <cell r="AB1055" t="str">
            <v>MT-2211-ST-09-0012</v>
          </cell>
          <cell r="AC1055" t="str">
            <v>ACC</v>
          </cell>
          <cell r="AD1055" t="str">
            <v>UT-2211-ST-09-0010</v>
          </cell>
          <cell r="AP1055" t="str">
            <v>10/12/2025</v>
          </cell>
        </row>
        <row r="1056">
          <cell r="A1056" t="str">
            <v>9001-2211-DS-0017-01-WM34</v>
          </cell>
          <cell r="B1056" t="str">
            <v>9001-2211-DS-0017-01-WM</v>
          </cell>
          <cell r="C1056">
            <v>34</v>
          </cell>
          <cell r="E1056" t="str">
            <v>SV</v>
          </cell>
          <cell r="F1056" t="str">
            <v>100%MT&amp;UT</v>
          </cell>
          <cell r="G1056" t="str">
            <v>D</v>
          </cell>
          <cell r="H1056">
            <v>1915.4</v>
          </cell>
          <cell r="I1056">
            <v>12</v>
          </cell>
          <cell r="K1056" t="str">
            <v>WPS-TNHA-S06</v>
          </cell>
          <cell r="L1056" t="str">
            <v>ST-09</v>
          </cell>
          <cell r="M1056" t="str">
            <v>BÁCH</v>
          </cell>
          <cell r="N1056">
            <v>45991</v>
          </cell>
          <cell r="O1056" t="str">
            <v>F-110</v>
          </cell>
          <cell r="P1056" t="str">
            <v>17h 29/11/2025</v>
          </cell>
          <cell r="Q1056" t="str">
            <v>PD-05;PD-31</v>
          </cell>
          <cell r="R1056" t="str">
            <v>BÁCH</v>
          </cell>
          <cell r="S1056">
            <v>45999</v>
          </cell>
          <cell r="T1056" t="str">
            <v>V-122</v>
          </cell>
          <cell r="Y1056" t="str">
            <v>FINISH</v>
          </cell>
          <cell r="Z1056" t="str">
            <v>ACC</v>
          </cell>
          <cell r="AA1056" t="str">
            <v>ACC</v>
          </cell>
          <cell r="AB1056" t="str">
            <v>MT-2211-ST-09-0012</v>
          </cell>
          <cell r="AC1056" t="str">
            <v>ACC</v>
          </cell>
          <cell r="AD1056" t="str">
            <v>UT-2211-ST-09-0010</v>
          </cell>
          <cell r="AP1056" t="str">
            <v>10/12/2025</v>
          </cell>
        </row>
        <row r="1057">
          <cell r="A1057" t="str">
            <v>9001-2211-DS-0017-01-WM35</v>
          </cell>
          <cell r="B1057" t="str">
            <v>9001-2211-DS-0017-01-WM</v>
          </cell>
          <cell r="C1057">
            <v>35</v>
          </cell>
          <cell r="E1057" t="str">
            <v>SV</v>
          </cell>
          <cell r="F1057" t="str">
            <v>100%MT&amp;UT</v>
          </cell>
          <cell r="G1057" t="str">
            <v>D</v>
          </cell>
          <cell r="H1057">
            <v>2869.96</v>
          </cell>
          <cell r="I1057" t="str">
            <v>25/35</v>
          </cell>
          <cell r="K1057" t="str">
            <v>WPS-TNHA-S06</v>
          </cell>
          <cell r="L1057" t="str">
            <v>ST-09</v>
          </cell>
          <cell r="M1057" t="str">
            <v>BÁCH</v>
          </cell>
          <cell r="N1057">
            <v>45984</v>
          </cell>
          <cell r="O1057" t="str">
            <v>F-100</v>
          </cell>
          <cell r="P1057" t="str">
            <v>19h 24/11/2025</v>
          </cell>
          <cell r="Q1057" t="str">
            <v>PD-05;PD-16</v>
          </cell>
          <cell r="R1057" t="str">
            <v>XUÂN</v>
          </cell>
          <cell r="S1057">
            <v>45989</v>
          </cell>
          <cell r="T1057" t="str">
            <v>V-098</v>
          </cell>
          <cell r="Y1057" t="str">
            <v>FINISH</v>
          </cell>
          <cell r="Z1057" t="str">
            <v>ACC</v>
          </cell>
          <cell r="AA1057" t="str">
            <v>ACC</v>
          </cell>
          <cell r="AB1057" t="str">
            <v>MT-2211-ST-09-0009</v>
          </cell>
          <cell r="AC1057" t="str">
            <v>ACC</v>
          </cell>
          <cell r="AD1057" t="str">
            <v>UT-2211-ST-09-0008</v>
          </cell>
          <cell r="AP1057" t="str">
            <v>2/12/2025</v>
          </cell>
        </row>
        <row r="1058">
          <cell r="A1058" t="str">
            <v>9001-2211-DS-0017-01-WM36</v>
          </cell>
          <cell r="B1058" t="str">
            <v>9001-2211-DS-0017-01-WM</v>
          </cell>
          <cell r="C1058">
            <v>36</v>
          </cell>
          <cell r="E1058" t="str">
            <v>SV</v>
          </cell>
          <cell r="F1058" t="str">
            <v>100%MT&amp;UT</v>
          </cell>
          <cell r="G1058" t="str">
            <v>D</v>
          </cell>
          <cell r="H1058">
            <v>2869.96</v>
          </cell>
          <cell r="I1058" t="str">
            <v>25/35</v>
          </cell>
          <cell r="K1058" t="str">
            <v>WPS-TNHA-S06</v>
          </cell>
          <cell r="L1058" t="str">
            <v>ST-09</v>
          </cell>
          <cell r="M1058" t="str">
            <v>BÁCH</v>
          </cell>
          <cell r="N1058">
            <v>45983</v>
          </cell>
          <cell r="O1058" t="str">
            <v>F-098</v>
          </cell>
          <cell r="P1058" t="str">
            <v>15h30 24/11/2025</v>
          </cell>
          <cell r="Q1058" t="str">
            <v>PD-05;PD-16</v>
          </cell>
          <cell r="R1058" t="str">
            <v>XUÂN</v>
          </cell>
          <cell r="S1058">
            <v>45989</v>
          </cell>
          <cell r="T1058" t="str">
            <v>V-098</v>
          </cell>
          <cell r="Y1058" t="str">
            <v>FINISH</v>
          </cell>
          <cell r="Z1058" t="str">
            <v>ACC</v>
          </cell>
          <cell r="AA1058" t="str">
            <v>ACC</v>
          </cell>
          <cell r="AB1058" t="str">
            <v>MT-2211-ST-09-0009</v>
          </cell>
          <cell r="AC1058" t="str">
            <v>ACC</v>
          </cell>
          <cell r="AD1058" t="str">
            <v>UT-2211-ST-09-0008</v>
          </cell>
          <cell r="AP1058" t="str">
            <v>2/12/2025</v>
          </cell>
        </row>
        <row r="1059">
          <cell r="A1059" t="str">
            <v>9001-2211-DS-0017-01-WM37</v>
          </cell>
          <cell r="B1059" t="str">
            <v>9001-2211-DS-0017-01-WM</v>
          </cell>
          <cell r="C1059">
            <v>37</v>
          </cell>
          <cell r="E1059" t="str">
            <v>SV</v>
          </cell>
          <cell r="F1059" t="str">
            <v>100%MT&amp;UT</v>
          </cell>
          <cell r="G1059" t="str">
            <v>D</v>
          </cell>
          <cell r="H1059">
            <v>1915.4</v>
          </cell>
          <cell r="I1059">
            <v>12</v>
          </cell>
          <cell r="K1059" t="str">
            <v>WPS-TNHA-S06</v>
          </cell>
          <cell r="L1059" t="str">
            <v>ST-09</v>
          </cell>
          <cell r="M1059" t="str">
            <v>BÁCH</v>
          </cell>
          <cell r="N1059">
            <v>45996</v>
          </cell>
          <cell r="O1059" t="str">
            <v>F-114</v>
          </cell>
          <cell r="P1059" t="str">
            <v>15h 5/12/2025</v>
          </cell>
          <cell r="Q1059" t="str">
            <v>PD-05;PD-31</v>
          </cell>
          <cell r="R1059" t="str">
            <v>BÁCH</v>
          </cell>
          <cell r="S1059">
            <v>46001</v>
          </cell>
          <cell r="T1059" t="str">
            <v>V-127</v>
          </cell>
          <cell r="Y1059" t="str">
            <v>FINISH</v>
          </cell>
          <cell r="Z1059" t="str">
            <v>ACC</v>
          </cell>
          <cell r="AA1059" t="str">
            <v>ACC</v>
          </cell>
          <cell r="AB1059" t="str">
            <v>MT-2211-ST-09-0016</v>
          </cell>
          <cell r="AC1059" t="str">
            <v>ACC</v>
          </cell>
          <cell r="AD1059" t="str">
            <v>UT-2211-ST-09-0014</v>
          </cell>
          <cell r="AP1059" t="str">
            <v>16/12/2025</v>
          </cell>
        </row>
        <row r="1060">
          <cell r="A1060" t="str">
            <v>9001-2211-DS-0017-01-WM38</v>
          </cell>
          <cell r="B1060" t="str">
            <v>9001-2211-DS-0017-01-WM</v>
          </cell>
          <cell r="C1060">
            <v>38</v>
          </cell>
          <cell r="E1060" t="str">
            <v>SV</v>
          </cell>
          <cell r="F1060" t="str">
            <v>100%MT&amp;UT</v>
          </cell>
          <cell r="G1060" t="str">
            <v>D</v>
          </cell>
          <cell r="H1060">
            <v>1915.4</v>
          </cell>
          <cell r="I1060">
            <v>12</v>
          </cell>
          <cell r="K1060" t="str">
            <v>WPS-TNHA-S06</v>
          </cell>
          <cell r="L1060" t="str">
            <v>ST-09</v>
          </cell>
          <cell r="M1060" t="str">
            <v>BÁCH</v>
          </cell>
          <cell r="N1060">
            <v>45991</v>
          </cell>
          <cell r="O1060" t="str">
            <v>F-110</v>
          </cell>
          <cell r="P1060" t="str">
            <v>21h00 01/12/2025</v>
          </cell>
          <cell r="Q1060" t="str">
            <v>DHN-SL-15;DHN-SL-22</v>
          </cell>
          <cell r="R1060" t="str">
            <v>BÁCH</v>
          </cell>
          <cell r="S1060">
            <v>45998</v>
          </cell>
          <cell r="T1060" t="str">
            <v>V-121</v>
          </cell>
          <cell r="Y1060" t="str">
            <v>FINISH</v>
          </cell>
          <cell r="Z1060" t="str">
            <v>ACC</v>
          </cell>
          <cell r="AA1060" t="str">
            <v>ACC</v>
          </cell>
          <cell r="AB1060" t="str">
            <v>MT-2211-ST-09-0011</v>
          </cell>
          <cell r="AC1060" t="str">
            <v>ACC</v>
          </cell>
          <cell r="AD1060" t="str">
            <v>UT-2211-ST-09-0009</v>
          </cell>
          <cell r="AP1060" t="str">
            <v>10/12/2025</v>
          </cell>
        </row>
        <row r="1061">
          <cell r="A1061" t="str">
            <v>9001-2211-DS-0017-01-WM39</v>
          </cell>
          <cell r="B1061" t="str">
            <v>9001-2211-DS-0017-01-WM</v>
          </cell>
          <cell r="C1061">
            <v>39</v>
          </cell>
          <cell r="E1061" t="str">
            <v>SV</v>
          </cell>
          <cell r="F1061" t="str">
            <v>100%MT&amp;UT</v>
          </cell>
          <cell r="G1061" t="str">
            <v>D</v>
          </cell>
          <cell r="H1061">
            <v>1915.4</v>
          </cell>
          <cell r="I1061">
            <v>12</v>
          </cell>
          <cell r="K1061" t="str">
            <v>WPS-TNHA-S06</v>
          </cell>
          <cell r="L1061" t="str">
            <v>ST-09</v>
          </cell>
          <cell r="M1061" t="str">
            <v>XUÂN</v>
          </cell>
          <cell r="N1061">
            <v>45987</v>
          </cell>
          <cell r="O1061" t="str">
            <v>F-104</v>
          </cell>
          <cell r="P1061" t="str">
            <v>11h30 28/11/2025</v>
          </cell>
          <cell r="Q1061" t="str">
            <v>PD-05;PD-16</v>
          </cell>
          <cell r="R1061" t="str">
            <v>BÁCH</v>
          </cell>
          <cell r="S1061">
            <v>45998</v>
          </cell>
          <cell r="T1061" t="str">
            <v>V-121</v>
          </cell>
          <cell r="Y1061" t="str">
            <v>FINISH</v>
          </cell>
          <cell r="Z1061" t="str">
            <v>ACC</v>
          </cell>
          <cell r="AA1061" t="str">
            <v>ACC</v>
          </cell>
          <cell r="AB1061" t="str">
            <v>MT-2211-ST-09-0011</v>
          </cell>
          <cell r="AC1061" t="str">
            <v>ACC</v>
          </cell>
          <cell r="AD1061" t="str">
            <v>UT-2211-ST-09-0009</v>
          </cell>
          <cell r="AP1061" t="str">
            <v>10/12/2025</v>
          </cell>
        </row>
        <row r="1062">
          <cell r="A1062" t="str">
            <v>9001-2211-DS-0017-01-WM40</v>
          </cell>
          <cell r="B1062" t="str">
            <v>9001-2211-DS-0017-01-WM</v>
          </cell>
          <cell r="C1062">
            <v>40</v>
          </cell>
          <cell r="E1062" t="str">
            <v>SV</v>
          </cell>
          <cell r="F1062" t="str">
            <v>100%MT&amp;UT</v>
          </cell>
          <cell r="G1062" t="str">
            <v>D</v>
          </cell>
          <cell r="H1062">
            <v>2869.96</v>
          </cell>
          <cell r="I1062" t="str">
            <v>25/35</v>
          </cell>
          <cell r="K1062" t="str">
            <v>WPS-TNHA-S06</v>
          </cell>
          <cell r="L1062" t="str">
            <v>ST-09</v>
          </cell>
          <cell r="M1062" t="str">
            <v>XUÂN</v>
          </cell>
          <cell r="N1062">
            <v>45990</v>
          </cell>
          <cell r="O1062" t="str">
            <v>F-108</v>
          </cell>
          <cell r="P1062" t="str">
            <v>17h 29/11/2025</v>
          </cell>
          <cell r="Q1062" t="str">
            <v>PD-05;PD-16</v>
          </cell>
          <cell r="R1062" t="str">
            <v>BÁCH</v>
          </cell>
          <cell r="S1062">
            <v>45999</v>
          </cell>
          <cell r="T1062" t="str">
            <v>V-122</v>
          </cell>
          <cell r="Y1062" t="str">
            <v>FINISH</v>
          </cell>
          <cell r="Z1062" t="str">
            <v>ACC</v>
          </cell>
          <cell r="AA1062" t="str">
            <v>ACC</v>
          </cell>
          <cell r="AB1062" t="str">
            <v>MT-2211-ST-09-0012</v>
          </cell>
          <cell r="AC1062" t="str">
            <v>ACC</v>
          </cell>
          <cell r="AD1062" t="str">
            <v>UT-2211-ST-09-0011</v>
          </cell>
          <cell r="AP1062" t="str">
            <v>10/12/2025</v>
          </cell>
        </row>
        <row r="1063">
          <cell r="A1063" t="str">
            <v>9001-2211-DS-0017-01-WM41</v>
          </cell>
          <cell r="B1063" t="str">
            <v>9001-2211-DS-0017-01-WM</v>
          </cell>
          <cell r="C1063">
            <v>41</v>
          </cell>
          <cell r="E1063" t="str">
            <v>SV</v>
          </cell>
          <cell r="F1063" t="str">
            <v>100%MT&amp;UT</v>
          </cell>
          <cell r="G1063" t="str">
            <v>D</v>
          </cell>
          <cell r="H1063">
            <v>1915.4</v>
          </cell>
          <cell r="I1063">
            <v>12</v>
          </cell>
          <cell r="K1063" t="str">
            <v>WPS-TNHA-S06</v>
          </cell>
          <cell r="L1063" t="str">
            <v>ST-09</v>
          </cell>
          <cell r="M1063" t="str">
            <v>XUÂN</v>
          </cell>
          <cell r="N1063">
            <v>45987</v>
          </cell>
          <cell r="O1063" t="str">
            <v>F-104</v>
          </cell>
          <cell r="P1063" t="str">
            <v>10h30 30/11/2025</v>
          </cell>
          <cell r="Q1063" t="str">
            <v>PD-06;PD-16</v>
          </cell>
          <cell r="R1063" t="str">
            <v>BÁCH</v>
          </cell>
          <cell r="S1063">
            <v>45998</v>
          </cell>
          <cell r="T1063" t="str">
            <v>V-121</v>
          </cell>
          <cell r="Y1063" t="str">
            <v>FINISH</v>
          </cell>
          <cell r="Z1063" t="str">
            <v>ACC</v>
          </cell>
          <cell r="AA1063" t="str">
            <v>ACC</v>
          </cell>
          <cell r="AB1063" t="str">
            <v>MT-2211-ST-09-0011</v>
          </cell>
          <cell r="AC1063" t="str">
            <v>ACC</v>
          </cell>
          <cell r="AD1063" t="str">
            <v>UT-2211-ST-09-0009</v>
          </cell>
          <cell r="AP1063" t="str">
            <v>10/12/2025</v>
          </cell>
        </row>
        <row r="1064">
          <cell r="A1064" t="str">
            <v>9001-2211-DS-0017-01-WM42</v>
          </cell>
          <cell r="B1064" t="str">
            <v>9001-2211-DS-0017-01-WM</v>
          </cell>
          <cell r="C1064">
            <v>42</v>
          </cell>
          <cell r="E1064" t="str">
            <v>SV</v>
          </cell>
          <cell r="F1064" t="str">
            <v>100%MT&amp;UT</v>
          </cell>
          <cell r="G1064" t="str">
            <v>D</v>
          </cell>
          <cell r="H1064">
            <v>1915.4</v>
          </cell>
          <cell r="I1064">
            <v>12</v>
          </cell>
          <cell r="K1064" t="str">
            <v>WPS-TNHA-S06</v>
          </cell>
          <cell r="L1064" t="str">
            <v>ST-09</v>
          </cell>
          <cell r="M1064" t="str">
            <v>BÁCH</v>
          </cell>
          <cell r="N1064">
            <v>45996</v>
          </cell>
          <cell r="O1064" t="str">
            <v>F-114</v>
          </cell>
          <cell r="P1064" t="str">
            <v>13h 5/12/2025</v>
          </cell>
          <cell r="Q1064" t="str">
            <v>PD-05;PD-31</v>
          </cell>
          <cell r="R1064" t="str">
            <v>BÁCH</v>
          </cell>
          <cell r="S1064">
            <v>46001</v>
          </cell>
          <cell r="T1064" t="str">
            <v>V-127</v>
          </cell>
          <cell r="Y1064" t="str">
            <v>FINISH</v>
          </cell>
          <cell r="Z1064" t="str">
            <v>ACC</v>
          </cell>
          <cell r="AA1064" t="str">
            <v>ACC</v>
          </cell>
          <cell r="AB1064" t="str">
            <v>MT-2211-ST-09-0016</v>
          </cell>
          <cell r="AC1064" t="str">
            <v>ACC</v>
          </cell>
          <cell r="AD1064" t="str">
            <v>UT-2211-ST-09-0014</v>
          </cell>
          <cell r="AP1064" t="str">
            <v>16/12/2025</v>
          </cell>
        </row>
        <row r="1065">
          <cell r="A1065" t="str">
            <v>9001-2211-DS-0017-01-WM43</v>
          </cell>
          <cell r="B1065" t="str">
            <v>9001-2211-DS-0017-01-WM</v>
          </cell>
          <cell r="C1065">
            <v>43</v>
          </cell>
          <cell r="E1065" t="str">
            <v>SV</v>
          </cell>
          <cell r="F1065" t="str">
            <v>100%MT&amp;UT</v>
          </cell>
          <cell r="G1065" t="str">
            <v>D</v>
          </cell>
          <cell r="H1065">
            <v>1915.4</v>
          </cell>
          <cell r="I1065">
            <v>12</v>
          </cell>
          <cell r="K1065" t="str">
            <v>WPS-TNHA-S06</v>
          </cell>
          <cell r="L1065" t="str">
            <v>ST-09</v>
          </cell>
          <cell r="M1065" t="str">
            <v>BÁCH</v>
          </cell>
          <cell r="N1065">
            <v>45996</v>
          </cell>
          <cell r="O1065" t="str">
            <v>F-114</v>
          </cell>
          <cell r="P1065" t="str">
            <v>16h 5/12/2025</v>
          </cell>
          <cell r="Q1065" t="str">
            <v>PD-05;PD-31</v>
          </cell>
          <cell r="R1065" t="str">
            <v>BÁCH</v>
          </cell>
          <cell r="S1065">
            <v>46001</v>
          </cell>
          <cell r="T1065" t="str">
            <v>V-127</v>
          </cell>
          <cell r="Y1065" t="str">
            <v>FINISH</v>
          </cell>
          <cell r="Z1065" t="str">
            <v>ACC</v>
          </cell>
          <cell r="AA1065" t="str">
            <v>ACC</v>
          </cell>
          <cell r="AB1065" t="str">
            <v>MT-2211-ST-09-0016</v>
          </cell>
          <cell r="AC1065" t="str">
            <v>ACC</v>
          </cell>
          <cell r="AD1065" t="str">
            <v>UT-2211-ST-09-0014</v>
          </cell>
          <cell r="AP1065" t="str">
            <v>16/12/2025</v>
          </cell>
        </row>
        <row r="1066">
          <cell r="A1066" t="str">
            <v>9001-2211-DS-0017-01-WM44</v>
          </cell>
          <cell r="B1066" t="str">
            <v>9001-2211-DS-0017-01-WM</v>
          </cell>
          <cell r="C1066">
            <v>44</v>
          </cell>
          <cell r="E1066" t="str">
            <v>SV</v>
          </cell>
          <cell r="F1066" t="str">
            <v>100%MT&amp;UT</v>
          </cell>
          <cell r="G1066" t="str">
            <v>D</v>
          </cell>
          <cell r="H1066">
            <v>2869.96</v>
          </cell>
          <cell r="I1066" t="str">
            <v>25/35</v>
          </cell>
          <cell r="K1066" t="str">
            <v>WPS-TNHA-S06</v>
          </cell>
          <cell r="L1066" t="str">
            <v>ST-09</v>
          </cell>
          <cell r="M1066" t="str">
            <v>XUÂN</v>
          </cell>
          <cell r="N1066">
            <v>45987</v>
          </cell>
          <cell r="O1066" t="str">
            <v>F-105</v>
          </cell>
          <cell r="P1066" t="str">
            <v>20h 27/11/2025</v>
          </cell>
          <cell r="Q1066" t="str">
            <v>PD-05;PD-16</v>
          </cell>
          <cell r="R1066" t="str">
            <v>BÁCH</v>
          </cell>
          <cell r="S1066">
            <v>45999</v>
          </cell>
          <cell r="T1066" t="str">
            <v>V-122</v>
          </cell>
          <cell r="Y1066" t="str">
            <v>FINISH</v>
          </cell>
          <cell r="Z1066" t="str">
            <v>ACC</v>
          </cell>
          <cell r="AA1066" t="str">
            <v>ACC</v>
          </cell>
          <cell r="AB1066" t="str">
            <v>MT-2211-ST-09-0012</v>
          </cell>
          <cell r="AC1066" t="str">
            <v>ACC</v>
          </cell>
          <cell r="AD1066" t="str">
            <v>UT-2211-ST-09-0011</v>
          </cell>
          <cell r="AP1066" t="str">
            <v>10/12/2025</v>
          </cell>
        </row>
        <row r="1067">
          <cell r="A1067" t="str">
            <v>9001-2211-DS-0017-01-WM45</v>
          </cell>
          <cell r="B1067" t="str">
            <v>9001-2211-DS-0017-01-WM</v>
          </cell>
          <cell r="C1067">
            <v>45</v>
          </cell>
          <cell r="E1067" t="str">
            <v>SV</v>
          </cell>
          <cell r="F1067" t="str">
            <v>100%MT&amp;UT</v>
          </cell>
          <cell r="G1067" t="str">
            <v>D</v>
          </cell>
          <cell r="H1067">
            <v>1915.4</v>
          </cell>
          <cell r="I1067">
            <v>12</v>
          </cell>
          <cell r="K1067" t="str">
            <v>WPS-TNHA-S06</v>
          </cell>
          <cell r="L1067" t="str">
            <v>ST-09</v>
          </cell>
          <cell r="M1067" t="str">
            <v>BÁCH</v>
          </cell>
          <cell r="N1067">
            <v>45996</v>
          </cell>
          <cell r="O1067" t="str">
            <v>F-114</v>
          </cell>
          <cell r="P1067" t="str">
            <v>10h30 5/12/2025</v>
          </cell>
          <cell r="Q1067" t="str">
            <v>PD-05;PD-31</v>
          </cell>
          <cell r="R1067" t="str">
            <v>BÁCH</v>
          </cell>
          <cell r="S1067">
            <v>46001</v>
          </cell>
          <cell r="T1067" t="str">
            <v>V-127</v>
          </cell>
          <cell r="Y1067" t="str">
            <v>FINISH</v>
          </cell>
          <cell r="Z1067" t="str">
            <v>ACC</v>
          </cell>
          <cell r="AA1067" t="str">
            <v>ACC</v>
          </cell>
          <cell r="AB1067" t="str">
            <v>MT-2211-ST-09-0016</v>
          </cell>
          <cell r="AC1067" t="str">
            <v>ACC</v>
          </cell>
          <cell r="AD1067" t="str">
            <v>UT-2211-ST-09-0014</v>
          </cell>
          <cell r="AP1067" t="str">
            <v>16/12/2025</v>
          </cell>
        </row>
        <row r="1068">
          <cell r="A1068" t="str">
            <v>9001-2211-DS-0017-01-WM46</v>
          </cell>
          <cell r="B1068" t="str">
            <v>9001-2211-DS-0017-01-WM</v>
          </cell>
          <cell r="C1068">
            <v>46</v>
          </cell>
          <cell r="E1068" t="str">
            <v>SV</v>
          </cell>
          <cell r="F1068" t="str">
            <v>100%MT&amp;UT</v>
          </cell>
          <cell r="G1068" t="str">
            <v>D</v>
          </cell>
          <cell r="H1068">
            <v>2869.96</v>
          </cell>
          <cell r="I1068" t="str">
            <v>25/35</v>
          </cell>
          <cell r="K1068" t="str">
            <v>WPS-TNHA-S06</v>
          </cell>
          <cell r="L1068" t="str">
            <v>ST-09</v>
          </cell>
          <cell r="M1068" t="str">
            <v>XUÂN</v>
          </cell>
          <cell r="N1068">
            <v>45987</v>
          </cell>
          <cell r="O1068" t="str">
            <v>F-105</v>
          </cell>
          <cell r="P1068" t="str">
            <v>15h 27/11/2025</v>
          </cell>
          <cell r="Q1068" t="str">
            <v>PD-05;PD-16</v>
          </cell>
          <cell r="R1068" t="str">
            <v>BÁCH</v>
          </cell>
          <cell r="S1068">
            <v>45998</v>
          </cell>
          <cell r="T1068" t="str">
            <v>V-121</v>
          </cell>
          <cell r="Y1068" t="str">
            <v>FINISH</v>
          </cell>
          <cell r="Z1068" t="str">
            <v>ACC</v>
          </cell>
          <cell r="AA1068" t="str">
            <v>ACC</v>
          </cell>
          <cell r="AB1068" t="str">
            <v>MT-2211-ST-09-0011</v>
          </cell>
          <cell r="AC1068" t="str">
            <v>ACC</v>
          </cell>
          <cell r="AD1068" t="str">
            <v>UT-2211-ST-09-0009</v>
          </cell>
          <cell r="AP1068" t="str">
            <v>10/12/2025</v>
          </cell>
        </row>
        <row r="1069">
          <cell r="A1069" t="str">
            <v>9001-2211-DS-0017-01-WM47</v>
          </cell>
          <cell r="B1069" t="str">
            <v>9001-2211-DS-0017-01-WM</v>
          </cell>
          <cell r="C1069">
            <v>47</v>
          </cell>
          <cell r="E1069" t="str">
            <v>SB</v>
          </cell>
          <cell r="F1069" t="str">
            <v>100%MT&amp;UT</v>
          </cell>
          <cell r="G1069" t="str">
            <v>D</v>
          </cell>
          <cell r="H1069">
            <v>1915.4</v>
          </cell>
          <cell r="I1069">
            <v>12</v>
          </cell>
          <cell r="K1069" t="str">
            <v>WPS-TNHA-S07</v>
          </cell>
          <cell r="L1069" t="str">
            <v>ST-09</v>
          </cell>
          <cell r="Y1069" t="str">
            <v>NOT YET FITUP</v>
          </cell>
        </row>
        <row r="1070">
          <cell r="A1070" t="str">
            <v>9001-2211-DS-0017-01-WM48</v>
          </cell>
          <cell r="B1070" t="str">
            <v>9001-2211-DS-0017-01-WM</v>
          </cell>
          <cell r="C1070">
            <v>48</v>
          </cell>
          <cell r="E1070" t="str">
            <v>SB</v>
          </cell>
          <cell r="F1070" t="str">
            <v>100%MT&amp;UT</v>
          </cell>
          <cell r="G1070" t="str">
            <v>D</v>
          </cell>
          <cell r="H1070">
            <v>1595.1200000000001</v>
          </cell>
          <cell r="I1070">
            <v>10</v>
          </cell>
          <cell r="K1070" t="str">
            <v>WPS-TNHA-S07</v>
          </cell>
          <cell r="L1070" t="str">
            <v>ST-09</v>
          </cell>
          <cell r="M1070" t="str">
            <v>BÁCH</v>
          </cell>
          <cell r="N1070">
            <v>46007</v>
          </cell>
          <cell r="O1070" t="str">
            <v>F-136</v>
          </cell>
          <cell r="P1070" t="str">
            <v>15h 16/12/2025</v>
          </cell>
          <cell r="Q1070" t="str">
            <v>TNHA-SL-003;TNHA-SL-012</v>
          </cell>
          <cell r="R1070" t="str">
            <v>XUÂN</v>
          </cell>
          <cell r="S1070">
            <v>46010</v>
          </cell>
          <cell r="T1070" t="str">
            <v>V-148</v>
          </cell>
          <cell r="Y1070" t="str">
            <v>FINISH</v>
          </cell>
          <cell r="Z1070" t="str">
            <v>ACC</v>
          </cell>
          <cell r="AA1070" t="str">
            <v>ACC</v>
          </cell>
          <cell r="AB1070" t="str">
            <v>MT-2211-ST-09-0024</v>
          </cell>
          <cell r="AC1070" t="str">
            <v>ACC</v>
          </cell>
          <cell r="AD1070" t="str">
            <v>UT-2211-ST-09-0024</v>
          </cell>
          <cell r="AP1070" t="str">
            <v>23/12/2025</v>
          </cell>
        </row>
        <row r="1071">
          <cell r="A1071" t="str">
            <v>9001-2211-DS-0017-01-WM49</v>
          </cell>
          <cell r="B1071" t="str">
            <v>9001-2211-DS-0017-01-WM</v>
          </cell>
          <cell r="C1071">
            <v>49</v>
          </cell>
          <cell r="E1071" t="str">
            <v>SB</v>
          </cell>
          <cell r="F1071" t="str">
            <v>100%MT&amp;UT</v>
          </cell>
          <cell r="G1071" t="str">
            <v>D</v>
          </cell>
          <cell r="H1071">
            <v>2869.96</v>
          </cell>
          <cell r="I1071">
            <v>25</v>
          </cell>
          <cell r="K1071" t="str">
            <v>WPS-TNHA-S07</v>
          </cell>
          <cell r="L1071" t="str">
            <v>ST-09</v>
          </cell>
          <cell r="M1071" t="str">
            <v>BÁCH</v>
          </cell>
          <cell r="N1071">
            <v>46001</v>
          </cell>
          <cell r="O1071" t="str">
            <v>F-125</v>
          </cell>
          <cell r="P1071" t="str">
            <v>18h15 10/12/2025</v>
          </cell>
          <cell r="Q1071" t="str">
            <v>DHN-SL-42;PD-16</v>
          </cell>
          <cell r="R1071" t="str">
            <v>BÁCH</v>
          </cell>
          <cell r="S1071">
            <v>46004</v>
          </cell>
          <cell r="T1071" t="str">
            <v>V-136</v>
          </cell>
          <cell r="Y1071" t="str">
            <v>FINISH</v>
          </cell>
          <cell r="Z1071" t="str">
            <v>ACC</v>
          </cell>
          <cell r="AA1071" t="str">
            <v>ACC</v>
          </cell>
          <cell r="AB1071" t="str">
            <v>MT-2211-ST-09-0018</v>
          </cell>
          <cell r="AC1071" t="str">
            <v>ACC</v>
          </cell>
          <cell r="AD1071" t="str">
            <v>UT-2211-ST-09-0017</v>
          </cell>
          <cell r="AP1071" t="str">
            <v>16/12/2025</v>
          </cell>
        </row>
        <row r="1072">
          <cell r="A1072" t="str">
            <v>9001-2211-DS-0017-01-WM50</v>
          </cell>
          <cell r="B1072" t="str">
            <v>9001-2211-DS-0017-01-WM</v>
          </cell>
          <cell r="C1072">
            <v>50</v>
          </cell>
          <cell r="E1072" t="str">
            <v>SB</v>
          </cell>
          <cell r="F1072" t="str">
            <v>100%MT&amp;UT</v>
          </cell>
          <cell r="G1072" t="str">
            <v>D</v>
          </cell>
          <cell r="H1072">
            <v>1595.1200000000001</v>
          </cell>
          <cell r="I1072">
            <v>10</v>
          </cell>
          <cell r="K1072" t="str">
            <v>WPS-TNHA-S07</v>
          </cell>
          <cell r="L1072" t="str">
            <v>ST-09</v>
          </cell>
          <cell r="M1072" t="str">
            <v>BÁCH</v>
          </cell>
          <cell r="N1072">
            <v>46007</v>
          </cell>
          <cell r="O1072" t="str">
            <v>F-136</v>
          </cell>
          <cell r="P1072" t="str">
            <v>15h 16/12/2025</v>
          </cell>
          <cell r="Q1072" t="str">
            <v>TNHA-SL-003;TNHA-SL-012</v>
          </cell>
          <cell r="R1072" t="str">
            <v>XUÂN</v>
          </cell>
          <cell r="S1072">
            <v>46010</v>
          </cell>
          <cell r="T1072" t="str">
            <v>V-148</v>
          </cell>
          <cell r="Y1072" t="str">
            <v>FINISH</v>
          </cell>
          <cell r="Z1072" t="str">
            <v>ACC</v>
          </cell>
          <cell r="AA1072" t="str">
            <v>ACC</v>
          </cell>
          <cell r="AB1072" t="str">
            <v>MT-2211-ST-09-0024</v>
          </cell>
          <cell r="AC1072" t="str">
            <v>ACC</v>
          </cell>
          <cell r="AD1072" t="str">
            <v>UT-2211-ST-09-0024</v>
          </cell>
          <cell r="AP1072" t="str">
            <v>23/12/2025</v>
          </cell>
        </row>
        <row r="1073">
          <cell r="A1073" t="str">
            <v>9001-2211-DS-0017-01-WM51</v>
          </cell>
          <cell r="B1073" t="str">
            <v>9001-2211-DS-0017-01-WM</v>
          </cell>
          <cell r="C1073">
            <v>51</v>
          </cell>
          <cell r="E1073" t="str">
            <v>SB</v>
          </cell>
          <cell r="F1073" t="str">
            <v>100%MT&amp;UT</v>
          </cell>
          <cell r="G1073" t="str">
            <v>D</v>
          </cell>
          <cell r="H1073">
            <v>1595.1200000000001</v>
          </cell>
          <cell r="I1073">
            <v>10</v>
          </cell>
          <cell r="K1073" t="str">
            <v>WPS-TNHA-S07</v>
          </cell>
          <cell r="L1073" t="str">
            <v>ST-09</v>
          </cell>
          <cell r="M1073" t="str">
            <v>XUÂN</v>
          </cell>
          <cell r="N1073">
            <v>46003</v>
          </cell>
          <cell r="O1073" t="str">
            <v>F-130</v>
          </cell>
          <cell r="P1073" t="str">
            <v>15h 13/12/2025</v>
          </cell>
          <cell r="Q1073" t="str">
            <v>TNHA-SL-001;TNHA-SL-012</v>
          </cell>
          <cell r="R1073" t="str">
            <v>BÁCH</v>
          </cell>
          <cell r="S1073">
            <v>46007</v>
          </cell>
          <cell r="T1073" t="str">
            <v>V-143</v>
          </cell>
          <cell r="Y1073" t="str">
            <v>FINISH</v>
          </cell>
          <cell r="Z1073" t="str">
            <v>ACC</v>
          </cell>
          <cell r="AA1073" t="str">
            <v>ACC</v>
          </cell>
          <cell r="AB1073" t="str">
            <v>MT-2211-ST-09-0020</v>
          </cell>
          <cell r="AC1073" t="str">
            <v>ACC</v>
          </cell>
          <cell r="AD1073" t="str">
            <v>UT-2211-ST-09-0021</v>
          </cell>
          <cell r="AP1073" t="str">
            <v>23/12/2025</v>
          </cell>
        </row>
        <row r="1074">
          <cell r="A1074" t="str">
            <v>9001-2211-DS-0017-01-WM52</v>
          </cell>
          <cell r="B1074" t="str">
            <v>9001-2211-DS-0017-01-WM</v>
          </cell>
          <cell r="C1074">
            <v>52</v>
          </cell>
          <cell r="E1074" t="str">
            <v>SB</v>
          </cell>
          <cell r="F1074" t="str">
            <v>100%MT&amp;UT</v>
          </cell>
          <cell r="G1074" t="str">
            <v>D</v>
          </cell>
          <cell r="H1074">
            <v>1915.4</v>
          </cell>
          <cell r="I1074">
            <v>12</v>
          </cell>
          <cell r="K1074" t="str">
            <v>WPS-TNHA-S07</v>
          </cell>
          <cell r="L1074" t="str">
            <v>ST-09</v>
          </cell>
          <cell r="M1074" t="str">
            <v>BÁCH</v>
          </cell>
          <cell r="N1074">
            <v>46001</v>
          </cell>
          <cell r="O1074" t="str">
            <v>F-126</v>
          </cell>
          <cell r="P1074">
            <v>46002</v>
          </cell>
          <cell r="Q1074" t="str">
            <v>DHN-SL-20;DHN-SL-21</v>
          </cell>
          <cell r="R1074" t="str">
            <v>BACH</v>
          </cell>
          <cell r="S1074">
            <v>46005</v>
          </cell>
          <cell r="T1074" t="str">
            <v>V-138</v>
          </cell>
          <cell r="Y1074" t="str">
            <v>FINISH</v>
          </cell>
          <cell r="Z1074" t="str">
            <v>ACC</v>
          </cell>
          <cell r="AA1074" t="str">
            <v>ACC</v>
          </cell>
          <cell r="AB1074" t="str">
            <v>MT-2211-ST-09-0019</v>
          </cell>
          <cell r="AC1074" t="str">
            <v>ACC</v>
          </cell>
          <cell r="AD1074" t="str">
            <v>UT-2211-ST-09-0020</v>
          </cell>
          <cell r="AP1074" t="str">
            <v>16/12/2025</v>
          </cell>
        </row>
        <row r="1075">
          <cell r="A1075" t="str">
            <v>9001-2211-DS-0017-01-WM53</v>
          </cell>
          <cell r="B1075" t="str">
            <v>9001-2211-DS-0017-01-WM</v>
          </cell>
          <cell r="C1075">
            <v>53</v>
          </cell>
          <cell r="E1075" t="str">
            <v>SB</v>
          </cell>
          <cell r="F1075" t="str">
            <v>100%MT&amp;UT</v>
          </cell>
          <cell r="G1075" t="str">
            <v>D</v>
          </cell>
          <cell r="H1075">
            <v>1915.4</v>
          </cell>
          <cell r="I1075">
            <v>12</v>
          </cell>
          <cell r="K1075" t="str">
            <v>WPS-TNHA-S07</v>
          </cell>
          <cell r="L1075" t="str">
            <v>ST-09</v>
          </cell>
          <cell r="Y1075" t="str">
            <v>NOT YET FITUP</v>
          </cell>
        </row>
        <row r="1076">
          <cell r="A1076" t="str">
            <v>9001-2211-DS-0017-01-WM54</v>
          </cell>
          <cell r="B1076" t="str">
            <v>9001-2211-DS-0017-01-WM</v>
          </cell>
          <cell r="C1076">
            <v>54</v>
          </cell>
          <cell r="E1076" t="str">
            <v>SB</v>
          </cell>
          <cell r="F1076" t="str">
            <v>100%MT&amp;UT</v>
          </cell>
          <cell r="G1076" t="str">
            <v>D</v>
          </cell>
          <cell r="H1076">
            <v>1595.1200000000001</v>
          </cell>
          <cell r="I1076">
            <v>10</v>
          </cell>
          <cell r="K1076" t="str">
            <v>WPS-TNHA-S07</v>
          </cell>
          <cell r="L1076" t="str">
            <v>ST-09</v>
          </cell>
          <cell r="M1076" t="str">
            <v>XUÂN</v>
          </cell>
          <cell r="N1076">
            <v>46003</v>
          </cell>
          <cell r="O1076" t="str">
            <v>F-130</v>
          </cell>
          <cell r="P1076" t="str">
            <v>15h 13/12/2025</v>
          </cell>
          <cell r="Q1076" t="str">
            <v>TNHA-SL-001;TNHA-SL-012</v>
          </cell>
          <cell r="R1076" t="str">
            <v>BÁCH</v>
          </cell>
          <cell r="S1076">
            <v>46007</v>
          </cell>
          <cell r="T1076" t="str">
            <v>V-143</v>
          </cell>
          <cell r="Y1076" t="str">
            <v>FINISH</v>
          </cell>
          <cell r="Z1076" t="str">
            <v>ACC</v>
          </cell>
          <cell r="AA1076" t="str">
            <v>ACC</v>
          </cell>
          <cell r="AB1076" t="str">
            <v>MT-2211-ST-09-0020</v>
          </cell>
          <cell r="AC1076" t="str">
            <v>ACC</v>
          </cell>
          <cell r="AD1076" t="str">
            <v>UT-2211-ST-09-0021</v>
          </cell>
          <cell r="AP1076" t="str">
            <v>23/12/2025</v>
          </cell>
        </row>
        <row r="1077">
          <cell r="A1077" t="str">
            <v>9001-2211-DS-0017-01-WM55</v>
          </cell>
          <cell r="B1077" t="str">
            <v>9001-2211-DS-0017-01-WM</v>
          </cell>
          <cell r="C1077">
            <v>55</v>
          </cell>
          <cell r="E1077" t="str">
            <v>SB</v>
          </cell>
          <cell r="F1077" t="str">
            <v>100%MT&amp;UT</v>
          </cell>
          <cell r="G1077" t="str">
            <v>D</v>
          </cell>
          <cell r="H1077">
            <v>1915.4</v>
          </cell>
          <cell r="I1077">
            <v>12</v>
          </cell>
          <cell r="K1077" t="str">
            <v>WPS-TNHA-S07</v>
          </cell>
          <cell r="L1077" t="str">
            <v>ST-09</v>
          </cell>
          <cell r="M1077" t="str">
            <v>BÁCH</v>
          </cell>
          <cell r="N1077">
            <v>46001</v>
          </cell>
          <cell r="O1077" t="str">
            <v>F-126</v>
          </cell>
          <cell r="P1077">
            <v>46002</v>
          </cell>
          <cell r="Q1077" t="str">
            <v>PD-16;PD-17</v>
          </cell>
          <cell r="R1077" t="str">
            <v>BACH</v>
          </cell>
          <cell r="S1077">
            <v>46005</v>
          </cell>
          <cell r="T1077" t="str">
            <v>V-138</v>
          </cell>
          <cell r="Y1077" t="str">
            <v>FINISH</v>
          </cell>
          <cell r="Z1077" t="str">
            <v>ACC</v>
          </cell>
          <cell r="AA1077" t="str">
            <v>ACC</v>
          </cell>
          <cell r="AB1077" t="str">
            <v>MT-2211-ST-09-0019</v>
          </cell>
          <cell r="AC1077" t="str">
            <v>ACC</v>
          </cell>
          <cell r="AD1077" t="str">
            <v>UT-2211-ST-09-0020</v>
          </cell>
          <cell r="AP1077" t="str">
            <v>16/12/2025</v>
          </cell>
        </row>
        <row r="1078">
          <cell r="A1078" t="str">
            <v>9001-2211-DS-0017-01-WM56</v>
          </cell>
          <cell r="B1078" t="str">
            <v>9001-2211-DS-0017-01-WM</v>
          </cell>
          <cell r="C1078">
            <v>56</v>
          </cell>
          <cell r="E1078" t="str">
            <v>SB</v>
          </cell>
          <cell r="F1078" t="str">
            <v>100%MT&amp;UT</v>
          </cell>
          <cell r="G1078" t="str">
            <v>D</v>
          </cell>
          <cell r="H1078">
            <v>1595.1200000000001</v>
          </cell>
          <cell r="I1078">
            <v>10</v>
          </cell>
          <cell r="K1078" t="str">
            <v>WPS-TNHA-S07</v>
          </cell>
          <cell r="L1078" t="str">
            <v>ST-09</v>
          </cell>
          <cell r="M1078" t="str">
            <v>XUÂN</v>
          </cell>
          <cell r="N1078">
            <v>46003</v>
          </cell>
          <cell r="O1078" t="str">
            <v>F-130</v>
          </cell>
          <cell r="P1078" t="str">
            <v>15h 12/12/2025</v>
          </cell>
          <cell r="Q1078" t="str">
            <v>TNHA-SL-003;TNHA-SL-012</v>
          </cell>
          <cell r="R1078" t="str">
            <v>BÁCH</v>
          </cell>
          <cell r="S1078">
            <v>46007</v>
          </cell>
          <cell r="T1078" t="str">
            <v>V-143</v>
          </cell>
          <cell r="Y1078" t="str">
            <v>FINISH</v>
          </cell>
          <cell r="Z1078" t="str">
            <v>ACC</v>
          </cell>
          <cell r="AA1078" t="str">
            <v>ACC</v>
          </cell>
          <cell r="AB1078" t="str">
            <v>MT-2211-ST-09-0020</v>
          </cell>
          <cell r="AC1078" t="str">
            <v>ACC</v>
          </cell>
          <cell r="AD1078" t="str">
            <v>UT-2211-ST-09-0021</v>
          </cell>
          <cell r="AP1078" t="str">
            <v>23/12/2025</v>
          </cell>
        </row>
        <row r="1079">
          <cell r="A1079" t="str">
            <v>9001-2211-DS-0017-01-WM57</v>
          </cell>
          <cell r="B1079" t="str">
            <v>9001-2211-DS-0017-01-WM</v>
          </cell>
          <cell r="C1079">
            <v>57</v>
          </cell>
          <cell r="E1079" t="str">
            <v>SB</v>
          </cell>
          <cell r="F1079" t="str">
            <v>100%MT&amp;UT</v>
          </cell>
          <cell r="G1079" t="str">
            <v>D</v>
          </cell>
          <cell r="H1079">
            <v>1595.1200000000001</v>
          </cell>
          <cell r="I1079">
            <v>10</v>
          </cell>
          <cell r="K1079" t="str">
            <v>WPS-TNHA-S07</v>
          </cell>
          <cell r="L1079" t="str">
            <v>ST-09</v>
          </cell>
          <cell r="M1079" t="str">
            <v>XUÂN</v>
          </cell>
          <cell r="N1079">
            <v>46003</v>
          </cell>
          <cell r="O1079" t="str">
            <v>F-130</v>
          </cell>
          <cell r="P1079" t="str">
            <v>15h 12/12/2025</v>
          </cell>
          <cell r="Q1079" t="str">
            <v>TNHA-SL-003;TNHA-SL-012</v>
          </cell>
          <cell r="R1079" t="str">
            <v>BÁCH</v>
          </cell>
          <cell r="S1079">
            <v>46007</v>
          </cell>
          <cell r="T1079" t="str">
            <v>V-143</v>
          </cell>
          <cell r="Y1079" t="str">
            <v>FINISH</v>
          </cell>
          <cell r="Z1079" t="str">
            <v>ACC</v>
          </cell>
          <cell r="AA1079" t="str">
            <v>ACC</v>
          </cell>
          <cell r="AB1079" t="str">
            <v>MT-2211-ST-09-0020</v>
          </cell>
          <cell r="AC1079" t="str">
            <v>ACC</v>
          </cell>
          <cell r="AD1079" t="str">
            <v>UT-2211-ST-09-0021</v>
          </cell>
          <cell r="AP1079" t="str">
            <v>23/12/2025</v>
          </cell>
        </row>
        <row r="1080">
          <cell r="A1080" t="str">
            <v>9001-2211-DS-0017-01-WM58</v>
          </cell>
          <cell r="B1080" t="str">
            <v>9001-2211-DS-0017-01-WM</v>
          </cell>
          <cell r="C1080">
            <v>58</v>
          </cell>
          <cell r="E1080" t="str">
            <v>SB</v>
          </cell>
          <cell r="F1080" t="str">
            <v>100%MT&amp;UT</v>
          </cell>
          <cell r="G1080" t="str">
            <v>D</v>
          </cell>
          <cell r="H1080">
            <v>1915.4</v>
          </cell>
          <cell r="I1080">
            <v>12</v>
          </cell>
          <cell r="K1080" t="str">
            <v>WPS-TNHA-S07</v>
          </cell>
          <cell r="L1080" t="str">
            <v>ST-09</v>
          </cell>
          <cell r="Y1080" t="str">
            <v>NOT YET FITUP</v>
          </cell>
        </row>
        <row r="1081">
          <cell r="A1081" t="str">
            <v>9001-2211-DS-0017-01-WM59</v>
          </cell>
          <cell r="B1081" t="str">
            <v>9001-2211-DS-0017-01-WM</v>
          </cell>
          <cell r="C1081">
            <v>59</v>
          </cell>
          <cell r="E1081" t="str">
            <v>SB</v>
          </cell>
          <cell r="F1081" t="str">
            <v>100%MT&amp;UT</v>
          </cell>
          <cell r="G1081" t="str">
            <v>D</v>
          </cell>
          <cell r="H1081">
            <v>1915.4</v>
          </cell>
          <cell r="I1081">
            <v>12</v>
          </cell>
          <cell r="K1081" t="str">
            <v>WPS-TNHA-S07</v>
          </cell>
          <cell r="L1081" t="str">
            <v>ST-09</v>
          </cell>
          <cell r="M1081" t="str">
            <v>BÁCH</v>
          </cell>
          <cell r="N1081">
            <v>46001</v>
          </cell>
          <cell r="O1081" t="str">
            <v>F-126</v>
          </cell>
          <cell r="P1081" t="str">
            <v>10h30 12/12/2025</v>
          </cell>
          <cell r="Q1081" t="str">
            <v>DHN-SL-20;DHN-SL-42</v>
          </cell>
          <cell r="R1081" t="str">
            <v>BÁCH</v>
          </cell>
          <cell r="S1081">
            <v>46004</v>
          </cell>
          <cell r="T1081" t="str">
            <v>V-136</v>
          </cell>
          <cell r="Y1081" t="str">
            <v>FINISH</v>
          </cell>
          <cell r="Z1081" t="str">
            <v>ACC</v>
          </cell>
          <cell r="AA1081" t="str">
            <v>ACC</v>
          </cell>
          <cell r="AB1081" t="str">
            <v>MT-2211-ST-09-0018</v>
          </cell>
          <cell r="AC1081" t="str">
            <v>ACC</v>
          </cell>
          <cell r="AD1081" t="str">
            <v>UT-2211-ST-09-0017</v>
          </cell>
          <cell r="AP1081" t="str">
            <v>16/12/2025</v>
          </cell>
        </row>
        <row r="1082">
          <cell r="A1082" t="str">
            <v>9001-2211-DS-0017-01-WM60</v>
          </cell>
          <cell r="B1082" t="str">
            <v>9001-2211-DS-0017-01-WM</v>
          </cell>
          <cell r="C1082">
            <v>60</v>
          </cell>
          <cell r="E1082" t="str">
            <v>SB</v>
          </cell>
          <cell r="F1082" t="str">
            <v>100%MT&amp;UT</v>
          </cell>
          <cell r="G1082" t="str">
            <v>D</v>
          </cell>
          <cell r="H1082">
            <v>1595.1200000000001</v>
          </cell>
          <cell r="I1082">
            <v>10</v>
          </cell>
          <cell r="K1082" t="str">
            <v>WPS-TNHA-S07</v>
          </cell>
          <cell r="L1082" t="str">
            <v>ST-09</v>
          </cell>
          <cell r="M1082" t="str">
            <v>BÁCH</v>
          </cell>
          <cell r="N1082">
            <v>46007</v>
          </cell>
          <cell r="O1082" t="str">
            <v>F-136</v>
          </cell>
          <cell r="P1082" t="str">
            <v>18h 16/12/2025</v>
          </cell>
          <cell r="Q1082" t="str">
            <v>PD-16;DHN-SL-43</v>
          </cell>
          <cell r="R1082" t="str">
            <v>XUÂN</v>
          </cell>
          <cell r="S1082">
            <v>46010</v>
          </cell>
          <cell r="T1082" t="str">
            <v>V-148</v>
          </cell>
          <cell r="Y1082" t="str">
            <v>FINISH</v>
          </cell>
          <cell r="Z1082" t="str">
            <v>ACC</v>
          </cell>
          <cell r="AA1082" t="str">
            <v>ACC</v>
          </cell>
          <cell r="AB1082" t="str">
            <v>MT-2211-ST-09-0024</v>
          </cell>
          <cell r="AC1082" t="str">
            <v>ACC</v>
          </cell>
          <cell r="AD1082" t="str">
            <v>UT-2211-ST-09-0024</v>
          </cell>
          <cell r="AP1082" t="str">
            <v>23/12/2025</v>
          </cell>
        </row>
        <row r="1083">
          <cell r="A1083" t="str">
            <v>9001-2211-DS-0017-01-WM61</v>
          </cell>
          <cell r="B1083" t="str">
            <v>9001-2211-DS-0017-01-WM</v>
          </cell>
          <cell r="C1083">
            <v>61</v>
          </cell>
          <cell r="E1083" t="str">
            <v>SB</v>
          </cell>
          <cell r="F1083" t="str">
            <v>100%MT&amp;UT</v>
          </cell>
          <cell r="G1083" t="str">
            <v>D</v>
          </cell>
          <cell r="H1083">
            <v>1595.1200000000001</v>
          </cell>
          <cell r="I1083">
            <v>10</v>
          </cell>
          <cell r="K1083" t="str">
            <v>WPS-TNHA-S07</v>
          </cell>
          <cell r="L1083" t="str">
            <v>ST-09</v>
          </cell>
          <cell r="Y1083" t="str">
            <v>NOT YET FITUP</v>
          </cell>
        </row>
        <row r="1084">
          <cell r="A1084" t="str">
            <v>9001-2211-DS-0017-01-WM62</v>
          </cell>
          <cell r="B1084" t="str">
            <v>9001-2211-DS-0017-01-WM</v>
          </cell>
          <cell r="C1084">
            <v>62</v>
          </cell>
          <cell r="E1084" t="str">
            <v>SB</v>
          </cell>
          <cell r="F1084" t="str">
            <v>100%MT&amp;UT</v>
          </cell>
          <cell r="G1084" t="str">
            <v>D</v>
          </cell>
          <cell r="H1084">
            <v>1915.4</v>
          </cell>
          <cell r="I1084">
            <v>12</v>
          </cell>
          <cell r="K1084" t="str">
            <v>WPS-TNHA-S07</v>
          </cell>
          <cell r="L1084" t="str">
            <v>ST-09</v>
          </cell>
          <cell r="Y1084" t="str">
            <v>NOT YET FITUP</v>
          </cell>
        </row>
        <row r="1085">
          <cell r="A1085" t="str">
            <v>9001-2211-DS-0017-01-WM63</v>
          </cell>
          <cell r="B1085" t="str">
            <v>9001-2211-DS-0017-01-WM</v>
          </cell>
          <cell r="C1085">
            <v>63</v>
          </cell>
          <cell r="E1085" t="str">
            <v>SB</v>
          </cell>
          <cell r="F1085" t="str">
            <v>100%MT&amp;UT</v>
          </cell>
          <cell r="G1085" t="str">
            <v>D</v>
          </cell>
          <cell r="H1085">
            <v>1915.4</v>
          </cell>
          <cell r="I1085">
            <v>12</v>
          </cell>
          <cell r="K1085" t="str">
            <v>WPS-TNHA-S07</v>
          </cell>
          <cell r="L1085" t="str">
            <v>ST-09</v>
          </cell>
          <cell r="M1085" t="str">
            <v>BÁCH</v>
          </cell>
          <cell r="N1085">
            <v>46001</v>
          </cell>
          <cell r="O1085" t="str">
            <v>F-126</v>
          </cell>
          <cell r="P1085">
            <v>46002</v>
          </cell>
          <cell r="Q1085" t="str">
            <v>PD-16;PD-17</v>
          </cell>
          <cell r="R1085" t="str">
            <v>BACH</v>
          </cell>
          <cell r="S1085">
            <v>46005</v>
          </cell>
          <cell r="T1085" t="str">
            <v>V-138</v>
          </cell>
          <cell r="Y1085" t="str">
            <v>FINISH</v>
          </cell>
          <cell r="Z1085" t="str">
            <v>ACC</v>
          </cell>
          <cell r="AA1085" t="str">
            <v>ACC</v>
          </cell>
          <cell r="AB1085" t="str">
            <v>MT-2211-ST-09-0019</v>
          </cell>
          <cell r="AC1085" t="str">
            <v>ACC</v>
          </cell>
          <cell r="AD1085" t="str">
            <v>UT-2211-ST-09-0020</v>
          </cell>
          <cell r="AP1085" t="str">
            <v>16/12/2025</v>
          </cell>
        </row>
        <row r="1086">
          <cell r="A1086" t="str">
            <v>9001-2211-DS-0017-01-WM63A</v>
          </cell>
          <cell r="B1086" t="str">
            <v>9001-2211-DS-0017-01-WM</v>
          </cell>
          <cell r="C1086" t="str">
            <v>63A</v>
          </cell>
          <cell r="E1086" t="str">
            <v>SB</v>
          </cell>
          <cell r="F1086" t="str">
            <v>100%MT&amp;UT</v>
          </cell>
          <cell r="G1086" t="str">
            <v>D</v>
          </cell>
          <cell r="H1086">
            <v>1595.1200000000001</v>
          </cell>
          <cell r="I1086">
            <v>10</v>
          </cell>
          <cell r="K1086" t="str">
            <v>WPS-TNHA-S07</v>
          </cell>
          <cell r="L1086" t="str">
            <v>ST-09</v>
          </cell>
          <cell r="M1086" t="str">
            <v>BÁCH</v>
          </cell>
          <cell r="N1086">
            <v>46007</v>
          </cell>
          <cell r="O1086" t="str">
            <v>F-136</v>
          </cell>
          <cell r="P1086" t="str">
            <v>11h30 17/12/2025</v>
          </cell>
          <cell r="Q1086" t="str">
            <v>TNHA-SL-003;TNHA-SL-012</v>
          </cell>
          <cell r="R1086" t="str">
            <v>XUÂN</v>
          </cell>
          <cell r="S1086">
            <v>46010</v>
          </cell>
          <cell r="T1086" t="str">
            <v>V-148</v>
          </cell>
          <cell r="Y1086" t="str">
            <v>FINISH</v>
          </cell>
          <cell r="Z1086" t="str">
            <v>ACC</v>
          </cell>
          <cell r="AA1086" t="str">
            <v>ACC</v>
          </cell>
          <cell r="AB1086" t="str">
            <v>MT-2211-ST-09-0024</v>
          </cell>
          <cell r="AC1086" t="str">
            <v>ACC</v>
          </cell>
          <cell r="AD1086" t="str">
            <v>UT-2211-ST-09-0024</v>
          </cell>
          <cell r="AP1086" t="str">
            <v>23/12/2025</v>
          </cell>
        </row>
        <row r="1087">
          <cell r="A1087" t="str">
            <v>9001-2211-DS-0017-01-WM64</v>
          </cell>
          <cell r="B1087" t="str">
            <v>9001-2211-DS-0017-01-WM</v>
          </cell>
          <cell r="C1087">
            <v>64</v>
          </cell>
          <cell r="E1087" t="str">
            <v>SB</v>
          </cell>
          <cell r="F1087" t="str">
            <v>100%MT&amp;UT</v>
          </cell>
          <cell r="G1087" t="str">
            <v>D</v>
          </cell>
          <cell r="H1087">
            <v>1915.4</v>
          </cell>
          <cell r="I1087">
            <v>12</v>
          </cell>
          <cell r="K1087" t="str">
            <v>WPS-TNHA-S07</v>
          </cell>
          <cell r="L1087" t="str">
            <v>ST-09</v>
          </cell>
          <cell r="Y1087" t="str">
            <v>NOT YET FITUP</v>
          </cell>
        </row>
        <row r="1088">
          <cell r="A1088" t="str">
            <v>9001-2211-DS-0017-01-WM65</v>
          </cell>
          <cell r="B1088" t="str">
            <v>9001-2211-DS-0017-01-WM</v>
          </cell>
          <cell r="C1088">
            <v>65</v>
          </cell>
          <cell r="E1088" t="str">
            <v>SB</v>
          </cell>
          <cell r="F1088" t="str">
            <v>100%MT&amp;UT</v>
          </cell>
          <cell r="G1088" t="str">
            <v>D</v>
          </cell>
          <cell r="H1088">
            <v>1595.1200000000001</v>
          </cell>
          <cell r="I1088">
            <v>10</v>
          </cell>
          <cell r="K1088" t="str">
            <v>WPS-TNHA-S07</v>
          </cell>
          <cell r="L1088" t="str">
            <v>ST-09</v>
          </cell>
          <cell r="M1088" t="str">
            <v>BÁCH</v>
          </cell>
          <cell r="N1088">
            <v>46007</v>
          </cell>
          <cell r="O1088" t="str">
            <v>F-136</v>
          </cell>
          <cell r="P1088" t="str">
            <v>14h15 16/12/2025</v>
          </cell>
          <cell r="Q1088" t="str">
            <v>PD-16;DHN-SL-20</v>
          </cell>
          <cell r="R1088" t="str">
            <v>XUÂN</v>
          </cell>
          <cell r="S1088">
            <v>46010</v>
          </cell>
          <cell r="T1088" t="str">
            <v>V-148</v>
          </cell>
          <cell r="Y1088" t="str">
            <v>FINISH</v>
          </cell>
          <cell r="Z1088" t="str">
            <v>ACC</v>
          </cell>
          <cell r="AA1088" t="str">
            <v>ACC</v>
          </cell>
          <cell r="AB1088" t="str">
            <v>MT-2211-ST-09-0024</v>
          </cell>
          <cell r="AC1088" t="str">
            <v>ACC</v>
          </cell>
          <cell r="AD1088" t="str">
            <v>UT-2211-ST-09-0024</v>
          </cell>
          <cell r="AP1088" t="str">
            <v>23/12/2025</v>
          </cell>
        </row>
        <row r="1089">
          <cell r="A1089" t="str">
            <v>9001-2211-DS-0017-01-WM66</v>
          </cell>
          <cell r="B1089" t="str">
            <v>9001-2211-DS-0017-01-WM</v>
          </cell>
          <cell r="C1089">
            <v>66</v>
          </cell>
          <cell r="E1089" t="str">
            <v>SB</v>
          </cell>
          <cell r="F1089" t="str">
            <v>100%MT&amp;UT</v>
          </cell>
          <cell r="G1089" t="str">
            <v>D</v>
          </cell>
          <cell r="H1089">
            <v>1915.4</v>
          </cell>
          <cell r="I1089">
            <v>12</v>
          </cell>
          <cell r="K1089" t="str">
            <v>WPS-TNHA-S07</v>
          </cell>
          <cell r="L1089" t="str">
            <v>ST-09</v>
          </cell>
          <cell r="M1089" t="str">
            <v>BÁCH</v>
          </cell>
          <cell r="N1089">
            <v>46001</v>
          </cell>
          <cell r="O1089" t="str">
            <v>F-126</v>
          </cell>
          <cell r="P1089" t="str">
            <v>17h 11/12/2025</v>
          </cell>
          <cell r="Q1089" t="str">
            <v>PD-16;PD-31</v>
          </cell>
          <cell r="R1089" t="str">
            <v>BÁCH</v>
          </cell>
          <cell r="S1089">
            <v>46004</v>
          </cell>
          <cell r="T1089" t="str">
            <v>V-136</v>
          </cell>
          <cell r="Y1089" t="str">
            <v>FINISH</v>
          </cell>
          <cell r="Z1089" t="str">
            <v>ACC</v>
          </cell>
          <cell r="AA1089" t="str">
            <v>ACC</v>
          </cell>
          <cell r="AB1089" t="str">
            <v>MT-2211-ST-09-0018</v>
          </cell>
          <cell r="AC1089" t="str">
            <v>ACC</v>
          </cell>
          <cell r="AD1089" t="str">
            <v>UT-2211-ST-09-0017</v>
          </cell>
          <cell r="AP1089" t="str">
            <v>16/12/2025</v>
          </cell>
        </row>
        <row r="1090">
          <cell r="A1090" t="str">
            <v>9001-2211-DS-0017-01-WM67</v>
          </cell>
          <cell r="B1090" t="str">
            <v>9001-2211-DS-0017-01-WM</v>
          </cell>
          <cell r="C1090">
            <v>67</v>
          </cell>
          <cell r="E1090" t="str">
            <v>SB</v>
          </cell>
          <cell r="F1090" t="str">
            <v>100%MT&amp;UT</v>
          </cell>
          <cell r="G1090" t="str">
            <v>D</v>
          </cell>
          <cell r="H1090">
            <v>1595.1200000000001</v>
          </cell>
          <cell r="I1090">
            <v>10</v>
          </cell>
          <cell r="K1090" t="str">
            <v>WPS-TNHA-S07</v>
          </cell>
          <cell r="L1090" t="str">
            <v>ST-09</v>
          </cell>
          <cell r="Y1090" t="str">
            <v>NOT YET FITUP</v>
          </cell>
        </row>
        <row r="1091">
          <cell r="A1091" t="str">
            <v>9001-2211-DS-0017-01-WM68</v>
          </cell>
          <cell r="B1091" t="str">
            <v>9001-2211-DS-0017-01-WM</v>
          </cell>
          <cell r="C1091">
            <v>68</v>
          </cell>
          <cell r="E1091" t="str">
            <v>SB</v>
          </cell>
          <cell r="F1091" t="str">
            <v>100%MT&amp;UT</v>
          </cell>
          <cell r="G1091" t="str">
            <v>D</v>
          </cell>
          <cell r="H1091">
            <v>1915.4</v>
          </cell>
          <cell r="I1091">
            <v>12</v>
          </cell>
          <cell r="K1091" t="str">
            <v>WPS-TNHA-S07</v>
          </cell>
          <cell r="L1091" t="str">
            <v>ST-09</v>
          </cell>
          <cell r="Y1091" t="str">
            <v>NOT YET FITUP</v>
          </cell>
        </row>
        <row r="1092">
          <cell r="A1092" t="str">
            <v>9001-2211-DS-0017-01-WM69</v>
          </cell>
          <cell r="B1092" t="str">
            <v>9001-2211-DS-0017-01-WM</v>
          </cell>
          <cell r="C1092">
            <v>69</v>
          </cell>
          <cell r="E1092" t="str">
            <v>SB</v>
          </cell>
          <cell r="F1092" t="str">
            <v>100%MT&amp;UT</v>
          </cell>
          <cell r="G1092" t="str">
            <v>D</v>
          </cell>
          <cell r="H1092">
            <v>1595.1200000000001</v>
          </cell>
          <cell r="I1092">
            <v>10</v>
          </cell>
          <cell r="K1092" t="str">
            <v>WPS-TNHA-S07</v>
          </cell>
          <cell r="L1092" t="str">
            <v>ST-09</v>
          </cell>
          <cell r="M1092" t="str">
            <v>BÁCH</v>
          </cell>
          <cell r="N1092">
            <v>46007</v>
          </cell>
          <cell r="O1092" t="str">
            <v>F-136</v>
          </cell>
          <cell r="P1092" t="str">
            <v>14h15 16/12/2025</v>
          </cell>
          <cell r="Q1092" t="str">
            <v>PD-16;DHN-SL-20</v>
          </cell>
          <cell r="R1092" t="str">
            <v>XUÂN</v>
          </cell>
          <cell r="S1092">
            <v>46010</v>
          </cell>
          <cell r="T1092" t="str">
            <v>V-148</v>
          </cell>
          <cell r="Y1092" t="str">
            <v>FINISH</v>
          </cell>
          <cell r="Z1092" t="str">
            <v>ACC</v>
          </cell>
          <cell r="AA1092" t="str">
            <v>ACC</v>
          </cell>
          <cell r="AB1092" t="str">
            <v>MT-2211-ST-09-0024</v>
          </cell>
          <cell r="AC1092" t="str">
            <v>ACC</v>
          </cell>
          <cell r="AD1092" t="str">
            <v>UT-2211-ST-09-0024</v>
          </cell>
          <cell r="AP1092" t="str">
            <v>23/12/2025</v>
          </cell>
        </row>
        <row r="1093">
          <cell r="A1093" t="str">
            <v>9001-2211-DS-0017-01-WM70</v>
          </cell>
          <cell r="B1093" t="str">
            <v>9001-2211-DS-0017-01-WM</v>
          </cell>
          <cell r="C1093">
            <v>70</v>
          </cell>
          <cell r="E1093" t="str">
            <v>SB</v>
          </cell>
          <cell r="F1093" t="str">
            <v>100%MT&amp;UT</v>
          </cell>
          <cell r="G1093" t="str">
            <v>D</v>
          </cell>
          <cell r="H1093">
            <v>1595.1200000000001</v>
          </cell>
          <cell r="I1093">
            <v>10</v>
          </cell>
          <cell r="K1093" t="str">
            <v>WPS-TNHA-S07</v>
          </cell>
          <cell r="L1093" t="str">
            <v>ST-09</v>
          </cell>
          <cell r="M1093" t="str">
            <v>XUÂN</v>
          </cell>
          <cell r="N1093">
            <v>46003</v>
          </cell>
          <cell r="O1093" t="str">
            <v>F-130</v>
          </cell>
          <cell r="P1093" t="str">
            <v>15h 14/12/2025</v>
          </cell>
          <cell r="Q1093" t="str">
            <v>TNHA-SL-001;TNHA-SL-012</v>
          </cell>
          <cell r="R1093" t="str">
            <v>BÁCH</v>
          </cell>
          <cell r="S1093">
            <v>46007</v>
          </cell>
          <cell r="T1093" t="str">
            <v>V-143</v>
          </cell>
          <cell r="Y1093" t="str">
            <v>FINISH</v>
          </cell>
          <cell r="Z1093" t="str">
            <v>ACC</v>
          </cell>
          <cell r="AA1093" t="str">
            <v>ACC</v>
          </cell>
          <cell r="AB1093" t="str">
            <v>MT-2211-ST-09-0020</v>
          </cell>
          <cell r="AC1093" t="str">
            <v>ACC</v>
          </cell>
          <cell r="AD1093" t="str">
            <v>UT-2211-ST-09-0021</v>
          </cell>
          <cell r="AP1093" t="str">
            <v>23/12/2025</v>
          </cell>
        </row>
        <row r="1094">
          <cell r="A1094" t="str">
            <v>9001-2211-DS-0017-01-WM71</v>
          </cell>
          <cell r="B1094" t="str">
            <v>9001-2211-DS-0017-01-WM</v>
          </cell>
          <cell r="C1094">
            <v>71</v>
          </cell>
          <cell r="E1094" t="str">
            <v>SB</v>
          </cell>
          <cell r="F1094" t="str">
            <v>100%MT&amp;UT</v>
          </cell>
          <cell r="G1094" t="str">
            <v>D</v>
          </cell>
          <cell r="H1094">
            <v>1915.4</v>
          </cell>
          <cell r="I1094">
            <v>12</v>
          </cell>
          <cell r="K1094" t="str">
            <v>WPS-TNHA-S07</v>
          </cell>
          <cell r="L1094" t="str">
            <v>ST-09</v>
          </cell>
          <cell r="M1094" t="str">
            <v>BÁCH</v>
          </cell>
          <cell r="N1094">
            <v>46001</v>
          </cell>
          <cell r="O1094" t="str">
            <v>F-126</v>
          </cell>
          <cell r="P1094" t="str">
            <v>14h 11/12/2025</v>
          </cell>
          <cell r="Q1094" t="str">
            <v>PD-16;PD-31</v>
          </cell>
          <cell r="R1094" t="str">
            <v>BÁCH</v>
          </cell>
          <cell r="S1094">
            <v>46004</v>
          </cell>
          <cell r="T1094" t="str">
            <v>V-136</v>
          </cell>
          <cell r="Y1094" t="str">
            <v>FINISH</v>
          </cell>
          <cell r="Z1094" t="str">
            <v>ACC</v>
          </cell>
          <cell r="AA1094" t="str">
            <v>ACC</v>
          </cell>
          <cell r="AB1094" t="str">
            <v>MT-2211-ST-09-0018</v>
          </cell>
          <cell r="AC1094" t="str">
            <v>ACC</v>
          </cell>
          <cell r="AD1094" t="str">
            <v>UT-2211-ST-09-0017</v>
          </cell>
          <cell r="AP1094" t="str">
            <v>16/12/2025</v>
          </cell>
        </row>
        <row r="1095">
          <cell r="A1095" t="str">
            <v>9001-2211-DS-0017-01-WM72</v>
          </cell>
          <cell r="B1095" t="str">
            <v>9001-2211-DS-0017-01-WM</v>
          </cell>
          <cell r="C1095">
            <v>72</v>
          </cell>
          <cell r="E1095" t="str">
            <v>SB</v>
          </cell>
          <cell r="F1095" t="str">
            <v>100%MT&amp;UT</v>
          </cell>
          <cell r="G1095" t="str">
            <v>D</v>
          </cell>
          <cell r="H1095">
            <v>1915.4</v>
          </cell>
          <cell r="I1095">
            <v>12</v>
          </cell>
          <cell r="K1095" t="str">
            <v>WPS-TNHA-S07</v>
          </cell>
          <cell r="L1095" t="str">
            <v>ST-09</v>
          </cell>
          <cell r="Y1095" t="str">
            <v>NOT YET FITUP</v>
          </cell>
        </row>
        <row r="1096">
          <cell r="A1096" t="str">
            <v>9001-2211-DS-0017-01-WM73</v>
          </cell>
          <cell r="B1096" t="str">
            <v>9001-2211-DS-0017-01-WM</v>
          </cell>
          <cell r="C1096">
            <v>73</v>
          </cell>
          <cell r="E1096" t="str">
            <v>SB</v>
          </cell>
          <cell r="F1096" t="str">
            <v>100%MT&amp;UT</v>
          </cell>
          <cell r="G1096" t="str">
            <v>D</v>
          </cell>
          <cell r="H1096">
            <v>1595.1200000000001</v>
          </cell>
          <cell r="I1096">
            <v>10</v>
          </cell>
          <cell r="K1096" t="str">
            <v>WPS-TNHA-S07</v>
          </cell>
          <cell r="L1096" t="str">
            <v>ST-09</v>
          </cell>
          <cell r="M1096" t="str">
            <v>XUÂN</v>
          </cell>
          <cell r="N1096">
            <v>46003</v>
          </cell>
          <cell r="O1096" t="str">
            <v>F-130</v>
          </cell>
          <cell r="P1096" t="str">
            <v>15h 14/12/2025</v>
          </cell>
          <cell r="Q1096" t="str">
            <v>TNHA-SL-001;TNHA-SL-012</v>
          </cell>
          <cell r="R1096" t="str">
            <v>BÁCH</v>
          </cell>
          <cell r="S1096">
            <v>46007</v>
          </cell>
          <cell r="T1096" t="str">
            <v>V-143</v>
          </cell>
          <cell r="Y1096" t="str">
            <v>FINISH</v>
          </cell>
          <cell r="Z1096" t="str">
            <v>ACC</v>
          </cell>
          <cell r="AA1096" t="str">
            <v>ACC</v>
          </cell>
          <cell r="AB1096" t="str">
            <v>MT-2211-ST-09-0020</v>
          </cell>
          <cell r="AC1096" t="str">
            <v>ACC</v>
          </cell>
          <cell r="AD1096" t="str">
            <v>UT-2211-ST-09-0021</v>
          </cell>
          <cell r="AP1096" t="str">
            <v>23/12/2025</v>
          </cell>
        </row>
        <row r="1097">
          <cell r="A1097" t="str">
            <v>9001-2211-DS-0017-01-WM74</v>
          </cell>
          <cell r="B1097" t="str">
            <v>9001-2211-DS-0017-01-WM</v>
          </cell>
          <cell r="C1097">
            <v>74</v>
          </cell>
          <cell r="E1097" t="str">
            <v>SB</v>
          </cell>
          <cell r="F1097" t="str">
            <v>100%MT&amp;UT</v>
          </cell>
          <cell r="G1097" t="str">
            <v>D</v>
          </cell>
          <cell r="H1097">
            <v>1595.1200000000001</v>
          </cell>
          <cell r="I1097">
            <v>10</v>
          </cell>
          <cell r="K1097" t="str">
            <v>WPS-TNHA-S07</v>
          </cell>
          <cell r="L1097" t="str">
            <v>ST-09</v>
          </cell>
          <cell r="M1097" t="str">
            <v>XUÂN</v>
          </cell>
          <cell r="N1097">
            <v>46003</v>
          </cell>
          <cell r="O1097" t="str">
            <v>F-130</v>
          </cell>
          <cell r="P1097" t="str">
            <v>14h 14/12/2025</v>
          </cell>
          <cell r="Q1097" t="str">
            <v>PD-16;PD-17</v>
          </cell>
          <cell r="R1097" t="str">
            <v>BÁCH</v>
          </cell>
          <cell r="S1097">
            <v>46007</v>
          </cell>
          <cell r="T1097" t="str">
            <v>V-143</v>
          </cell>
          <cell r="Y1097" t="str">
            <v>FINISH</v>
          </cell>
          <cell r="Z1097" t="str">
            <v>ACC</v>
          </cell>
          <cell r="AA1097" t="str">
            <v>ACC</v>
          </cell>
          <cell r="AB1097" t="str">
            <v>MT-2211-ST-09-0021</v>
          </cell>
          <cell r="AC1097" t="str">
            <v>ACC</v>
          </cell>
          <cell r="AD1097" t="str">
            <v>UT-2211-ST-09-0022</v>
          </cell>
          <cell r="AP1097" t="str">
            <v>23/12/2025</v>
          </cell>
        </row>
        <row r="1098">
          <cell r="A1098" t="str">
            <v>9001-2211-DS-0017-01-WM75</v>
          </cell>
          <cell r="B1098" t="str">
            <v>9001-2211-DS-0017-01-WM</v>
          </cell>
          <cell r="C1098">
            <v>75</v>
          </cell>
          <cell r="E1098" t="str">
            <v>SB</v>
          </cell>
          <cell r="F1098" t="str">
            <v>100%MT&amp;UT</v>
          </cell>
          <cell r="G1098" t="str">
            <v>D</v>
          </cell>
          <cell r="H1098">
            <v>1915.4</v>
          </cell>
          <cell r="I1098">
            <v>12</v>
          </cell>
          <cell r="K1098" t="str">
            <v>WPS-TNHA-S07</v>
          </cell>
          <cell r="L1098" t="str">
            <v>ST-09</v>
          </cell>
          <cell r="M1098" t="str">
            <v>BÁCH</v>
          </cell>
          <cell r="N1098">
            <v>46001</v>
          </cell>
          <cell r="O1098" t="str">
            <v>F-126</v>
          </cell>
          <cell r="P1098" t="str">
            <v>10h 11/12/2025</v>
          </cell>
          <cell r="Q1098" t="str">
            <v>PD-16;PD-17</v>
          </cell>
          <cell r="R1098" t="str">
            <v>BÁCH</v>
          </cell>
          <cell r="S1098">
            <v>46004</v>
          </cell>
          <cell r="T1098" t="str">
            <v>V-136</v>
          </cell>
          <cell r="Y1098" t="str">
            <v>FINISH</v>
          </cell>
          <cell r="Z1098" t="str">
            <v>ACC</v>
          </cell>
          <cell r="AA1098" t="str">
            <v>ACC</v>
          </cell>
          <cell r="AB1098" t="str">
            <v>MT-2211-ST-09-0018</v>
          </cell>
          <cell r="AC1098" t="str">
            <v>ACC</v>
          </cell>
          <cell r="AD1098" t="str">
            <v>UT-2211-ST-09-0017</v>
          </cell>
          <cell r="AP1098" t="str">
            <v>16/12/2025</v>
          </cell>
        </row>
        <row r="1099">
          <cell r="A1099" t="str">
            <v>9001-2211-DS-0017-01-WM76</v>
          </cell>
          <cell r="B1099" t="str">
            <v>9001-2211-DS-0017-01-WM</v>
          </cell>
          <cell r="C1099">
            <v>76</v>
          </cell>
          <cell r="E1099" t="str">
            <v>SB</v>
          </cell>
          <cell r="F1099" t="str">
            <v>100%MT&amp;UT</v>
          </cell>
          <cell r="G1099" t="str">
            <v>D</v>
          </cell>
          <cell r="H1099">
            <v>1915.4</v>
          </cell>
          <cell r="I1099">
            <v>12</v>
          </cell>
          <cell r="K1099" t="str">
            <v>WPS-TNHA-S07</v>
          </cell>
          <cell r="L1099" t="str">
            <v>ST-09</v>
          </cell>
          <cell r="Y1099" t="str">
            <v>NOT YET FITUP</v>
          </cell>
        </row>
        <row r="1100">
          <cell r="A1100" t="str">
            <v>9001-2211-DS-0017-01-WM77</v>
          </cell>
          <cell r="B1100" t="str">
            <v>9001-2211-DS-0017-01-WM</v>
          </cell>
          <cell r="C1100">
            <v>77</v>
          </cell>
          <cell r="E1100" t="str">
            <v>SB</v>
          </cell>
          <cell r="F1100" t="str">
            <v>100%MT&amp;UT</v>
          </cell>
          <cell r="G1100" t="str">
            <v>D</v>
          </cell>
          <cell r="H1100">
            <v>1595.1200000000001</v>
          </cell>
          <cell r="I1100">
            <v>10</v>
          </cell>
          <cell r="K1100" t="str">
            <v>WPS-TNHA-S07</v>
          </cell>
          <cell r="L1100" t="str">
            <v>ST-09</v>
          </cell>
          <cell r="M1100" t="str">
            <v>XUÂN</v>
          </cell>
          <cell r="N1100">
            <v>46003</v>
          </cell>
          <cell r="O1100" t="str">
            <v>F-130</v>
          </cell>
          <cell r="P1100" t="str">
            <v>14h 14/12/2025</v>
          </cell>
          <cell r="Q1100" t="str">
            <v>PD-16;PD-17</v>
          </cell>
          <cell r="R1100" t="str">
            <v>BÁCH</v>
          </cell>
          <cell r="S1100">
            <v>46007</v>
          </cell>
          <cell r="T1100" t="str">
            <v>V-143</v>
          </cell>
          <cell r="Y1100" t="str">
            <v>FINISH</v>
          </cell>
          <cell r="Z1100" t="str">
            <v>ACC</v>
          </cell>
          <cell r="AA1100" t="str">
            <v>ACC</v>
          </cell>
          <cell r="AB1100" t="str">
            <v>MT-2211-ST-09-0021</v>
          </cell>
          <cell r="AC1100" t="str">
            <v>ACC</v>
          </cell>
          <cell r="AD1100" t="str">
            <v>UT-2211-ST-09-0022</v>
          </cell>
          <cell r="AP1100" t="str">
            <v>23/12/2025</v>
          </cell>
        </row>
        <row r="1101">
          <cell r="A1101" t="str">
            <v>9001-2211-DS-0017-01-WM78</v>
          </cell>
          <cell r="B1101" t="str">
            <v>9001-2211-DS-0017-01-WM</v>
          </cell>
          <cell r="C1101">
            <v>78</v>
          </cell>
          <cell r="E1101" t="str">
            <v>SB</v>
          </cell>
          <cell r="F1101" t="str">
            <v>100%MT&amp;UT</v>
          </cell>
          <cell r="G1101" t="str">
            <v>D</v>
          </cell>
          <cell r="H1101">
            <v>1915.4</v>
          </cell>
          <cell r="I1101">
            <v>12</v>
          </cell>
          <cell r="K1101" t="str">
            <v>WPS-TNHA-S07</v>
          </cell>
          <cell r="L1101" t="str">
            <v>ST-09</v>
          </cell>
          <cell r="M1101" t="str">
            <v>BÁCH</v>
          </cell>
          <cell r="N1101">
            <v>46001</v>
          </cell>
          <cell r="O1101" t="str">
            <v>F-126</v>
          </cell>
          <cell r="P1101" t="str">
            <v>10h 11/12/2025</v>
          </cell>
          <cell r="Q1101" t="str">
            <v>PD-31;DHN-SL-20</v>
          </cell>
          <cell r="R1101" t="str">
            <v>BÁCH</v>
          </cell>
          <cell r="S1101">
            <v>46004</v>
          </cell>
          <cell r="T1101" t="str">
            <v>V-136</v>
          </cell>
          <cell r="Y1101" t="str">
            <v>FINISH</v>
          </cell>
          <cell r="Z1101" t="str">
            <v>ACC</v>
          </cell>
          <cell r="AA1101" t="str">
            <v>ACC</v>
          </cell>
          <cell r="AB1101" t="str">
            <v>MT-2211-ST-09-0018</v>
          </cell>
          <cell r="AC1101" t="str">
            <v>ACC</v>
          </cell>
          <cell r="AD1101" t="str">
            <v>UT-2211-ST-09-0017</v>
          </cell>
          <cell r="AP1101" t="str">
            <v>16/12/2025</v>
          </cell>
        </row>
        <row r="1102">
          <cell r="A1102" t="str">
            <v>9001-2211-DS-0017-01-WM79</v>
          </cell>
          <cell r="B1102" t="str">
            <v>9001-2211-DS-0017-01-WM</v>
          </cell>
          <cell r="C1102">
            <v>79</v>
          </cell>
          <cell r="E1102" t="str">
            <v>SB</v>
          </cell>
          <cell r="F1102" t="str">
            <v>100%MT&amp;UT</v>
          </cell>
          <cell r="G1102" t="str">
            <v>D</v>
          </cell>
          <cell r="H1102">
            <v>1595.1200000000001</v>
          </cell>
          <cell r="I1102">
            <v>10</v>
          </cell>
          <cell r="K1102" t="str">
            <v>WPS-TNHA-S07</v>
          </cell>
          <cell r="L1102" t="str">
            <v>ST-09</v>
          </cell>
          <cell r="M1102" t="str">
            <v>XUÂN</v>
          </cell>
          <cell r="N1102">
            <v>46003</v>
          </cell>
          <cell r="O1102" t="str">
            <v>F-130</v>
          </cell>
          <cell r="P1102" t="str">
            <v>13h 14/12/2025</v>
          </cell>
          <cell r="Q1102" t="str">
            <v>DHN-SL-05;DHN-SL-43</v>
          </cell>
          <cell r="R1102" t="str">
            <v>BÁCH</v>
          </cell>
          <cell r="S1102">
            <v>46007</v>
          </cell>
          <cell r="T1102" t="str">
            <v>V-143</v>
          </cell>
          <cell r="Y1102" t="str">
            <v>FINISH</v>
          </cell>
          <cell r="Z1102" t="str">
            <v>ACC</v>
          </cell>
          <cell r="AA1102" t="str">
            <v>ACC</v>
          </cell>
          <cell r="AB1102" t="str">
            <v>MT-2211-ST-09-0021</v>
          </cell>
          <cell r="AC1102" t="str">
            <v>ACC</v>
          </cell>
          <cell r="AD1102" t="str">
            <v>UT-2211-ST-09-0022</v>
          </cell>
          <cell r="AP1102" t="str">
            <v>23/12/2025</v>
          </cell>
        </row>
        <row r="1103">
          <cell r="A1103" t="str">
            <v>9001-2211-DS-0017-01-WM80</v>
          </cell>
          <cell r="B1103" t="str">
            <v>9001-2211-DS-0017-01-WM</v>
          </cell>
          <cell r="C1103">
            <v>80</v>
          </cell>
          <cell r="E1103" t="str">
            <v>SB</v>
          </cell>
          <cell r="F1103" t="str">
            <v>100%MT&amp;UT</v>
          </cell>
          <cell r="G1103" t="str">
            <v>D</v>
          </cell>
          <cell r="H1103">
            <v>1915.4</v>
          </cell>
          <cell r="I1103">
            <v>12</v>
          </cell>
          <cell r="K1103" t="str">
            <v>WPS-TNHA-S07</v>
          </cell>
          <cell r="L1103" t="str">
            <v>ST-09</v>
          </cell>
          <cell r="Y1103" t="str">
            <v>NOT YET FITUP</v>
          </cell>
        </row>
        <row r="1104">
          <cell r="A1104" t="str">
            <v>9001-2211-DS-0017-01-WM81</v>
          </cell>
          <cell r="B1104" t="str">
            <v>9001-2211-DS-0017-01-WM</v>
          </cell>
          <cell r="C1104">
            <v>81</v>
          </cell>
          <cell r="E1104" t="str">
            <v>SB</v>
          </cell>
          <cell r="F1104" t="str">
            <v>100%MT&amp;UT</v>
          </cell>
          <cell r="G1104" t="str">
            <v>D</v>
          </cell>
          <cell r="H1104">
            <v>1595.1200000000001</v>
          </cell>
          <cell r="I1104">
            <v>10</v>
          </cell>
          <cell r="K1104" t="str">
            <v>WPS-TNHA-S07</v>
          </cell>
          <cell r="L1104" t="str">
            <v>ST-09</v>
          </cell>
          <cell r="M1104" t="str">
            <v>XUÂN</v>
          </cell>
          <cell r="N1104">
            <v>46003</v>
          </cell>
          <cell r="O1104" t="str">
            <v>F-130</v>
          </cell>
          <cell r="P1104" t="str">
            <v>13h 14/12/2025</v>
          </cell>
          <cell r="Q1104" t="str">
            <v>DHN-SL-05;DHN-SL-43</v>
          </cell>
          <cell r="R1104" t="str">
            <v>BÁCH</v>
          </cell>
          <cell r="S1104">
            <v>46007</v>
          </cell>
          <cell r="T1104" t="str">
            <v>V-143</v>
          </cell>
          <cell r="Y1104" t="str">
            <v>FINISH</v>
          </cell>
          <cell r="Z1104" t="str">
            <v>ACC</v>
          </cell>
          <cell r="AA1104" t="str">
            <v>ACC</v>
          </cell>
          <cell r="AB1104" t="str">
            <v>MT-2211-ST-09-0021</v>
          </cell>
          <cell r="AC1104" t="str">
            <v>ACC</v>
          </cell>
          <cell r="AD1104" t="str">
            <v>UT-2211-ST-09-0022</v>
          </cell>
          <cell r="AP1104" t="str">
            <v>23/12/2025</v>
          </cell>
        </row>
        <row r="1105">
          <cell r="A1105" t="str">
            <v>9001-2211-DS-0017-01-WM82</v>
          </cell>
          <cell r="B1105" t="str">
            <v>9001-2211-DS-0017-01-WM</v>
          </cell>
          <cell r="C1105">
            <v>82</v>
          </cell>
          <cell r="E1105" t="str">
            <v>SB</v>
          </cell>
          <cell r="F1105" t="str">
            <v>100%MT&amp;UT</v>
          </cell>
          <cell r="G1105" t="str">
            <v>D</v>
          </cell>
          <cell r="H1105">
            <v>1595.1200000000001</v>
          </cell>
          <cell r="I1105">
            <v>10</v>
          </cell>
          <cell r="K1105" t="str">
            <v>WPS-TNHA-S07</v>
          </cell>
          <cell r="L1105" t="str">
            <v>ST-09</v>
          </cell>
          <cell r="M1105" t="str">
            <v>BÁCH</v>
          </cell>
          <cell r="N1105">
            <v>46007</v>
          </cell>
          <cell r="O1105" t="str">
            <v>F-136</v>
          </cell>
          <cell r="P1105" t="str">
            <v>13h 16/12/2025</v>
          </cell>
          <cell r="Q1105" t="str">
            <v>PD-17;TNHA-SL-001</v>
          </cell>
          <cell r="R1105" t="str">
            <v>XUÂN</v>
          </cell>
          <cell r="S1105">
            <v>46010</v>
          </cell>
          <cell r="T1105" t="str">
            <v>V-148</v>
          </cell>
          <cell r="Y1105" t="str">
            <v>FINISH</v>
          </cell>
          <cell r="Z1105" t="str">
            <v>ACC</v>
          </cell>
          <cell r="AA1105" t="str">
            <v>ACC</v>
          </cell>
          <cell r="AB1105" t="str">
            <v>MT-2211-ST-09-0024</v>
          </cell>
          <cell r="AC1105" t="str">
            <v>ACC</v>
          </cell>
          <cell r="AD1105" t="str">
            <v>UT-2211-ST-09-0024</v>
          </cell>
          <cell r="AP1105" t="str">
            <v>23/12/2025</v>
          </cell>
        </row>
        <row r="1106">
          <cell r="A1106" t="str">
            <v>9001-2211-DS-0017-01-WM82A</v>
          </cell>
          <cell r="B1106" t="str">
            <v>9001-2211-DS-0017-01-WM</v>
          </cell>
          <cell r="C1106" t="str">
            <v>82A</v>
          </cell>
          <cell r="E1106" t="str">
            <v>SB</v>
          </cell>
          <cell r="F1106" t="str">
            <v>100%MT&amp;UT</v>
          </cell>
          <cell r="G1106" t="str">
            <v>D</v>
          </cell>
          <cell r="H1106">
            <v>1915.4</v>
          </cell>
          <cell r="I1106">
            <v>12</v>
          </cell>
          <cell r="K1106" t="str">
            <v>WPS-TNHA-S07</v>
          </cell>
          <cell r="L1106" t="str">
            <v>ST-09</v>
          </cell>
          <cell r="M1106" t="str">
            <v>BÁCH</v>
          </cell>
          <cell r="N1106">
            <v>46001</v>
          </cell>
          <cell r="O1106" t="str">
            <v>F-126</v>
          </cell>
          <cell r="P1106" t="str">
            <v>15h 10/12/2025</v>
          </cell>
          <cell r="Q1106" t="str">
            <v>TNHA-SL-003;TNHA-SL-012</v>
          </cell>
          <cell r="R1106" t="str">
            <v>XUÂN</v>
          </cell>
          <cell r="S1106">
            <v>46004</v>
          </cell>
          <cell r="T1106" t="str">
            <v>V-133</v>
          </cell>
          <cell r="Y1106" t="str">
            <v>FINISH</v>
          </cell>
          <cell r="Z1106" t="str">
            <v>ACC</v>
          </cell>
          <cell r="AA1106" t="str">
            <v>ACC</v>
          </cell>
          <cell r="AB1106" t="str">
            <v>MT-2211-ST-09-0017</v>
          </cell>
          <cell r="AC1106" t="str">
            <v>ACC</v>
          </cell>
          <cell r="AD1106" t="str">
            <v>UT-2211-ST-09-0015</v>
          </cell>
          <cell r="AP1106" t="str">
            <v>16/12/2025</v>
          </cell>
        </row>
        <row r="1107">
          <cell r="A1107" t="str">
            <v>9001-2211-DS-0017-01-WM83</v>
          </cell>
          <cell r="B1107" t="str">
            <v>9001-2211-DS-0017-01-WM</v>
          </cell>
          <cell r="C1107">
            <v>83</v>
          </cell>
          <cell r="E1107" t="str">
            <v>SB</v>
          </cell>
          <cell r="F1107" t="str">
            <v>100%MT&amp;UT</v>
          </cell>
          <cell r="G1107" t="str">
            <v>D</v>
          </cell>
          <cell r="H1107">
            <v>1595.1200000000001</v>
          </cell>
          <cell r="I1107">
            <v>10</v>
          </cell>
          <cell r="K1107" t="str">
            <v>WPS-TNHA-S07</v>
          </cell>
          <cell r="L1107" t="str">
            <v>ST-09</v>
          </cell>
          <cell r="Y1107" t="str">
            <v>NOT YET FITUP</v>
          </cell>
        </row>
        <row r="1108">
          <cell r="A1108" t="str">
            <v>9001-2211-DS-0017-01-WM84</v>
          </cell>
          <cell r="B1108" t="str">
            <v>9001-2211-DS-0017-01-WM</v>
          </cell>
          <cell r="C1108">
            <v>84</v>
          </cell>
          <cell r="E1108" t="str">
            <v>SB</v>
          </cell>
          <cell r="F1108" t="str">
            <v>100%MT&amp;UT</v>
          </cell>
          <cell r="G1108" t="str">
            <v>D</v>
          </cell>
          <cell r="H1108">
            <v>1595.1200000000001</v>
          </cell>
          <cell r="I1108">
            <v>10</v>
          </cell>
          <cell r="K1108" t="str">
            <v>WPS-TNHA-S07</v>
          </cell>
          <cell r="L1108" t="str">
            <v>ST-09</v>
          </cell>
          <cell r="M1108" t="str">
            <v>BÁCH</v>
          </cell>
          <cell r="N1108">
            <v>46007</v>
          </cell>
          <cell r="O1108" t="str">
            <v>F-136</v>
          </cell>
          <cell r="P1108" t="str">
            <v>13h 16/12/2025</v>
          </cell>
          <cell r="Q1108" t="str">
            <v>PD-17;TNHA-SL-001</v>
          </cell>
          <cell r="R1108" t="str">
            <v>XUÂN</v>
          </cell>
          <cell r="S1108">
            <v>46010</v>
          </cell>
          <cell r="T1108" t="str">
            <v>V-148</v>
          </cell>
          <cell r="Y1108" t="str">
            <v>FINISH</v>
          </cell>
          <cell r="Z1108" t="str">
            <v>ACC</v>
          </cell>
          <cell r="AA1108" t="str">
            <v>ACC</v>
          </cell>
          <cell r="AB1108" t="str">
            <v>MT-2211-ST-09-0024</v>
          </cell>
          <cell r="AC1108" t="str">
            <v>ACC</v>
          </cell>
          <cell r="AD1108" t="str">
            <v>UT-2211-ST-09-0024</v>
          </cell>
          <cell r="AP1108" t="str">
            <v>23/12/2025</v>
          </cell>
        </row>
        <row r="1109">
          <cell r="A1109" t="str">
            <v>9001-2211-DS-0017-01-WM85</v>
          </cell>
          <cell r="B1109" t="str">
            <v>9001-2211-DS-0017-01-WM</v>
          </cell>
          <cell r="C1109">
            <v>85</v>
          </cell>
          <cell r="E1109" t="str">
            <v>SB</v>
          </cell>
          <cell r="F1109" t="str">
            <v>100%MT&amp;UT</v>
          </cell>
          <cell r="G1109" t="str">
            <v>D</v>
          </cell>
          <cell r="H1109">
            <v>1915.4</v>
          </cell>
          <cell r="I1109">
            <v>12</v>
          </cell>
          <cell r="K1109" t="str">
            <v>WPS-TNHA-S07</v>
          </cell>
          <cell r="L1109" t="str">
            <v>ST-09</v>
          </cell>
          <cell r="Y1109" t="str">
            <v>NOT YET FITUP</v>
          </cell>
        </row>
        <row r="1110">
          <cell r="A1110" t="str">
            <v>9001-2211-DS-0017-01-WM86</v>
          </cell>
          <cell r="B1110" t="str">
            <v>9001-2211-DS-0017-01-WM</v>
          </cell>
          <cell r="C1110">
            <v>86</v>
          </cell>
          <cell r="E1110" t="str">
            <v>SB</v>
          </cell>
          <cell r="F1110" t="str">
            <v>100%MT&amp;UT</v>
          </cell>
          <cell r="G1110" t="str">
            <v>D</v>
          </cell>
          <cell r="H1110">
            <v>1915.4</v>
          </cell>
          <cell r="I1110">
            <v>12</v>
          </cell>
          <cell r="K1110" t="str">
            <v>WPS-TNHA-S07</v>
          </cell>
          <cell r="L1110" t="str">
            <v>ST-09</v>
          </cell>
          <cell r="M1110" t="str">
            <v>BÁCH</v>
          </cell>
          <cell r="N1110">
            <v>46001</v>
          </cell>
          <cell r="O1110" t="str">
            <v>F-125</v>
          </cell>
          <cell r="P1110" t="str">
            <v>12h 10/12/2025</v>
          </cell>
          <cell r="Q1110" t="str">
            <v>TNHA-SL-003;TNHA-SL-012</v>
          </cell>
          <cell r="R1110" t="str">
            <v>XUÂN</v>
          </cell>
          <cell r="S1110">
            <v>46004</v>
          </cell>
          <cell r="T1110" t="str">
            <v>V-133</v>
          </cell>
          <cell r="Y1110" t="str">
            <v>FINISH</v>
          </cell>
          <cell r="Z1110" t="str">
            <v>ACC</v>
          </cell>
          <cell r="AA1110" t="str">
            <v>ACC</v>
          </cell>
          <cell r="AB1110" t="str">
            <v>MT-2211-ST-09-0017</v>
          </cell>
          <cell r="AC1110" t="str">
            <v>ACC</v>
          </cell>
          <cell r="AD1110" t="str">
            <v>UT-2211-ST-09-0016</v>
          </cell>
          <cell r="AP1110" t="str">
            <v>16/12/2025</v>
          </cell>
        </row>
        <row r="1111">
          <cell r="A1111" t="str">
            <v>9001-2211-DS-0017-01-WM87</v>
          </cell>
          <cell r="B1111" t="str">
            <v>9001-2211-DS-0017-01-WM</v>
          </cell>
          <cell r="C1111">
            <v>87</v>
          </cell>
          <cell r="E1111" t="str">
            <v>SB</v>
          </cell>
          <cell r="F1111" t="str">
            <v>100%MT&amp;UT</v>
          </cell>
          <cell r="G1111" t="str">
            <v>D</v>
          </cell>
          <cell r="H1111">
            <v>1595.1200000000001</v>
          </cell>
          <cell r="I1111">
            <v>10</v>
          </cell>
          <cell r="K1111" t="str">
            <v>WPS-TNHA-S07</v>
          </cell>
          <cell r="L1111" t="str">
            <v>ST-09</v>
          </cell>
          <cell r="M1111" t="str">
            <v>BÁCH</v>
          </cell>
          <cell r="N1111">
            <v>46007</v>
          </cell>
          <cell r="O1111" t="str">
            <v>F-136</v>
          </cell>
          <cell r="P1111" t="str">
            <v>18h 16/12/2025</v>
          </cell>
          <cell r="Q1111" t="str">
            <v>PD-17;TNHA-SL-001</v>
          </cell>
          <cell r="R1111" t="str">
            <v>XUÂN</v>
          </cell>
          <cell r="S1111">
            <v>46010</v>
          </cell>
          <cell r="T1111" t="str">
            <v>V-148</v>
          </cell>
          <cell r="Y1111" t="str">
            <v>FINISH</v>
          </cell>
          <cell r="Z1111" t="str">
            <v>ACC</v>
          </cell>
          <cell r="AA1111" t="str">
            <v>ACC</v>
          </cell>
          <cell r="AB1111" t="str">
            <v>MT-2211-ST-09-0024</v>
          </cell>
          <cell r="AC1111" t="str">
            <v>ACC</v>
          </cell>
          <cell r="AD1111" t="str">
            <v>UT-2211-ST-09-0025</v>
          </cell>
          <cell r="AP1111" t="str">
            <v>23/12/2025</v>
          </cell>
        </row>
        <row r="1112">
          <cell r="A1112" t="str">
            <v>9001-2211-DS-0017-01-WM88</v>
          </cell>
          <cell r="B1112" t="str">
            <v>9001-2211-DS-0017-01-WM</v>
          </cell>
          <cell r="C1112">
            <v>88</v>
          </cell>
          <cell r="E1112" t="str">
            <v>SB</v>
          </cell>
          <cell r="F1112" t="str">
            <v>100%MT&amp;UT</v>
          </cell>
          <cell r="G1112" t="str">
            <v>D</v>
          </cell>
          <cell r="H1112">
            <v>1915.4</v>
          </cell>
          <cell r="I1112">
            <v>12</v>
          </cell>
          <cell r="K1112" t="str">
            <v>WPS-TNHA-S07</v>
          </cell>
          <cell r="L1112" t="str">
            <v>ST-09</v>
          </cell>
          <cell r="Y1112" t="str">
            <v>NOT YET FITUP</v>
          </cell>
        </row>
        <row r="1113">
          <cell r="A1113" t="str">
            <v>9001-2211-DS-0017-01-WM89</v>
          </cell>
          <cell r="B1113" t="str">
            <v>9001-2211-DS-0017-01-WM</v>
          </cell>
          <cell r="C1113">
            <v>89</v>
          </cell>
          <cell r="E1113" t="str">
            <v>SB</v>
          </cell>
          <cell r="F1113" t="str">
            <v>100%MT&amp;UT</v>
          </cell>
          <cell r="G1113" t="str">
            <v>D</v>
          </cell>
          <cell r="H1113">
            <v>1595.1200000000001</v>
          </cell>
          <cell r="I1113">
            <v>10</v>
          </cell>
          <cell r="K1113" t="str">
            <v>WPS-TNHA-S07</v>
          </cell>
          <cell r="L1113" t="str">
            <v>ST-09</v>
          </cell>
          <cell r="M1113" t="str">
            <v>BÁCH</v>
          </cell>
          <cell r="N1113">
            <v>46007</v>
          </cell>
          <cell r="O1113" t="str">
            <v>F-136</v>
          </cell>
          <cell r="P1113" t="str">
            <v>18h 16/12/2025</v>
          </cell>
          <cell r="Q1113" t="str">
            <v>PD-17;TNHA-SL-001</v>
          </cell>
          <cell r="R1113" t="str">
            <v>XUÂN</v>
          </cell>
          <cell r="S1113">
            <v>46010</v>
          </cell>
          <cell r="T1113" t="str">
            <v>V-148</v>
          </cell>
          <cell r="Y1113" t="str">
            <v>FINISH</v>
          </cell>
          <cell r="Z1113" t="str">
            <v>ACC</v>
          </cell>
          <cell r="AA1113" t="str">
            <v>ACC</v>
          </cell>
          <cell r="AB1113" t="str">
            <v>MT-2211-ST-09-0024</v>
          </cell>
          <cell r="AC1113" t="str">
            <v>ACC</v>
          </cell>
          <cell r="AD1113" t="str">
            <v>UT-2211-ST-09-0025</v>
          </cell>
          <cell r="AP1113" t="str">
            <v>23/12/2025</v>
          </cell>
        </row>
        <row r="1114">
          <cell r="A1114" t="str">
            <v>9001-2211-DS-0017-01-WM90</v>
          </cell>
          <cell r="B1114" t="str">
            <v>9001-2211-DS-0017-01-WM</v>
          </cell>
          <cell r="C1114">
            <v>90</v>
          </cell>
          <cell r="E1114" t="str">
            <v>SB</v>
          </cell>
          <cell r="F1114" t="str">
            <v>100%MT&amp;UT</v>
          </cell>
          <cell r="G1114" t="str">
            <v>D</v>
          </cell>
          <cell r="H1114">
            <v>1595.1200000000001</v>
          </cell>
          <cell r="I1114">
            <v>10</v>
          </cell>
          <cell r="K1114" t="str">
            <v>WPS-TNHA-S07</v>
          </cell>
          <cell r="L1114" t="str">
            <v>ST-09</v>
          </cell>
          <cell r="M1114" t="str">
            <v>XUÂN</v>
          </cell>
          <cell r="N1114">
            <v>46003</v>
          </cell>
          <cell r="O1114" t="str">
            <v>F-130</v>
          </cell>
          <cell r="P1114" t="str">
            <v>11h 13/12/2025</v>
          </cell>
          <cell r="Q1114" t="str">
            <v>PD-16;PD-17</v>
          </cell>
          <cell r="R1114" t="str">
            <v>BÁCH</v>
          </cell>
          <cell r="S1114">
            <v>46007</v>
          </cell>
          <cell r="T1114" t="str">
            <v>V-143</v>
          </cell>
          <cell r="Y1114" t="str">
            <v>FINISH</v>
          </cell>
          <cell r="Z1114" t="str">
            <v>ACC</v>
          </cell>
          <cell r="AA1114" t="str">
            <v>ACC</v>
          </cell>
          <cell r="AB1114" t="str">
            <v>MT-2211-ST-09-0021</v>
          </cell>
          <cell r="AC1114" t="str">
            <v>ACC</v>
          </cell>
          <cell r="AD1114" t="str">
            <v>UT-2211-ST-09-0022</v>
          </cell>
          <cell r="AP1114" t="str">
            <v>23/12/2025</v>
          </cell>
        </row>
        <row r="1115">
          <cell r="A1115" t="str">
            <v>9001-2211-DS-0017-01-WM91</v>
          </cell>
          <cell r="B1115" t="str">
            <v>9001-2211-DS-0017-01-WM</v>
          </cell>
          <cell r="C1115">
            <v>91</v>
          </cell>
          <cell r="E1115" t="str">
            <v>SB</v>
          </cell>
          <cell r="F1115" t="str">
            <v>100%MT&amp;UT</v>
          </cell>
          <cell r="G1115" t="str">
            <v>D</v>
          </cell>
          <cell r="H1115">
            <v>1915.4</v>
          </cell>
          <cell r="I1115">
            <v>12</v>
          </cell>
          <cell r="K1115" t="str">
            <v>WPS-TNHA-S07</v>
          </cell>
          <cell r="L1115" t="str">
            <v>ST-09</v>
          </cell>
          <cell r="M1115" t="str">
            <v>BÁCH</v>
          </cell>
          <cell r="N1115">
            <v>46001</v>
          </cell>
          <cell r="O1115" t="str">
            <v>F-126</v>
          </cell>
          <cell r="P1115" t="str">
            <v>16h 11/12/2025</v>
          </cell>
          <cell r="Q1115" t="str">
            <v>TNHA-SL-003;TNHA-SL-012</v>
          </cell>
          <cell r="R1115" t="str">
            <v>BÁCH</v>
          </cell>
          <cell r="S1115">
            <v>46004</v>
          </cell>
          <cell r="T1115" t="str">
            <v>V-136</v>
          </cell>
          <cell r="Y1115" t="str">
            <v>FINISH</v>
          </cell>
          <cell r="Z1115" t="str">
            <v>ACC</v>
          </cell>
          <cell r="AA1115" t="str">
            <v>ACC</v>
          </cell>
          <cell r="AB1115" t="str">
            <v>MT-2211-ST-09-0018</v>
          </cell>
          <cell r="AC1115" t="str">
            <v>ACC</v>
          </cell>
          <cell r="AD1115" t="str">
            <v>UT-2211-ST-09-0017</v>
          </cell>
          <cell r="AP1115" t="str">
            <v>16/12/2025</v>
          </cell>
        </row>
        <row r="1116">
          <cell r="A1116" t="str">
            <v>9001-2211-DS-0017-01-WM92</v>
          </cell>
          <cell r="B1116" t="str">
            <v>9001-2211-DS-0017-01-WM</v>
          </cell>
          <cell r="C1116">
            <v>92</v>
          </cell>
          <cell r="E1116" t="str">
            <v>SB</v>
          </cell>
          <cell r="F1116" t="str">
            <v>100%MT&amp;UT</v>
          </cell>
          <cell r="G1116" t="str">
            <v>D</v>
          </cell>
          <cell r="H1116">
            <v>1915.4</v>
          </cell>
          <cell r="I1116">
            <v>12</v>
          </cell>
          <cell r="K1116" t="str">
            <v>WPS-TNHA-S07</v>
          </cell>
          <cell r="L1116" t="str">
            <v>ST-09</v>
          </cell>
          <cell r="Y1116" t="str">
            <v>NOT YET FITUP</v>
          </cell>
        </row>
        <row r="1117">
          <cell r="A1117" t="str">
            <v>9001-2211-DS-0017-01-WM93</v>
          </cell>
          <cell r="B1117" t="str">
            <v>9001-2211-DS-0017-01-WM</v>
          </cell>
          <cell r="C1117">
            <v>93</v>
          </cell>
          <cell r="E1117" t="str">
            <v>SB</v>
          </cell>
          <cell r="F1117" t="str">
            <v>100%MT&amp;UT</v>
          </cell>
          <cell r="G1117" t="str">
            <v>D</v>
          </cell>
          <cell r="H1117">
            <v>1595.1200000000001</v>
          </cell>
          <cell r="I1117">
            <v>10</v>
          </cell>
          <cell r="K1117" t="str">
            <v>WPS-TNHA-S07</v>
          </cell>
          <cell r="L1117" t="str">
            <v>ST-09</v>
          </cell>
          <cell r="M1117" t="str">
            <v>XUÂN</v>
          </cell>
          <cell r="N1117">
            <v>46003</v>
          </cell>
          <cell r="O1117" t="str">
            <v>F-130</v>
          </cell>
          <cell r="P1117" t="str">
            <v>15h 13/12/2025</v>
          </cell>
          <cell r="Q1117" t="str">
            <v>DHN-SL-62;DHN-SL-20</v>
          </cell>
          <cell r="R1117" t="str">
            <v>XUÂN</v>
          </cell>
          <cell r="S1117">
            <v>46010</v>
          </cell>
          <cell r="T1117" t="str">
            <v>V-148</v>
          </cell>
          <cell r="Y1117" t="str">
            <v>FINISH</v>
          </cell>
          <cell r="Z1117" t="str">
            <v>ACC</v>
          </cell>
          <cell r="AA1117" t="str">
            <v>ACC</v>
          </cell>
          <cell r="AB1117" t="str">
            <v>MT-2211-ST-09-0024</v>
          </cell>
          <cell r="AC1117" t="str">
            <v>ACC</v>
          </cell>
          <cell r="AD1117" t="str">
            <v>UT-2211-ST-09-0025</v>
          </cell>
          <cell r="AP1117" t="str">
            <v>23/12/2025</v>
          </cell>
        </row>
        <row r="1118">
          <cell r="A1118" t="str">
            <v>9001-2211-DS-0017-01-WM94</v>
          </cell>
          <cell r="B1118" t="str">
            <v>9001-2211-DS-0017-01-WM</v>
          </cell>
          <cell r="C1118">
            <v>94</v>
          </cell>
          <cell r="E1118" t="str">
            <v>SB</v>
          </cell>
          <cell r="F1118" t="str">
            <v>100%MT&amp;UT</v>
          </cell>
          <cell r="G1118" t="str">
            <v>D</v>
          </cell>
          <cell r="H1118">
            <v>1595.1200000000001</v>
          </cell>
          <cell r="I1118">
            <v>10</v>
          </cell>
          <cell r="K1118" t="str">
            <v>WPS-TNHA-S07</v>
          </cell>
          <cell r="L1118" t="str">
            <v>ST-09</v>
          </cell>
          <cell r="M1118" t="str">
            <v>XUÂN</v>
          </cell>
          <cell r="N1118">
            <v>46003</v>
          </cell>
          <cell r="O1118" t="str">
            <v>F-130</v>
          </cell>
          <cell r="P1118" t="str">
            <v>11h 13/12/2025</v>
          </cell>
          <cell r="Q1118" t="str">
            <v>PD-16;PD-17</v>
          </cell>
          <cell r="R1118" t="str">
            <v>BÁCH</v>
          </cell>
          <cell r="S1118">
            <v>46007</v>
          </cell>
          <cell r="T1118" t="str">
            <v>V-143</v>
          </cell>
          <cell r="Y1118" t="str">
            <v>FINISH</v>
          </cell>
          <cell r="Z1118" t="str">
            <v>ACC</v>
          </cell>
          <cell r="AA1118" t="str">
            <v>ACC</v>
          </cell>
          <cell r="AB1118" t="str">
            <v>MT-2211-ST-09-0021</v>
          </cell>
          <cell r="AC1118" t="str">
            <v>ACC</v>
          </cell>
          <cell r="AD1118" t="str">
            <v>UT-2211-ST-09-0022</v>
          </cell>
          <cell r="AP1118" t="str">
            <v>23/12/2025</v>
          </cell>
        </row>
        <row r="1119">
          <cell r="A1119" t="str">
            <v>9001-2211-DS-0017-01-WM95</v>
          </cell>
          <cell r="B1119" t="str">
            <v>9001-2211-DS-0017-01-WM</v>
          </cell>
          <cell r="C1119">
            <v>95</v>
          </cell>
          <cell r="E1119" t="str">
            <v>SB</v>
          </cell>
          <cell r="F1119" t="str">
            <v>100%MT&amp;UT</v>
          </cell>
          <cell r="G1119" t="str">
            <v>D</v>
          </cell>
          <cell r="H1119">
            <v>1915.4</v>
          </cell>
          <cell r="I1119">
            <v>12</v>
          </cell>
          <cell r="K1119" t="str">
            <v>WPS-TNHA-S07</v>
          </cell>
          <cell r="L1119" t="str">
            <v>ST-09</v>
          </cell>
          <cell r="M1119" t="str">
            <v>BÁCH</v>
          </cell>
          <cell r="N1119">
            <v>46001</v>
          </cell>
          <cell r="O1119" t="str">
            <v>F-126</v>
          </cell>
          <cell r="P1119" t="str">
            <v>10h30 11/12/2025</v>
          </cell>
          <cell r="Q1119" t="str">
            <v>TNHA-SL-003;TNHA-SL-012</v>
          </cell>
          <cell r="R1119" t="str">
            <v>BÁCH</v>
          </cell>
          <cell r="S1119">
            <v>46004</v>
          </cell>
          <cell r="T1119" t="str">
            <v>V-136</v>
          </cell>
          <cell r="Y1119" t="str">
            <v>FINISH</v>
          </cell>
          <cell r="Z1119" t="str">
            <v>ACC</v>
          </cell>
          <cell r="AA1119" t="str">
            <v>ACC</v>
          </cell>
          <cell r="AB1119" t="str">
            <v>MT-2211-ST-09-0018</v>
          </cell>
          <cell r="AC1119" t="str">
            <v>ACC</v>
          </cell>
          <cell r="AD1119" t="str">
            <v>UT-2211-ST-09-0017</v>
          </cell>
          <cell r="AP1119" t="str">
            <v>16/12/2025</v>
          </cell>
        </row>
        <row r="1120">
          <cell r="A1120" t="str">
            <v>9001-2211-DS-0017-01-WM96</v>
          </cell>
          <cell r="B1120" t="str">
            <v>9001-2211-DS-0017-01-WM</v>
          </cell>
          <cell r="C1120">
            <v>96</v>
          </cell>
          <cell r="E1120" t="str">
            <v>SB</v>
          </cell>
          <cell r="F1120" t="str">
            <v>100%MT&amp;UT</v>
          </cell>
          <cell r="G1120" t="str">
            <v>D</v>
          </cell>
          <cell r="H1120">
            <v>1915.4</v>
          </cell>
          <cell r="I1120">
            <v>12</v>
          </cell>
          <cell r="K1120" t="str">
            <v>WPS-TNHA-S07</v>
          </cell>
          <cell r="L1120" t="str">
            <v>ST-09</v>
          </cell>
          <cell r="Y1120" t="str">
            <v>NOT YET FITUP</v>
          </cell>
        </row>
        <row r="1121">
          <cell r="A1121" t="str">
            <v>9001-2211-DS-0017-01-WM97</v>
          </cell>
          <cell r="B1121" t="str">
            <v>9001-2211-DS-0017-01-WM</v>
          </cell>
          <cell r="C1121">
            <v>97</v>
          </cell>
          <cell r="E1121" t="str">
            <v>SB</v>
          </cell>
          <cell r="F1121" t="str">
            <v>100%MT&amp;UT</v>
          </cell>
          <cell r="G1121" t="str">
            <v>D</v>
          </cell>
          <cell r="H1121">
            <v>1595.1200000000001</v>
          </cell>
          <cell r="I1121">
            <v>10</v>
          </cell>
          <cell r="K1121" t="str">
            <v>WPS-TNHA-S07</v>
          </cell>
          <cell r="L1121" t="str">
            <v>ST-09</v>
          </cell>
          <cell r="M1121" t="str">
            <v>XUÂN</v>
          </cell>
          <cell r="N1121">
            <v>46003</v>
          </cell>
          <cell r="O1121" t="str">
            <v>F-130</v>
          </cell>
          <cell r="P1121" t="str">
            <v>15h 13/12/2025</v>
          </cell>
          <cell r="Q1121" t="str">
            <v>DHN-SL-62;DHN-SL-20</v>
          </cell>
          <cell r="R1121" t="str">
            <v>XUÂN</v>
          </cell>
          <cell r="S1121">
            <v>46010</v>
          </cell>
          <cell r="T1121" t="str">
            <v>V-148</v>
          </cell>
          <cell r="Y1121" t="str">
            <v>FINISH</v>
          </cell>
          <cell r="Z1121" t="str">
            <v>ACC</v>
          </cell>
          <cell r="AA1121" t="str">
            <v>ACC</v>
          </cell>
          <cell r="AB1121" t="str">
            <v>MT-2211-ST-09-0024</v>
          </cell>
          <cell r="AC1121" t="str">
            <v>ACC</v>
          </cell>
          <cell r="AD1121" t="str">
            <v>UT-2211-ST-09-0025</v>
          </cell>
          <cell r="AP1121" t="str">
            <v>23/12/2025</v>
          </cell>
        </row>
        <row r="1122">
          <cell r="A1122" t="str">
            <v>9001-2211-DS-0017-01-WM98</v>
          </cell>
          <cell r="B1122" t="str">
            <v>9001-2211-DS-0017-01-WM</v>
          </cell>
          <cell r="C1122">
            <v>98</v>
          </cell>
          <cell r="E1122" t="str">
            <v>SB</v>
          </cell>
          <cell r="F1122" t="str">
            <v>100%MT&amp;UT</v>
          </cell>
          <cell r="G1122" t="str">
            <v>D</v>
          </cell>
          <cell r="H1122">
            <v>1915.4</v>
          </cell>
          <cell r="I1122">
            <v>12</v>
          </cell>
          <cell r="K1122" t="str">
            <v>WPS-TNHA-S07</v>
          </cell>
          <cell r="L1122" t="str">
            <v>ST-09</v>
          </cell>
          <cell r="M1122" t="str">
            <v>BÁCH</v>
          </cell>
          <cell r="N1122">
            <v>46001</v>
          </cell>
          <cell r="O1122" t="str">
            <v>F-126</v>
          </cell>
          <cell r="P1122" t="str">
            <v>13h 11/12/2025</v>
          </cell>
          <cell r="Q1122" t="str">
            <v>TNHA-SL-003;TNHA-SL-012</v>
          </cell>
          <cell r="R1122" t="str">
            <v>BÁCH</v>
          </cell>
          <cell r="S1122">
            <v>46004</v>
          </cell>
          <cell r="T1122" t="str">
            <v>V-136</v>
          </cell>
          <cell r="Y1122" t="str">
            <v>FINISH</v>
          </cell>
          <cell r="Z1122" t="str">
            <v>ACC</v>
          </cell>
          <cell r="AA1122" t="str">
            <v>ACC</v>
          </cell>
          <cell r="AB1122" t="str">
            <v>MT-2211-ST-09-0018</v>
          </cell>
          <cell r="AC1122" t="str">
            <v>ACC</v>
          </cell>
          <cell r="AD1122" t="str">
            <v>UT-2211-ST-09-0018</v>
          </cell>
          <cell r="AP1122" t="str">
            <v>16/12/2025</v>
          </cell>
        </row>
        <row r="1123">
          <cell r="A1123" t="str">
            <v>9001-2211-DS-0017-01-WM99</v>
          </cell>
          <cell r="B1123" t="str">
            <v>9001-2211-DS-0017-01-WM</v>
          </cell>
          <cell r="C1123">
            <v>99</v>
          </cell>
          <cell r="E1123" t="str">
            <v>SB</v>
          </cell>
          <cell r="F1123" t="str">
            <v>100%MT&amp;UT</v>
          </cell>
          <cell r="G1123" t="str">
            <v>D</v>
          </cell>
          <cell r="H1123">
            <v>1595.1200000000001</v>
          </cell>
          <cell r="I1123">
            <v>10</v>
          </cell>
          <cell r="K1123" t="str">
            <v>WPS-TNHA-S07</v>
          </cell>
          <cell r="L1123" t="str">
            <v>ST-09</v>
          </cell>
          <cell r="Y1123" t="str">
            <v>NOT YET FITUP</v>
          </cell>
        </row>
        <row r="1124">
          <cell r="A1124" t="str">
            <v>9001-2211-DS-0017-01-WM100</v>
          </cell>
          <cell r="B1124" t="str">
            <v>9001-2211-DS-0017-01-WM</v>
          </cell>
          <cell r="C1124">
            <v>100</v>
          </cell>
          <cell r="E1124" t="str">
            <v>SB</v>
          </cell>
          <cell r="F1124" t="str">
            <v>100%MT&amp;UT</v>
          </cell>
          <cell r="G1124" t="str">
            <v>D</v>
          </cell>
          <cell r="H1124">
            <v>2869.96</v>
          </cell>
          <cell r="I1124">
            <v>25</v>
          </cell>
          <cell r="K1124" t="str">
            <v>WPS-TNHA-S07</v>
          </cell>
          <cell r="L1124" t="str">
            <v>ST-09</v>
          </cell>
          <cell r="M1124" t="str">
            <v>BÁCH</v>
          </cell>
          <cell r="N1124">
            <v>46001</v>
          </cell>
          <cell r="O1124" t="str">
            <v>F-125</v>
          </cell>
          <cell r="P1124" t="str">
            <v>19h30 10/12/2025</v>
          </cell>
          <cell r="Q1124" t="str">
            <v>PD-16;DHN-SL-20</v>
          </cell>
          <cell r="R1124" t="str">
            <v>XUÂN</v>
          </cell>
          <cell r="S1124">
            <v>46004</v>
          </cell>
          <cell r="T1124" t="str">
            <v>V-133</v>
          </cell>
          <cell r="Y1124" t="str">
            <v>FINISH</v>
          </cell>
          <cell r="Z1124" t="str">
            <v>ACC</v>
          </cell>
          <cell r="AA1124" t="str">
            <v>ACC</v>
          </cell>
          <cell r="AB1124" t="str">
            <v>MT-2211-ST-09-0017</v>
          </cell>
          <cell r="AC1124" t="str">
            <v>ACC</v>
          </cell>
          <cell r="AD1124" t="str">
            <v>UT-2211-ST-09-0016</v>
          </cell>
          <cell r="AP1124" t="str">
            <v>16/12/2025</v>
          </cell>
        </row>
        <row r="1125">
          <cell r="A1125" t="str">
            <v>9001-2211-DS-0017-01-WM101</v>
          </cell>
          <cell r="B1125" t="str">
            <v>9001-2211-DS-0017-01-WM</v>
          </cell>
          <cell r="C1125">
            <v>101</v>
          </cell>
          <cell r="E1125" t="str">
            <v>SB</v>
          </cell>
          <cell r="F1125" t="str">
            <v>100%MT&amp;UT</v>
          </cell>
          <cell r="G1125" t="str">
            <v>D</v>
          </cell>
          <cell r="H1125">
            <v>1915.4</v>
          </cell>
          <cell r="I1125">
            <v>12</v>
          </cell>
          <cell r="K1125" t="str">
            <v>WPS-TNHA-S07</v>
          </cell>
          <cell r="L1125" t="str">
            <v>ST-09</v>
          </cell>
          <cell r="Y1125" t="str">
            <v>NOT YET FITUP</v>
          </cell>
        </row>
        <row r="1126">
          <cell r="A1126" t="str">
            <v>9001-2211-DS-0017-01-WM102</v>
          </cell>
          <cell r="B1126" t="str">
            <v>9001-2211-DS-0017-01-WM</v>
          </cell>
          <cell r="C1126">
            <v>102</v>
          </cell>
          <cell r="E1126" t="str">
            <v>SB</v>
          </cell>
          <cell r="F1126" t="str">
            <v>100%MT&amp;UT</v>
          </cell>
          <cell r="G1126" t="str">
            <v>D</v>
          </cell>
          <cell r="H1126">
            <v>1915.4</v>
          </cell>
          <cell r="I1126">
            <v>12</v>
          </cell>
          <cell r="K1126" t="str">
            <v>WPS-TNHA-S07</v>
          </cell>
          <cell r="L1126" t="str">
            <v>ST-09</v>
          </cell>
          <cell r="Y1126" t="str">
            <v>NOT YET FITUP</v>
          </cell>
        </row>
        <row r="1127">
          <cell r="A1127" t="str">
            <v>9001-2211-DS-0017-01-WM103</v>
          </cell>
          <cell r="B1127" t="str">
            <v>9001-2211-DS-0017-01-WM</v>
          </cell>
          <cell r="C1127">
            <v>103</v>
          </cell>
          <cell r="E1127" t="str">
            <v>SB</v>
          </cell>
          <cell r="F1127" t="str">
            <v>100%MT&amp;UT</v>
          </cell>
          <cell r="G1127" t="str">
            <v>D</v>
          </cell>
          <cell r="H1127">
            <v>1915.4</v>
          </cell>
          <cell r="I1127">
            <v>12</v>
          </cell>
          <cell r="K1127" t="str">
            <v>WPS-TNHA-S07</v>
          </cell>
          <cell r="L1127" t="str">
            <v>ST-09</v>
          </cell>
          <cell r="Y1127" t="str">
            <v>NOT YET FITUP</v>
          </cell>
        </row>
        <row r="1128">
          <cell r="A1128" t="str">
            <v>9001-2211-DS-0017-01-WM104</v>
          </cell>
          <cell r="B1128" t="str">
            <v>9001-2211-DS-0017-01-WM</v>
          </cell>
          <cell r="C1128">
            <v>104</v>
          </cell>
          <cell r="E1128" t="str">
            <v>SB</v>
          </cell>
          <cell r="F1128" t="str">
            <v>100%MT&amp;UT</v>
          </cell>
          <cell r="G1128" t="str">
            <v>D</v>
          </cell>
          <cell r="H1128">
            <v>1915.4</v>
          </cell>
          <cell r="I1128">
            <v>12</v>
          </cell>
          <cell r="K1128" t="str">
            <v>WPS-TNHA-S07</v>
          </cell>
          <cell r="L1128" t="str">
            <v>ST-09</v>
          </cell>
          <cell r="Y1128" t="str">
            <v>NOT YET FITUP</v>
          </cell>
        </row>
        <row r="1129">
          <cell r="A1129" t="str">
            <v>9001-2211-DS-0017-01-WM105</v>
          </cell>
          <cell r="B1129" t="str">
            <v>9001-2211-DS-0017-01-WM</v>
          </cell>
          <cell r="C1129">
            <v>105</v>
          </cell>
          <cell r="E1129" t="str">
            <v>SB</v>
          </cell>
          <cell r="F1129" t="str">
            <v>100%MT&amp;UT</v>
          </cell>
          <cell r="G1129" t="str">
            <v>D</v>
          </cell>
          <cell r="H1129">
            <v>1915.4</v>
          </cell>
          <cell r="I1129">
            <v>12</v>
          </cell>
          <cell r="K1129" t="str">
            <v>WPS-TNHA-S07</v>
          </cell>
          <cell r="L1129" t="str">
            <v>ST-09</v>
          </cell>
          <cell r="Y1129" t="str">
            <v>NOT YET FITUP</v>
          </cell>
        </row>
        <row r="1130">
          <cell r="A1130" t="str">
            <v>9001-2211-DS-0017-01-WM106</v>
          </cell>
          <cell r="B1130" t="str">
            <v>9001-2211-DS-0017-01-WM</v>
          </cell>
          <cell r="C1130">
            <v>106</v>
          </cell>
          <cell r="E1130" t="str">
            <v>SB</v>
          </cell>
          <cell r="F1130" t="str">
            <v>100%MT&amp;UT</v>
          </cell>
          <cell r="G1130" t="str">
            <v>D</v>
          </cell>
          <cell r="H1130">
            <v>2869.96</v>
          </cell>
          <cell r="I1130">
            <v>25</v>
          </cell>
          <cell r="K1130" t="str">
            <v>WPS-TNHA-S07</v>
          </cell>
          <cell r="L1130" t="str">
            <v>ST-09</v>
          </cell>
          <cell r="Y1130" t="str">
            <v>NOT YET FITUP</v>
          </cell>
        </row>
        <row r="1131">
          <cell r="A1131" t="str">
            <v>9001-2211-DS-0017-01-WM107</v>
          </cell>
          <cell r="B1131" t="str">
            <v>9001-2211-DS-0017-01-WM</v>
          </cell>
          <cell r="C1131">
            <v>107</v>
          </cell>
          <cell r="E1131" t="str">
            <v>SB</v>
          </cell>
          <cell r="F1131" t="str">
            <v>100%MT&amp;UT</v>
          </cell>
          <cell r="G1131" t="str">
            <v>D</v>
          </cell>
          <cell r="H1131">
            <v>1595.1200000000001</v>
          </cell>
          <cell r="I1131">
            <v>10</v>
          </cell>
          <cell r="K1131" t="str">
            <v>WPS-TNHA-S07</v>
          </cell>
          <cell r="L1131" t="str">
            <v>ST-09</v>
          </cell>
          <cell r="Y1131" t="str">
            <v>NOT YET FITUP</v>
          </cell>
        </row>
        <row r="1132">
          <cell r="A1132" t="str">
            <v>9001-2211-DS-0017-01-WM108</v>
          </cell>
          <cell r="B1132" t="str">
            <v>9001-2211-DS-0017-01-WM</v>
          </cell>
          <cell r="C1132">
            <v>108</v>
          </cell>
          <cell r="E1132" t="str">
            <v>SB</v>
          </cell>
          <cell r="F1132" t="str">
            <v>100%MT&amp;UT</v>
          </cell>
          <cell r="G1132" t="str">
            <v>D</v>
          </cell>
          <cell r="H1132">
            <v>1915.4</v>
          </cell>
          <cell r="I1132">
            <v>12</v>
          </cell>
          <cell r="K1132" t="str">
            <v>WPS-TNHA-S07</v>
          </cell>
          <cell r="L1132" t="str">
            <v>ST-09</v>
          </cell>
          <cell r="Y1132" t="str">
            <v>NOT YET FITUP</v>
          </cell>
        </row>
        <row r="1133">
          <cell r="A1133" t="str">
            <v>9001-2211-DS-0017-01-WM109</v>
          </cell>
          <cell r="B1133" t="str">
            <v>9001-2211-DS-0017-01-WM</v>
          </cell>
          <cell r="C1133">
            <v>109</v>
          </cell>
          <cell r="E1133" t="str">
            <v>SB</v>
          </cell>
          <cell r="F1133" t="str">
            <v>100%MT&amp;UT</v>
          </cell>
          <cell r="G1133" t="str">
            <v>D</v>
          </cell>
          <cell r="H1133">
            <v>1595.1200000000001</v>
          </cell>
          <cell r="I1133">
            <v>10</v>
          </cell>
          <cell r="K1133" t="str">
            <v>WPS-TNHA-S07</v>
          </cell>
          <cell r="L1133" t="str">
            <v>ST-09</v>
          </cell>
          <cell r="Y1133" t="str">
            <v>NOT YET FITUP</v>
          </cell>
        </row>
        <row r="1134">
          <cell r="A1134" t="str">
            <v>9001-2211-DS-0017-01-WM110</v>
          </cell>
          <cell r="B1134" t="str">
            <v>9001-2211-DS-0017-01-WM</v>
          </cell>
          <cell r="C1134">
            <v>110</v>
          </cell>
          <cell r="E1134" t="str">
            <v>SB</v>
          </cell>
          <cell r="F1134" t="str">
            <v>100%MT&amp;UT</v>
          </cell>
          <cell r="G1134" t="str">
            <v>D</v>
          </cell>
          <cell r="H1134">
            <v>1595.1200000000001</v>
          </cell>
          <cell r="I1134">
            <v>10</v>
          </cell>
          <cell r="K1134" t="str">
            <v>WPS-TNHA-S07</v>
          </cell>
          <cell r="L1134" t="str">
            <v>ST-09</v>
          </cell>
          <cell r="Y1134" t="str">
            <v>NOT YET FITUP</v>
          </cell>
        </row>
        <row r="1135">
          <cell r="A1135" t="str">
            <v>9001-2211-DS-0017-01-WM111</v>
          </cell>
          <cell r="B1135" t="str">
            <v>9001-2211-DS-0017-01-WM</v>
          </cell>
          <cell r="C1135">
            <v>111</v>
          </cell>
          <cell r="E1135" t="str">
            <v>SB</v>
          </cell>
          <cell r="F1135" t="str">
            <v>100%MT&amp;UT</v>
          </cell>
          <cell r="G1135" t="str">
            <v>D</v>
          </cell>
          <cell r="H1135">
            <v>1915.4</v>
          </cell>
          <cell r="I1135">
            <v>12</v>
          </cell>
          <cell r="K1135" t="str">
            <v>WPS-TNHA-S07</v>
          </cell>
          <cell r="L1135" t="str">
            <v>ST-09</v>
          </cell>
          <cell r="Y1135" t="str">
            <v>NOT YET FITUP</v>
          </cell>
        </row>
        <row r="1136">
          <cell r="A1136" t="str">
            <v>9001-2211-DS-0017-01-WM112</v>
          </cell>
          <cell r="B1136" t="str">
            <v>9001-2211-DS-0017-01-WM</v>
          </cell>
          <cell r="C1136">
            <v>112</v>
          </cell>
          <cell r="E1136" t="str">
            <v>SB</v>
          </cell>
          <cell r="F1136" t="str">
            <v>100%MT&amp;UT</v>
          </cell>
          <cell r="G1136" t="str">
            <v>D</v>
          </cell>
          <cell r="H1136">
            <v>1915.4</v>
          </cell>
          <cell r="I1136">
            <v>12</v>
          </cell>
          <cell r="K1136" t="str">
            <v>WPS-TNHA-S07</v>
          </cell>
          <cell r="L1136" t="str">
            <v>ST-09</v>
          </cell>
          <cell r="Y1136" t="str">
            <v>NOT YET FITUP</v>
          </cell>
        </row>
        <row r="1137">
          <cell r="A1137" t="str">
            <v>9001-2211-DS-0017-01-WM113</v>
          </cell>
          <cell r="B1137" t="str">
            <v>9001-2211-DS-0017-01-WM</v>
          </cell>
          <cell r="C1137">
            <v>113</v>
          </cell>
          <cell r="E1137" t="str">
            <v>SB</v>
          </cell>
          <cell r="F1137" t="str">
            <v>100%MT&amp;UT</v>
          </cell>
          <cell r="G1137" t="str">
            <v>D</v>
          </cell>
          <cell r="H1137">
            <v>1595.1200000000001</v>
          </cell>
          <cell r="I1137">
            <v>10</v>
          </cell>
          <cell r="K1137" t="str">
            <v>WPS-TNHA-S07</v>
          </cell>
          <cell r="L1137" t="str">
            <v>ST-09</v>
          </cell>
          <cell r="Y1137" t="str">
            <v>NOT YET FITUP</v>
          </cell>
        </row>
        <row r="1138">
          <cell r="A1138" t="str">
            <v>9001-2211-DS-0017-01-WM114</v>
          </cell>
          <cell r="B1138" t="str">
            <v>9001-2211-DS-0017-01-WM</v>
          </cell>
          <cell r="C1138">
            <v>114</v>
          </cell>
          <cell r="E1138" t="str">
            <v>SB</v>
          </cell>
          <cell r="F1138" t="str">
            <v>100%MT&amp;UT</v>
          </cell>
          <cell r="G1138" t="str">
            <v>D</v>
          </cell>
          <cell r="H1138">
            <v>1595.1200000000001</v>
          </cell>
          <cell r="I1138">
            <v>10</v>
          </cell>
          <cell r="K1138" t="str">
            <v>WPS-TNHA-S07</v>
          </cell>
          <cell r="L1138" t="str">
            <v>ST-09</v>
          </cell>
          <cell r="Y1138" t="str">
            <v>NOT YET FITUP</v>
          </cell>
        </row>
        <row r="1139">
          <cell r="A1139" t="str">
            <v>9001-2211-DS-0017-01-WM115</v>
          </cell>
          <cell r="B1139" t="str">
            <v>9001-2211-DS-0017-01-WM</v>
          </cell>
          <cell r="C1139">
            <v>115</v>
          </cell>
          <cell r="E1139" t="str">
            <v>SB</v>
          </cell>
          <cell r="F1139" t="str">
            <v>100%MT&amp;UT</v>
          </cell>
          <cell r="G1139" t="str">
            <v>D</v>
          </cell>
          <cell r="H1139">
            <v>1915.4</v>
          </cell>
          <cell r="I1139">
            <v>12</v>
          </cell>
          <cell r="K1139" t="str">
            <v>WPS-TNHA-S07</v>
          </cell>
          <cell r="L1139" t="str">
            <v>ST-09</v>
          </cell>
          <cell r="Y1139" t="str">
            <v>NOT YET FITUP</v>
          </cell>
        </row>
        <row r="1140">
          <cell r="A1140" t="str">
            <v>9001-2211-DS-0017-01-WM116</v>
          </cell>
          <cell r="B1140" t="str">
            <v>9001-2211-DS-0017-01-WM</v>
          </cell>
          <cell r="C1140">
            <v>116</v>
          </cell>
          <cell r="E1140" t="str">
            <v>SB</v>
          </cell>
          <cell r="F1140" t="str">
            <v>100%MT&amp;UT</v>
          </cell>
          <cell r="G1140" t="str">
            <v>D</v>
          </cell>
          <cell r="H1140">
            <v>1915.4</v>
          </cell>
          <cell r="I1140">
            <v>12</v>
          </cell>
          <cell r="K1140" t="str">
            <v>WPS-TNHA-S07</v>
          </cell>
          <cell r="L1140" t="str">
            <v>ST-09</v>
          </cell>
          <cell r="Y1140" t="str">
            <v>NOT YET FITUP</v>
          </cell>
        </row>
        <row r="1141">
          <cell r="A1141" t="str">
            <v>9001-2211-DS-0017-01-WM117</v>
          </cell>
          <cell r="B1141" t="str">
            <v>9001-2211-DS-0017-01-WM</v>
          </cell>
          <cell r="C1141">
            <v>117</v>
          </cell>
          <cell r="E1141" t="str">
            <v>SB</v>
          </cell>
          <cell r="F1141" t="str">
            <v>100%MT&amp;UT</v>
          </cell>
          <cell r="G1141" t="str">
            <v>D</v>
          </cell>
          <cell r="H1141">
            <v>1595.1200000000001</v>
          </cell>
          <cell r="I1141">
            <v>10</v>
          </cell>
          <cell r="K1141" t="str">
            <v>WPS-TNHA-S07</v>
          </cell>
          <cell r="L1141" t="str">
            <v>ST-09</v>
          </cell>
          <cell r="Y1141" t="str">
            <v>NOT YET FITUP</v>
          </cell>
        </row>
        <row r="1142">
          <cell r="A1142" t="str">
            <v>9001-2211-DS-0017-01-WM118</v>
          </cell>
          <cell r="B1142" t="str">
            <v>9001-2211-DS-0017-01-WM</v>
          </cell>
          <cell r="C1142">
            <v>118</v>
          </cell>
          <cell r="E1142" t="str">
            <v>SB</v>
          </cell>
          <cell r="F1142" t="str">
            <v>100%MT&amp;UT</v>
          </cell>
          <cell r="G1142" t="str">
            <v>D</v>
          </cell>
          <cell r="H1142">
            <v>1595.1200000000001</v>
          </cell>
          <cell r="I1142">
            <v>10</v>
          </cell>
          <cell r="K1142" t="str">
            <v>WPS-TNHA-S07</v>
          </cell>
          <cell r="L1142" t="str">
            <v>ST-09</v>
          </cell>
          <cell r="Y1142" t="str">
            <v>NOT YET FITUP</v>
          </cell>
        </row>
        <row r="1143">
          <cell r="A1143" t="str">
            <v>9001-2211-DS-0017-01-WM119</v>
          </cell>
          <cell r="B1143" t="str">
            <v>9001-2211-DS-0017-01-WM</v>
          </cell>
          <cell r="C1143">
            <v>119</v>
          </cell>
          <cell r="E1143" t="str">
            <v>SB</v>
          </cell>
          <cell r="F1143" t="str">
            <v>100%MT&amp;UT</v>
          </cell>
          <cell r="G1143" t="str">
            <v>D</v>
          </cell>
          <cell r="H1143">
            <v>1915.4</v>
          </cell>
          <cell r="I1143">
            <v>12</v>
          </cell>
          <cell r="K1143" t="str">
            <v>WPS-TNHA-S07</v>
          </cell>
          <cell r="L1143" t="str">
            <v>ST-09</v>
          </cell>
          <cell r="Y1143" t="str">
            <v>NOT YET FITUP</v>
          </cell>
        </row>
        <row r="1144">
          <cell r="A1144" t="str">
            <v>9001-2211-DS-0017-01-WM120</v>
          </cell>
          <cell r="B1144" t="str">
            <v>9001-2211-DS-0017-01-WM</v>
          </cell>
          <cell r="C1144">
            <v>120</v>
          </cell>
          <cell r="E1144" t="str">
            <v>SB</v>
          </cell>
          <cell r="F1144" t="str">
            <v>100%MT&amp;UT</v>
          </cell>
          <cell r="G1144" t="str">
            <v>D</v>
          </cell>
          <cell r="H1144">
            <v>1915.4</v>
          </cell>
          <cell r="I1144">
            <v>12</v>
          </cell>
          <cell r="K1144" t="str">
            <v>WPS-TNHA-S07</v>
          </cell>
          <cell r="L1144" t="str">
            <v>ST-09</v>
          </cell>
          <cell r="Y1144" t="str">
            <v>NOT YET FITUP</v>
          </cell>
        </row>
        <row r="1145">
          <cell r="A1145" t="str">
            <v>9001-2211-DS-0017-01-WM121</v>
          </cell>
          <cell r="B1145" t="str">
            <v>9001-2211-DS-0017-01-WM</v>
          </cell>
          <cell r="C1145">
            <v>121</v>
          </cell>
          <cell r="E1145" t="str">
            <v>SB</v>
          </cell>
          <cell r="F1145" t="str">
            <v>100%MT&amp;UT</v>
          </cell>
          <cell r="G1145" t="str">
            <v>D</v>
          </cell>
          <cell r="H1145">
            <v>1915.4</v>
          </cell>
          <cell r="I1145">
            <v>12</v>
          </cell>
          <cell r="K1145" t="str">
            <v>WPS-TNHA-S07</v>
          </cell>
          <cell r="L1145" t="str">
            <v>ST-09</v>
          </cell>
          <cell r="Y1145" t="str">
            <v>NOT YET FITUP</v>
          </cell>
        </row>
        <row r="1146">
          <cell r="A1146" t="str">
            <v>9001-2211-DS-0017-01-WM122</v>
          </cell>
          <cell r="B1146" t="str">
            <v>9001-2211-DS-0017-01-WM</v>
          </cell>
          <cell r="C1146">
            <v>122</v>
          </cell>
          <cell r="E1146" t="str">
            <v>SB</v>
          </cell>
          <cell r="F1146" t="str">
            <v>100%MT&amp;UT</v>
          </cell>
          <cell r="G1146" t="str">
            <v>D</v>
          </cell>
          <cell r="H1146">
            <v>1595.1200000000001</v>
          </cell>
          <cell r="I1146">
            <v>10</v>
          </cell>
          <cell r="K1146" t="str">
            <v>WPS-TNHA-S07</v>
          </cell>
          <cell r="L1146" t="str">
            <v>ST-09</v>
          </cell>
          <cell r="Y1146" t="str">
            <v>NOT YET FITUP</v>
          </cell>
        </row>
        <row r="1147">
          <cell r="A1147" t="str">
            <v>9001-2211-DS-0017-01-WM123</v>
          </cell>
          <cell r="B1147" t="str">
            <v>9001-2211-DS-0017-01-WM</v>
          </cell>
          <cell r="C1147">
            <v>123</v>
          </cell>
          <cell r="E1147" t="str">
            <v>SB</v>
          </cell>
          <cell r="F1147" t="str">
            <v>100%MT&amp;UT</v>
          </cell>
          <cell r="G1147" t="str">
            <v>D</v>
          </cell>
          <cell r="H1147">
            <v>1915.4</v>
          </cell>
          <cell r="I1147">
            <v>12</v>
          </cell>
          <cell r="K1147" t="str">
            <v>WPS-TNHA-S07</v>
          </cell>
          <cell r="L1147" t="str">
            <v>ST-09</v>
          </cell>
          <cell r="Y1147" t="str">
            <v>NOT YET FITUP</v>
          </cell>
        </row>
        <row r="1148">
          <cell r="A1148" t="str">
            <v>9001-2211-DS-0017-01-WM124</v>
          </cell>
          <cell r="B1148" t="str">
            <v>9001-2211-DS-0017-01-WM</v>
          </cell>
          <cell r="C1148">
            <v>124</v>
          </cell>
          <cell r="E1148" t="str">
            <v>SB</v>
          </cell>
          <cell r="F1148" t="str">
            <v>100%MT&amp;UT</v>
          </cell>
          <cell r="G1148" t="str">
            <v>D</v>
          </cell>
          <cell r="H1148">
            <v>1595.1200000000001</v>
          </cell>
          <cell r="I1148">
            <v>10</v>
          </cell>
          <cell r="K1148" t="str">
            <v>WPS-TNHA-S07</v>
          </cell>
          <cell r="L1148" t="str">
            <v>ST-09</v>
          </cell>
          <cell r="Y1148" t="str">
            <v>NOT YET FITUP</v>
          </cell>
        </row>
        <row r="1149">
          <cell r="A1149" t="str">
            <v>9001-2211-DS-0017-01-WM125</v>
          </cell>
          <cell r="B1149" t="str">
            <v>9001-2211-DS-0017-01-WM</v>
          </cell>
          <cell r="C1149">
            <v>125</v>
          </cell>
          <cell r="E1149" t="str">
            <v>SB</v>
          </cell>
          <cell r="F1149" t="str">
            <v>100%MT&amp;UT</v>
          </cell>
          <cell r="G1149" t="str">
            <v>D</v>
          </cell>
          <cell r="H1149">
            <v>1595.1200000000001</v>
          </cell>
          <cell r="I1149">
            <v>10</v>
          </cell>
          <cell r="K1149" t="str">
            <v>WPS-TNHA-S07</v>
          </cell>
          <cell r="L1149" t="str">
            <v>ST-09</v>
          </cell>
          <cell r="Y1149" t="str">
            <v>NOT YET FITUP</v>
          </cell>
        </row>
        <row r="1150">
          <cell r="A1150" t="str">
            <v>9001-2211-DS-0017-01-WM126</v>
          </cell>
          <cell r="B1150" t="str">
            <v>9001-2211-DS-0017-01-WM</v>
          </cell>
          <cell r="C1150">
            <v>126</v>
          </cell>
          <cell r="E1150" t="str">
            <v>SB</v>
          </cell>
          <cell r="F1150" t="str">
            <v>100%MT&amp;UT</v>
          </cell>
          <cell r="G1150" t="str">
            <v>D</v>
          </cell>
          <cell r="H1150">
            <v>1915.4</v>
          </cell>
          <cell r="I1150">
            <v>12</v>
          </cell>
          <cell r="K1150" t="str">
            <v>WPS-TNHA-S07</v>
          </cell>
          <cell r="L1150" t="str">
            <v>ST-09</v>
          </cell>
          <cell r="Y1150" t="str">
            <v>NOT YET FITUP</v>
          </cell>
        </row>
        <row r="1151">
          <cell r="A1151" t="str">
            <v>9001-2211-DS-0017-01-WM127</v>
          </cell>
          <cell r="B1151" t="str">
            <v>9001-2211-DS-0017-01-WM</v>
          </cell>
          <cell r="C1151">
            <v>127</v>
          </cell>
          <cell r="E1151" t="str">
            <v>SB</v>
          </cell>
          <cell r="F1151" t="str">
            <v>100%MT&amp;UT</v>
          </cell>
          <cell r="G1151" t="str">
            <v>D</v>
          </cell>
          <cell r="H1151">
            <v>1595.1200000000001</v>
          </cell>
          <cell r="I1151">
            <v>10</v>
          </cell>
          <cell r="K1151" t="str">
            <v>WPS-TNHA-S07</v>
          </cell>
          <cell r="L1151" t="str">
            <v>ST-09</v>
          </cell>
          <cell r="Y1151" t="str">
            <v>NOT YET FITUP</v>
          </cell>
        </row>
        <row r="1152">
          <cell r="A1152" t="str">
            <v>9001-2211-DS-0017-01-WM127A</v>
          </cell>
          <cell r="B1152" t="str">
            <v>9001-2211-DS-0017-01-WM</v>
          </cell>
          <cell r="C1152" t="str">
            <v>127A</v>
          </cell>
          <cell r="E1152" t="str">
            <v>SV</v>
          </cell>
          <cell r="F1152" t="str">
            <v>100%MT&amp;UT</v>
          </cell>
          <cell r="G1152" t="str">
            <v>D</v>
          </cell>
          <cell r="H1152">
            <v>1915.4</v>
          </cell>
          <cell r="I1152">
            <v>12</v>
          </cell>
          <cell r="K1152" t="str">
            <v>WPS-TNHA-S06</v>
          </cell>
          <cell r="L1152" t="str">
            <v>ST-09</v>
          </cell>
          <cell r="M1152" t="str">
            <v>BÁCH</v>
          </cell>
          <cell r="N1152">
            <v>45991</v>
          </cell>
          <cell r="O1152" t="str">
            <v>F-110</v>
          </cell>
          <cell r="P1152" t="str">
            <v>20h00 01/12/2025</v>
          </cell>
          <cell r="Q1152" t="str">
            <v>DHN-SL-15;DHN-SL-22</v>
          </cell>
          <cell r="R1152" t="str">
            <v>BÁCH</v>
          </cell>
          <cell r="S1152">
            <v>45998</v>
          </cell>
          <cell r="T1152" t="str">
            <v>V-121</v>
          </cell>
          <cell r="Y1152" t="str">
            <v>FINISH</v>
          </cell>
          <cell r="Z1152" t="str">
            <v>ACC</v>
          </cell>
          <cell r="AA1152" t="str">
            <v>ACC</v>
          </cell>
          <cell r="AB1152" t="str">
            <v>MT-2211-ST-09-0011</v>
          </cell>
          <cell r="AC1152" t="str">
            <v>ACC</v>
          </cell>
          <cell r="AD1152" t="str">
            <v>UT-2211-ST-09-0009</v>
          </cell>
          <cell r="AP1152" t="str">
            <v>10/12/2025</v>
          </cell>
        </row>
        <row r="1153">
          <cell r="A1153" t="str">
            <v>9001-2211-DS-0017-01-WM128</v>
          </cell>
          <cell r="B1153" t="str">
            <v>9001-2211-DS-0017-01-WM</v>
          </cell>
          <cell r="C1153">
            <v>128</v>
          </cell>
          <cell r="E1153" t="str">
            <v>SB</v>
          </cell>
          <cell r="F1153" t="str">
            <v>100%MT&amp;UT</v>
          </cell>
          <cell r="G1153" t="str">
            <v>D</v>
          </cell>
          <cell r="H1153">
            <v>1915.4</v>
          </cell>
          <cell r="I1153">
            <v>12</v>
          </cell>
          <cell r="K1153" t="str">
            <v>WPS-TNHA-S07</v>
          </cell>
          <cell r="L1153" t="str">
            <v>ST-09</v>
          </cell>
          <cell r="Y1153" t="str">
            <v>NOT YET FITUP</v>
          </cell>
        </row>
        <row r="1154">
          <cell r="A1154" t="str">
            <v>9001-2211-DS-0017-01-WM129</v>
          </cell>
          <cell r="B1154" t="str">
            <v>9001-2211-DS-0017-01-WM</v>
          </cell>
          <cell r="C1154">
            <v>129</v>
          </cell>
          <cell r="E1154" t="str">
            <v>SB</v>
          </cell>
          <cell r="F1154" t="str">
            <v>100%MT&amp;UT</v>
          </cell>
          <cell r="G1154" t="str">
            <v>D</v>
          </cell>
          <cell r="H1154">
            <v>1595.1200000000001</v>
          </cell>
          <cell r="I1154">
            <v>10</v>
          </cell>
          <cell r="K1154" t="str">
            <v>WPS-TNHA-S07</v>
          </cell>
          <cell r="L1154" t="str">
            <v>ST-09</v>
          </cell>
          <cell r="Y1154" t="str">
            <v>NOT YET FITUP</v>
          </cell>
        </row>
        <row r="1155">
          <cell r="A1155" t="str">
            <v>9001-2211-DS-0017-01-WM130</v>
          </cell>
          <cell r="B1155" t="str">
            <v>9001-2211-DS-0017-01-WM</v>
          </cell>
          <cell r="C1155">
            <v>130</v>
          </cell>
          <cell r="E1155" t="str">
            <v>SB</v>
          </cell>
          <cell r="F1155" t="str">
            <v>100%MT&amp;UT</v>
          </cell>
          <cell r="G1155" t="str">
            <v>D</v>
          </cell>
          <cell r="H1155">
            <v>1915.4</v>
          </cell>
          <cell r="I1155">
            <v>12</v>
          </cell>
          <cell r="K1155" t="str">
            <v>WPS-TNHA-S07</v>
          </cell>
          <cell r="L1155" t="str">
            <v>ST-09</v>
          </cell>
          <cell r="Y1155" t="str">
            <v>NOT YET FITUP</v>
          </cell>
        </row>
        <row r="1156">
          <cell r="A1156" t="str">
            <v>9001-2211-DS-0017-01-WM131</v>
          </cell>
          <cell r="B1156" t="str">
            <v>9001-2211-DS-0017-01-WM</v>
          </cell>
          <cell r="C1156">
            <v>131</v>
          </cell>
          <cell r="E1156" t="str">
            <v>SB</v>
          </cell>
          <cell r="F1156" t="str">
            <v>100%MT&amp;UT</v>
          </cell>
          <cell r="G1156" t="str">
            <v>D</v>
          </cell>
          <cell r="H1156">
            <v>1595.1200000000001</v>
          </cell>
          <cell r="I1156">
            <v>10</v>
          </cell>
          <cell r="K1156" t="str">
            <v>WPS-TNHA-S07</v>
          </cell>
          <cell r="L1156" t="str">
            <v>ST-09</v>
          </cell>
          <cell r="Y1156" t="str">
            <v>NOT YET FITUP</v>
          </cell>
        </row>
        <row r="1157">
          <cell r="A1157" t="str">
            <v>9001-2211-DS-0017-01-WM132</v>
          </cell>
          <cell r="B1157" t="str">
            <v>9001-2211-DS-0017-01-WM</v>
          </cell>
          <cell r="C1157">
            <v>132</v>
          </cell>
          <cell r="E1157" t="str">
            <v>SB</v>
          </cell>
          <cell r="F1157" t="str">
            <v>100%MT&amp;UT</v>
          </cell>
          <cell r="G1157" t="str">
            <v>D</v>
          </cell>
          <cell r="H1157">
            <v>1595.1200000000001</v>
          </cell>
          <cell r="I1157">
            <v>10</v>
          </cell>
          <cell r="K1157" t="str">
            <v>WPS-TNHA-S07</v>
          </cell>
          <cell r="L1157" t="str">
            <v>ST-09</v>
          </cell>
          <cell r="Y1157" t="str">
            <v>NOT YET FITUP</v>
          </cell>
        </row>
        <row r="1158">
          <cell r="A1158" t="str">
            <v>9001-2211-DS-0017-01-WM133</v>
          </cell>
          <cell r="B1158" t="str">
            <v>9001-2211-DS-0017-01-WM</v>
          </cell>
          <cell r="C1158">
            <v>133</v>
          </cell>
          <cell r="E1158" t="str">
            <v>SB</v>
          </cell>
          <cell r="F1158" t="str">
            <v>100%MT&amp;UT</v>
          </cell>
          <cell r="G1158" t="str">
            <v>D</v>
          </cell>
          <cell r="H1158">
            <v>1915.4</v>
          </cell>
          <cell r="I1158">
            <v>12</v>
          </cell>
          <cell r="K1158" t="str">
            <v>WPS-TNHA-S07</v>
          </cell>
          <cell r="L1158" t="str">
            <v>ST-09</v>
          </cell>
          <cell r="Y1158" t="str">
            <v>NOT YET FITUP</v>
          </cell>
        </row>
        <row r="1159">
          <cell r="A1159" t="str">
            <v>9001-2211-DS-0017-01-WM134</v>
          </cell>
          <cell r="B1159" t="str">
            <v>9001-2211-DS-0017-01-WM</v>
          </cell>
          <cell r="C1159">
            <v>134</v>
          </cell>
          <cell r="E1159" t="str">
            <v>SB</v>
          </cell>
          <cell r="F1159" t="str">
            <v>100%MT&amp;UT</v>
          </cell>
          <cell r="G1159" t="str">
            <v>D</v>
          </cell>
          <cell r="H1159">
            <v>1595.1200000000001</v>
          </cell>
          <cell r="I1159">
            <v>10</v>
          </cell>
          <cell r="K1159" t="str">
            <v>WPS-TNHA-S07</v>
          </cell>
          <cell r="L1159" t="str">
            <v>ST-09</v>
          </cell>
          <cell r="Y1159" t="str">
            <v>NOT YET FITUP</v>
          </cell>
        </row>
        <row r="1160">
          <cell r="A1160" t="str">
            <v>9001-2211-DS-0017-01-WM135</v>
          </cell>
          <cell r="B1160" t="str">
            <v>9001-2211-DS-0017-01-WM</v>
          </cell>
          <cell r="C1160">
            <v>135</v>
          </cell>
          <cell r="E1160" t="str">
            <v>SB</v>
          </cell>
          <cell r="F1160" t="str">
            <v>100%MT&amp;UT</v>
          </cell>
          <cell r="G1160" t="str">
            <v>D</v>
          </cell>
          <cell r="H1160">
            <v>1915.4</v>
          </cell>
          <cell r="I1160">
            <v>12</v>
          </cell>
          <cell r="K1160" t="str">
            <v>WPS-TNHA-S07</v>
          </cell>
          <cell r="L1160" t="str">
            <v>ST-09</v>
          </cell>
          <cell r="Y1160" t="str">
            <v>NOT YET FITUP</v>
          </cell>
        </row>
        <row r="1161">
          <cell r="A1161" t="str">
            <v>9001-2211-DS-0017-01-WM136</v>
          </cell>
          <cell r="B1161" t="str">
            <v>9001-2211-DS-0017-01-WM</v>
          </cell>
          <cell r="C1161">
            <v>136</v>
          </cell>
          <cell r="E1161" t="str">
            <v>SB</v>
          </cell>
          <cell r="F1161" t="str">
            <v>100%MT&amp;UT</v>
          </cell>
          <cell r="G1161" t="str">
            <v>D</v>
          </cell>
          <cell r="H1161">
            <v>1595.1200000000001</v>
          </cell>
          <cell r="I1161">
            <v>10</v>
          </cell>
          <cell r="K1161" t="str">
            <v>WPS-TNHA-S07</v>
          </cell>
          <cell r="L1161" t="str">
            <v>ST-09</v>
          </cell>
          <cell r="Y1161" t="str">
            <v>NOT YET FITUP</v>
          </cell>
        </row>
        <row r="1162">
          <cell r="A1162" t="str">
            <v>9001-2211-DS-0017-01-WM137</v>
          </cell>
          <cell r="B1162" t="str">
            <v>9001-2211-DS-0017-01-WM</v>
          </cell>
          <cell r="C1162">
            <v>137</v>
          </cell>
          <cell r="E1162" t="str">
            <v>SB</v>
          </cell>
          <cell r="F1162" t="str">
            <v>100%MT&amp;UT</v>
          </cell>
          <cell r="G1162" t="str">
            <v>D</v>
          </cell>
          <cell r="H1162">
            <v>1915.4</v>
          </cell>
          <cell r="I1162">
            <v>12</v>
          </cell>
          <cell r="K1162" t="str">
            <v>WPS-TNHA-S07</v>
          </cell>
          <cell r="L1162" t="str">
            <v>ST-09</v>
          </cell>
          <cell r="Y1162" t="str">
            <v>NOT YET FITUP</v>
          </cell>
        </row>
        <row r="1163">
          <cell r="A1163" t="str">
            <v>9001-2211-DS-0017-01-WM138</v>
          </cell>
          <cell r="B1163" t="str">
            <v>9001-2211-DS-0017-01-WM</v>
          </cell>
          <cell r="C1163">
            <v>138</v>
          </cell>
          <cell r="E1163" t="str">
            <v>SB</v>
          </cell>
          <cell r="F1163" t="str">
            <v>100%MT&amp;UT</v>
          </cell>
          <cell r="G1163" t="str">
            <v>D</v>
          </cell>
          <cell r="H1163">
            <v>1915.4</v>
          </cell>
          <cell r="I1163">
            <v>12</v>
          </cell>
          <cell r="K1163" t="str">
            <v>WPS-TNHA-S07</v>
          </cell>
          <cell r="L1163" t="str">
            <v>ST-09</v>
          </cell>
          <cell r="Y1163" t="str">
            <v>NOT YET FITUP</v>
          </cell>
        </row>
        <row r="1164">
          <cell r="A1164" t="str">
            <v>9001-2211-DS-0017-01-WM139</v>
          </cell>
          <cell r="B1164" t="str">
            <v>9001-2211-DS-0017-01-WM</v>
          </cell>
          <cell r="C1164">
            <v>139</v>
          </cell>
          <cell r="E1164" t="str">
            <v>SB</v>
          </cell>
          <cell r="F1164" t="str">
            <v>100%MT&amp;UT</v>
          </cell>
          <cell r="G1164" t="str">
            <v>D</v>
          </cell>
          <cell r="H1164">
            <v>1595.1200000000001</v>
          </cell>
          <cell r="I1164">
            <v>10</v>
          </cell>
          <cell r="K1164" t="str">
            <v>WPS-TNHA-S07</v>
          </cell>
          <cell r="L1164" t="str">
            <v>ST-09</v>
          </cell>
          <cell r="Y1164" t="str">
            <v>NOT YET FITUP</v>
          </cell>
        </row>
        <row r="1165">
          <cell r="A1165" t="str">
            <v>9001-2211-DS-0017-01-WM140</v>
          </cell>
          <cell r="B1165" t="str">
            <v>9001-2211-DS-0017-01-WM</v>
          </cell>
          <cell r="C1165">
            <v>140</v>
          </cell>
          <cell r="E1165" t="str">
            <v>SB</v>
          </cell>
          <cell r="F1165" t="str">
            <v>100%MT&amp;UT</v>
          </cell>
          <cell r="G1165" t="str">
            <v>D</v>
          </cell>
          <cell r="H1165">
            <v>1595.1200000000001</v>
          </cell>
          <cell r="I1165">
            <v>10</v>
          </cell>
          <cell r="K1165" t="str">
            <v>WPS-TNHA-S07</v>
          </cell>
          <cell r="L1165" t="str">
            <v>ST-09</v>
          </cell>
          <cell r="Y1165" t="str">
            <v>NOT YET FITUP</v>
          </cell>
        </row>
        <row r="1166">
          <cell r="A1166" t="str">
            <v>9001-2211-DS-0017-01-WM141</v>
          </cell>
          <cell r="B1166" t="str">
            <v>9001-2211-DS-0017-01-WM</v>
          </cell>
          <cell r="C1166">
            <v>141</v>
          </cell>
          <cell r="E1166" t="str">
            <v>SB</v>
          </cell>
          <cell r="F1166" t="str">
            <v>100%MT&amp;UT</v>
          </cell>
          <cell r="G1166" t="str">
            <v>D</v>
          </cell>
          <cell r="H1166">
            <v>1595.1200000000001</v>
          </cell>
          <cell r="I1166">
            <v>10</v>
          </cell>
          <cell r="K1166" t="str">
            <v>WPS-TNHA-S07</v>
          </cell>
          <cell r="L1166" t="str">
            <v>ST-09</v>
          </cell>
          <cell r="Y1166" t="str">
            <v>NOT YET FITUP</v>
          </cell>
        </row>
        <row r="1167">
          <cell r="A1167" t="str">
            <v>9001-2211-DS-0017-01-WM142</v>
          </cell>
          <cell r="B1167" t="str">
            <v>9001-2211-DS-0017-01-WM</v>
          </cell>
          <cell r="C1167">
            <v>142</v>
          </cell>
          <cell r="E1167" t="str">
            <v>SB</v>
          </cell>
          <cell r="F1167" t="str">
            <v>100%MT&amp;UT</v>
          </cell>
          <cell r="G1167" t="str">
            <v>D</v>
          </cell>
          <cell r="H1167">
            <v>1595.1200000000001</v>
          </cell>
          <cell r="I1167">
            <v>10</v>
          </cell>
          <cell r="K1167" t="str">
            <v>WPS-TNHA-S07</v>
          </cell>
          <cell r="L1167" t="str">
            <v>ST-09</v>
          </cell>
          <cell r="Y1167" t="str">
            <v>NOT YET FITUP</v>
          </cell>
        </row>
        <row r="1168">
          <cell r="A1168" t="str">
            <v>9001-2211-DS-0017-01-WM142A</v>
          </cell>
          <cell r="B1168" t="str">
            <v>9001-2211-DS-0017-01-WM</v>
          </cell>
          <cell r="C1168" t="str">
            <v>142A</v>
          </cell>
          <cell r="E1168" t="str">
            <v>SB</v>
          </cell>
          <cell r="F1168" t="str">
            <v>100%MT&amp;UT</v>
          </cell>
          <cell r="G1168" t="str">
            <v>D</v>
          </cell>
          <cell r="H1168">
            <v>1915.4</v>
          </cell>
          <cell r="I1168">
            <v>12</v>
          </cell>
          <cell r="K1168" t="str">
            <v>WPS-TNHA-S07</v>
          </cell>
          <cell r="L1168" t="str">
            <v>ST-09</v>
          </cell>
          <cell r="Y1168" t="str">
            <v>NOT YET FITUP</v>
          </cell>
        </row>
        <row r="1169">
          <cell r="A1169" t="str">
            <v>9001-2211-DS-0017-01-WM143</v>
          </cell>
          <cell r="B1169" t="str">
            <v>9001-2211-DS-0017-01-WM</v>
          </cell>
          <cell r="C1169">
            <v>143</v>
          </cell>
          <cell r="E1169" t="str">
            <v>SB</v>
          </cell>
          <cell r="F1169" t="str">
            <v>100%MT&amp;UT</v>
          </cell>
          <cell r="G1169" t="str">
            <v>D</v>
          </cell>
          <cell r="H1169">
            <v>1915.4</v>
          </cell>
          <cell r="I1169">
            <v>12</v>
          </cell>
          <cell r="K1169" t="str">
            <v>WPS-TNHA-S07</v>
          </cell>
          <cell r="L1169" t="str">
            <v>ST-09</v>
          </cell>
          <cell r="Y1169" t="str">
            <v>NOT YET FITUP</v>
          </cell>
        </row>
        <row r="1170">
          <cell r="A1170" t="str">
            <v>9001-2211-DS-0017-01-WM144</v>
          </cell>
          <cell r="B1170" t="str">
            <v>9001-2211-DS-0017-01-WM</v>
          </cell>
          <cell r="C1170">
            <v>144</v>
          </cell>
          <cell r="K1170" t="str">
            <v>WPS-TNHA-S07</v>
          </cell>
          <cell r="L1170" t="str">
            <v>ST-09</v>
          </cell>
          <cell r="Y1170" t="str">
            <v>NOT YET FITUP</v>
          </cell>
        </row>
        <row r="1171">
          <cell r="A1171" t="str">
            <v>9001-2211-DS-0017-01-WM145</v>
          </cell>
          <cell r="B1171" t="str">
            <v>9001-2211-DS-0017-01-WM</v>
          </cell>
          <cell r="C1171">
            <v>145</v>
          </cell>
          <cell r="E1171" t="str">
            <v>SB</v>
          </cell>
          <cell r="F1171" t="str">
            <v>100%MT&amp;UT</v>
          </cell>
          <cell r="G1171" t="str">
            <v>D</v>
          </cell>
          <cell r="H1171">
            <v>1595.1200000000001</v>
          </cell>
          <cell r="I1171">
            <v>10</v>
          </cell>
          <cell r="K1171" t="str">
            <v>WPS-TNHA-S07</v>
          </cell>
          <cell r="L1171" t="str">
            <v>ST-09</v>
          </cell>
          <cell r="Y1171" t="str">
            <v>NOT YET FITUP</v>
          </cell>
        </row>
        <row r="1172">
          <cell r="A1172" t="str">
            <v>9001-2211-DS-0017-01-WM146</v>
          </cell>
          <cell r="B1172" t="str">
            <v>9001-2211-DS-0017-01-WM</v>
          </cell>
          <cell r="C1172">
            <v>146</v>
          </cell>
          <cell r="E1172" t="str">
            <v>SB</v>
          </cell>
          <cell r="F1172" t="str">
            <v>100%MT&amp;UT</v>
          </cell>
          <cell r="G1172" t="str">
            <v>D</v>
          </cell>
          <cell r="H1172">
            <v>1915.4</v>
          </cell>
          <cell r="I1172">
            <v>12</v>
          </cell>
          <cell r="K1172" t="str">
            <v>WPS-TNHA-S07</v>
          </cell>
          <cell r="L1172" t="str">
            <v>ST-09</v>
          </cell>
          <cell r="Y1172" t="str">
            <v>NOT YET FITUP</v>
          </cell>
        </row>
        <row r="1173">
          <cell r="A1173" t="str">
            <v>9001-2211-DS-0017-01-WM147</v>
          </cell>
          <cell r="B1173" t="str">
            <v>9001-2211-DS-0017-01-WM</v>
          </cell>
          <cell r="C1173">
            <v>147</v>
          </cell>
          <cell r="E1173" t="str">
            <v>SB</v>
          </cell>
          <cell r="F1173" t="str">
            <v>100%MT&amp;UT</v>
          </cell>
          <cell r="G1173" t="str">
            <v>D</v>
          </cell>
          <cell r="H1173">
            <v>1595.1200000000001</v>
          </cell>
          <cell r="I1173">
            <v>10</v>
          </cell>
          <cell r="K1173" t="str">
            <v>WPS-TNHA-S07</v>
          </cell>
          <cell r="L1173" t="str">
            <v>ST-09</v>
          </cell>
          <cell r="Y1173" t="str">
            <v>NOT YET FITUP</v>
          </cell>
        </row>
        <row r="1174">
          <cell r="A1174" t="str">
            <v>9001-2211-DS-0017-01-WM148</v>
          </cell>
          <cell r="B1174" t="str">
            <v>9001-2211-DS-0017-01-WM</v>
          </cell>
          <cell r="C1174">
            <v>148</v>
          </cell>
          <cell r="E1174" t="str">
            <v>SB</v>
          </cell>
          <cell r="F1174" t="str">
            <v>100%MT&amp;UT</v>
          </cell>
          <cell r="G1174" t="str">
            <v>D</v>
          </cell>
          <cell r="H1174">
            <v>1915.4</v>
          </cell>
          <cell r="I1174">
            <v>12</v>
          </cell>
          <cell r="K1174" t="str">
            <v>WPS-TNHA-S07</v>
          </cell>
          <cell r="L1174" t="str">
            <v>ST-09</v>
          </cell>
          <cell r="Y1174" t="str">
            <v>NOT YET FITUP</v>
          </cell>
        </row>
        <row r="1175">
          <cell r="A1175" t="str">
            <v>9001-2211-DS-0017-01-WM149</v>
          </cell>
          <cell r="B1175" t="str">
            <v>9001-2211-DS-0017-01-WM</v>
          </cell>
          <cell r="C1175">
            <v>149</v>
          </cell>
          <cell r="E1175" t="str">
            <v>SB</v>
          </cell>
          <cell r="F1175" t="str">
            <v>100%MT&amp;UT</v>
          </cell>
          <cell r="G1175" t="str">
            <v>D</v>
          </cell>
          <cell r="H1175">
            <v>1915.4</v>
          </cell>
          <cell r="I1175">
            <v>12</v>
          </cell>
          <cell r="K1175" t="str">
            <v>WPS-TNHA-S07</v>
          </cell>
          <cell r="L1175" t="str">
            <v>ST-09</v>
          </cell>
          <cell r="Y1175" t="str">
            <v>NOT YET FITUP</v>
          </cell>
        </row>
        <row r="1176">
          <cell r="A1176" t="str">
            <v>9001-2211-DS-0017-01-WM150</v>
          </cell>
          <cell r="B1176" t="str">
            <v>9001-2211-DS-0017-01-WM</v>
          </cell>
          <cell r="C1176">
            <v>150</v>
          </cell>
          <cell r="E1176" t="str">
            <v>SB</v>
          </cell>
          <cell r="F1176" t="str">
            <v>100%MT&amp;UT</v>
          </cell>
          <cell r="G1176" t="str">
            <v>D</v>
          </cell>
          <cell r="H1176">
            <v>1595.1200000000001</v>
          </cell>
          <cell r="I1176">
            <v>10</v>
          </cell>
          <cell r="K1176" t="str">
            <v>WPS-TNHA-S07</v>
          </cell>
          <cell r="L1176" t="str">
            <v>ST-09</v>
          </cell>
          <cell r="Y1176" t="str">
            <v>NOT YET FITUP</v>
          </cell>
        </row>
        <row r="1177">
          <cell r="A1177" t="str">
            <v>9001-2211-DS-0017-01-WM151</v>
          </cell>
          <cell r="B1177" t="str">
            <v>9001-2211-DS-0017-01-WM</v>
          </cell>
          <cell r="C1177">
            <v>151</v>
          </cell>
          <cell r="E1177" t="str">
            <v>SB</v>
          </cell>
          <cell r="F1177" t="str">
            <v>100%MT&amp;UT</v>
          </cell>
          <cell r="G1177" t="str">
            <v>D</v>
          </cell>
          <cell r="H1177">
            <v>1915.4</v>
          </cell>
          <cell r="I1177">
            <v>12</v>
          </cell>
          <cell r="K1177" t="str">
            <v>WPS-TNHA-S07</v>
          </cell>
          <cell r="L1177" t="str">
            <v>ST-09</v>
          </cell>
          <cell r="Y1177" t="str">
            <v>NOT YET FITUP</v>
          </cell>
        </row>
        <row r="1178">
          <cell r="A1178" t="str">
            <v>9001-2211-DS-0017-01-WM152</v>
          </cell>
          <cell r="B1178" t="str">
            <v>9001-2211-DS-0017-01-WM</v>
          </cell>
          <cell r="C1178">
            <v>152</v>
          </cell>
          <cell r="E1178" t="str">
            <v>SB</v>
          </cell>
          <cell r="F1178" t="str">
            <v>100%MT&amp;UT</v>
          </cell>
          <cell r="G1178" t="str">
            <v>D</v>
          </cell>
          <cell r="H1178">
            <v>1915.4</v>
          </cell>
          <cell r="I1178">
            <v>12</v>
          </cell>
          <cell r="K1178" t="str">
            <v>WPS-TNHA-S07</v>
          </cell>
          <cell r="L1178" t="str">
            <v>ST-09</v>
          </cell>
          <cell r="Y1178" t="str">
            <v>NOT YET FITUP</v>
          </cell>
        </row>
        <row r="1179">
          <cell r="A1179" t="str">
            <v>9001-2211-DS-0017-01-WM153</v>
          </cell>
          <cell r="B1179" t="str">
            <v>9001-2211-DS-0017-01-WM</v>
          </cell>
          <cell r="C1179">
            <v>153</v>
          </cell>
          <cell r="E1179" t="str">
            <v>SB</v>
          </cell>
          <cell r="F1179" t="str">
            <v>100%MT&amp;UT</v>
          </cell>
          <cell r="G1179" t="str">
            <v>D</v>
          </cell>
          <cell r="H1179">
            <v>1915.4</v>
          </cell>
          <cell r="I1179">
            <v>12</v>
          </cell>
          <cell r="K1179" t="str">
            <v>WPS-TNHA-S07</v>
          </cell>
          <cell r="L1179" t="str">
            <v>ST-09</v>
          </cell>
          <cell r="Y1179" t="str">
            <v>NOT YET FITUP</v>
          </cell>
        </row>
        <row r="1180">
          <cell r="A1180" t="str">
            <v>9001-2211-DS-0017-01-WM154</v>
          </cell>
          <cell r="B1180" t="str">
            <v>9001-2211-DS-0017-01-WM</v>
          </cell>
          <cell r="C1180">
            <v>154</v>
          </cell>
          <cell r="E1180" t="str">
            <v>SB</v>
          </cell>
          <cell r="F1180" t="str">
            <v>100%MT&amp;UT</v>
          </cell>
          <cell r="G1180" t="str">
            <v>D</v>
          </cell>
          <cell r="H1180">
            <v>1595.1200000000001</v>
          </cell>
          <cell r="I1180">
            <v>10</v>
          </cell>
          <cell r="K1180" t="str">
            <v>WPS-TNHA-S07</v>
          </cell>
          <cell r="L1180" t="str">
            <v>ST-09</v>
          </cell>
          <cell r="Y1180" t="str">
            <v>NOT YET FITUP</v>
          </cell>
        </row>
        <row r="1181">
          <cell r="A1181" t="str">
            <v>9001-2211-DS-0017-01-WM155</v>
          </cell>
          <cell r="B1181" t="str">
            <v>9001-2211-DS-0017-01-WM</v>
          </cell>
          <cell r="C1181">
            <v>155</v>
          </cell>
          <cell r="E1181" t="str">
            <v>SB</v>
          </cell>
          <cell r="F1181" t="str">
            <v>100%MT&amp;UT</v>
          </cell>
          <cell r="G1181" t="str">
            <v>D</v>
          </cell>
          <cell r="H1181">
            <v>1595.1200000000001</v>
          </cell>
          <cell r="I1181">
            <v>10</v>
          </cell>
          <cell r="K1181" t="str">
            <v>WPS-TNHA-S07</v>
          </cell>
          <cell r="L1181" t="str">
            <v>ST-09</v>
          </cell>
          <cell r="Y1181" t="str">
            <v>NOT YET FITUP</v>
          </cell>
        </row>
        <row r="1182">
          <cell r="A1182" t="str">
            <v>9001-2211-DS-0017-01-WM156</v>
          </cell>
          <cell r="B1182" t="str">
            <v>9001-2211-DS-0017-01-WM</v>
          </cell>
          <cell r="C1182">
            <v>156</v>
          </cell>
          <cell r="E1182" t="str">
            <v>SB</v>
          </cell>
          <cell r="F1182" t="str">
            <v>100%MT&amp;UT</v>
          </cell>
          <cell r="G1182" t="str">
            <v>D</v>
          </cell>
          <cell r="H1182">
            <v>1915.4</v>
          </cell>
          <cell r="I1182">
            <v>12</v>
          </cell>
          <cell r="K1182" t="str">
            <v>WPS-TNHA-S07</v>
          </cell>
          <cell r="L1182" t="str">
            <v>ST-09</v>
          </cell>
          <cell r="Y1182" t="str">
            <v>NOT YET FITUP</v>
          </cell>
        </row>
        <row r="1183">
          <cell r="A1183" t="str">
            <v>9001-2211-DS-0017-01-WM157</v>
          </cell>
          <cell r="B1183" t="str">
            <v>9001-2211-DS-0017-01-WM</v>
          </cell>
          <cell r="C1183">
            <v>157</v>
          </cell>
          <cell r="E1183" t="str">
            <v>SB</v>
          </cell>
          <cell r="F1183" t="str">
            <v>100%MT&amp;UT</v>
          </cell>
          <cell r="G1183" t="str">
            <v>D</v>
          </cell>
          <cell r="H1183">
            <v>1915.4</v>
          </cell>
          <cell r="I1183">
            <v>12</v>
          </cell>
          <cell r="K1183" t="str">
            <v>WPS-TNHA-S07</v>
          </cell>
          <cell r="L1183" t="str">
            <v>ST-09</v>
          </cell>
          <cell r="Y1183" t="str">
            <v>NOT YET FITUP</v>
          </cell>
        </row>
        <row r="1184">
          <cell r="A1184" t="str">
            <v>9001-2211-DS-0017-01-WM158</v>
          </cell>
          <cell r="B1184" t="str">
            <v>9001-2211-DS-0017-01-WM</v>
          </cell>
          <cell r="C1184">
            <v>158</v>
          </cell>
          <cell r="E1184" t="str">
            <v>SB</v>
          </cell>
          <cell r="F1184" t="str">
            <v>100%MT&amp;UT</v>
          </cell>
          <cell r="G1184" t="str">
            <v>D</v>
          </cell>
          <cell r="H1184">
            <v>1595.1200000000001</v>
          </cell>
          <cell r="I1184">
            <v>10</v>
          </cell>
          <cell r="K1184" t="str">
            <v>WPS-TNHA-S07</v>
          </cell>
          <cell r="L1184" t="str">
            <v>ST-09</v>
          </cell>
          <cell r="Y1184" t="str">
            <v>NOT YET FITUP</v>
          </cell>
        </row>
        <row r="1185">
          <cell r="A1185" t="str">
            <v>9001-2211-DS-0017-01-WM159</v>
          </cell>
          <cell r="B1185" t="str">
            <v>9001-2211-DS-0017-01-WM</v>
          </cell>
          <cell r="C1185">
            <v>159</v>
          </cell>
          <cell r="E1185" t="str">
            <v>SB</v>
          </cell>
          <cell r="F1185" t="str">
            <v>100%MT&amp;UT</v>
          </cell>
          <cell r="G1185" t="str">
            <v>D</v>
          </cell>
          <cell r="H1185">
            <v>1595.1200000000001</v>
          </cell>
          <cell r="I1185">
            <v>10</v>
          </cell>
          <cell r="K1185" t="str">
            <v>WPS-TNHA-S07</v>
          </cell>
          <cell r="L1185" t="str">
            <v>ST-09</v>
          </cell>
          <cell r="Y1185" t="str">
            <v>NOT YET FITUP</v>
          </cell>
        </row>
        <row r="1186">
          <cell r="A1186" t="str">
            <v>9001-2211-DS-0017-01-WM160</v>
          </cell>
          <cell r="B1186" t="str">
            <v>9001-2211-DS-0017-01-WM</v>
          </cell>
          <cell r="C1186">
            <v>160</v>
          </cell>
          <cell r="E1186" t="str">
            <v>SB</v>
          </cell>
          <cell r="F1186" t="str">
            <v>100%MT&amp;UT</v>
          </cell>
          <cell r="G1186" t="str">
            <v>D</v>
          </cell>
          <cell r="H1186">
            <v>1915.4</v>
          </cell>
          <cell r="I1186">
            <v>12</v>
          </cell>
          <cell r="K1186" t="str">
            <v>WPS-TNHA-S07</v>
          </cell>
          <cell r="L1186" t="str">
            <v>ST-09</v>
          </cell>
          <cell r="Y1186" t="str">
            <v>NOT YET FITUP</v>
          </cell>
        </row>
        <row r="1187">
          <cell r="A1187" t="str">
            <v>9001-2211-DS-0017-01-WM161</v>
          </cell>
          <cell r="B1187" t="str">
            <v>9001-2211-DS-0017-01-WM</v>
          </cell>
          <cell r="C1187">
            <v>161</v>
          </cell>
          <cell r="E1187" t="str">
            <v>SB</v>
          </cell>
          <cell r="F1187" t="str">
            <v>100%MT&amp;UT</v>
          </cell>
          <cell r="G1187" t="str">
            <v>D</v>
          </cell>
          <cell r="H1187">
            <v>1915.4</v>
          </cell>
          <cell r="I1187">
            <v>12</v>
          </cell>
          <cell r="K1187" t="str">
            <v>WPS-TNHA-S07</v>
          </cell>
          <cell r="L1187" t="str">
            <v>ST-09</v>
          </cell>
          <cell r="Y1187" t="str">
            <v>NOT YET FITUP</v>
          </cell>
        </row>
        <row r="1188">
          <cell r="A1188" t="str">
            <v>9001-2211-DS-0017-01-WM162</v>
          </cell>
          <cell r="B1188" t="str">
            <v>9001-2211-DS-0017-01-WM</v>
          </cell>
          <cell r="C1188">
            <v>162</v>
          </cell>
          <cell r="E1188" t="str">
            <v>SB</v>
          </cell>
          <cell r="F1188" t="str">
            <v>100%MT&amp;UT</v>
          </cell>
          <cell r="G1188" t="str">
            <v>D</v>
          </cell>
          <cell r="H1188">
            <v>1595.1200000000001</v>
          </cell>
          <cell r="I1188">
            <v>10</v>
          </cell>
          <cell r="K1188" t="str">
            <v>WPS-TNHA-S07</v>
          </cell>
          <cell r="L1188" t="str">
            <v>ST-09</v>
          </cell>
          <cell r="Y1188" t="str">
            <v>NOT YET FITUP</v>
          </cell>
        </row>
        <row r="1189">
          <cell r="A1189" t="str">
            <v>9001-2211-DS-0017-01-WM163</v>
          </cell>
          <cell r="B1189" t="str">
            <v>9001-2211-DS-0017-01-WM</v>
          </cell>
          <cell r="C1189">
            <v>163</v>
          </cell>
          <cell r="E1189" t="str">
            <v>SB</v>
          </cell>
          <cell r="F1189" t="str">
            <v>100%MT&amp;UT</v>
          </cell>
          <cell r="G1189" t="str">
            <v>D</v>
          </cell>
          <cell r="H1189">
            <v>1595.1200000000001</v>
          </cell>
          <cell r="I1189">
            <v>10</v>
          </cell>
          <cell r="K1189" t="str">
            <v>WPS-TNHA-S07</v>
          </cell>
          <cell r="L1189" t="str">
            <v>ST-09</v>
          </cell>
          <cell r="Y1189" t="str">
            <v>NOT YET FITUP</v>
          </cell>
        </row>
        <row r="1190">
          <cell r="A1190" t="str">
            <v>9001-2211-DS-0017-01-WM164</v>
          </cell>
          <cell r="B1190" t="str">
            <v>9001-2211-DS-0017-01-WM</v>
          </cell>
          <cell r="C1190">
            <v>164</v>
          </cell>
          <cell r="E1190" t="str">
            <v>SB</v>
          </cell>
          <cell r="F1190" t="str">
            <v>100%MT&amp;UT</v>
          </cell>
          <cell r="G1190" t="str">
            <v>D</v>
          </cell>
          <cell r="H1190">
            <v>1915.4</v>
          </cell>
          <cell r="I1190">
            <v>12</v>
          </cell>
          <cell r="K1190" t="str">
            <v>WPS-TNHA-S07</v>
          </cell>
          <cell r="L1190" t="str">
            <v>ST-09</v>
          </cell>
          <cell r="Y1190" t="str">
            <v>NOT YET FITUP</v>
          </cell>
        </row>
        <row r="1191">
          <cell r="A1191" t="str">
            <v>9001-2211-DS-0017-01-WM165</v>
          </cell>
          <cell r="B1191" t="str">
            <v>9001-2211-DS-0017-01-WM</v>
          </cell>
          <cell r="C1191">
            <v>165</v>
          </cell>
          <cell r="E1191" t="str">
            <v>SB</v>
          </cell>
          <cell r="F1191" t="str">
            <v>100%MT&amp;UT</v>
          </cell>
          <cell r="G1191" t="str">
            <v>D</v>
          </cell>
          <cell r="H1191">
            <v>2869.96</v>
          </cell>
          <cell r="I1191">
            <v>25</v>
          </cell>
          <cell r="K1191" t="str">
            <v>WPS-TNHA-S07</v>
          </cell>
          <cell r="L1191" t="str">
            <v>ST-09</v>
          </cell>
          <cell r="Y1191" t="str">
            <v>NOT YET FITUP</v>
          </cell>
        </row>
        <row r="1192">
          <cell r="A1192" t="str">
            <v>9001-2211-DS-0017-01-WM166</v>
          </cell>
          <cell r="B1192" t="str">
            <v>9001-2211-DS-0017-01-WM</v>
          </cell>
          <cell r="C1192">
            <v>166</v>
          </cell>
          <cell r="E1192" t="str">
            <v>SB</v>
          </cell>
          <cell r="F1192" t="str">
            <v>100%MT&amp;UT</v>
          </cell>
          <cell r="G1192" t="str">
            <v>D</v>
          </cell>
          <cell r="H1192">
            <v>2392.6800000000003</v>
          </cell>
          <cell r="I1192">
            <v>15</v>
          </cell>
          <cell r="K1192" t="str">
            <v>WPS-TNHA-S07</v>
          </cell>
          <cell r="L1192" t="str">
            <v>ST-09</v>
          </cell>
          <cell r="Y1192" t="str">
            <v>NOT YET FITUP</v>
          </cell>
        </row>
        <row r="1193">
          <cell r="A1193" t="str">
            <v>9001-2211-DS-0017-01-WM167</v>
          </cell>
          <cell r="B1193" t="str">
            <v>9001-2211-DS-0017-01-WM</v>
          </cell>
          <cell r="C1193">
            <v>167</v>
          </cell>
          <cell r="E1193" t="str">
            <v>SB</v>
          </cell>
          <cell r="F1193" t="str">
            <v>100%MT&amp;UT</v>
          </cell>
          <cell r="G1193" t="str">
            <v>D</v>
          </cell>
          <cell r="H1193">
            <v>2392.6800000000003</v>
          </cell>
          <cell r="I1193">
            <v>15</v>
          </cell>
          <cell r="K1193" t="str">
            <v>WPS-TNHA-S07</v>
          </cell>
          <cell r="L1193" t="str">
            <v>ST-09</v>
          </cell>
          <cell r="Y1193" t="str">
            <v>NOT YET FITUP</v>
          </cell>
        </row>
        <row r="1194">
          <cell r="A1194" t="str">
            <v>9001-2211-DS-0017-01-WM168</v>
          </cell>
          <cell r="B1194" t="str">
            <v>9001-2211-DS-0017-01-WM</v>
          </cell>
          <cell r="C1194">
            <v>168</v>
          </cell>
          <cell r="E1194" t="str">
            <v>SB</v>
          </cell>
          <cell r="F1194" t="str">
            <v>100%MT&amp;UT</v>
          </cell>
          <cell r="G1194" t="str">
            <v>D</v>
          </cell>
          <cell r="H1194">
            <v>2392.6800000000003</v>
          </cell>
          <cell r="I1194">
            <v>15</v>
          </cell>
          <cell r="K1194" t="str">
            <v>WPS-TNHA-S07</v>
          </cell>
          <cell r="L1194" t="str">
            <v>ST-09</v>
          </cell>
          <cell r="Y1194" t="str">
            <v>NOT YET FITUP</v>
          </cell>
        </row>
        <row r="1195">
          <cell r="A1195" t="str">
            <v>9001-2211-DS-0017-01-WM169</v>
          </cell>
          <cell r="B1195" t="str">
            <v>9001-2211-DS-0017-01-WM</v>
          </cell>
          <cell r="C1195">
            <v>169</v>
          </cell>
          <cell r="E1195" t="str">
            <v>SB</v>
          </cell>
          <cell r="F1195" t="str">
            <v>100%MT&amp;UT</v>
          </cell>
          <cell r="G1195" t="str">
            <v>D</v>
          </cell>
          <cell r="H1195">
            <v>2392.6800000000003</v>
          </cell>
          <cell r="I1195">
            <v>15</v>
          </cell>
          <cell r="K1195" t="str">
            <v>WPS-TNHA-S07</v>
          </cell>
          <cell r="L1195" t="str">
            <v>ST-09</v>
          </cell>
          <cell r="Y1195" t="str">
            <v>NOT YET FITUP</v>
          </cell>
        </row>
        <row r="1196">
          <cell r="A1196" t="str">
            <v>9001-2211-DS-0017-01-WM170</v>
          </cell>
          <cell r="B1196" t="str">
            <v>9001-2211-DS-0017-01-WM</v>
          </cell>
          <cell r="C1196">
            <v>170</v>
          </cell>
          <cell r="E1196" t="str">
            <v>SV</v>
          </cell>
          <cell r="F1196" t="str">
            <v>100%MT&amp;UT</v>
          </cell>
          <cell r="G1196" t="str">
            <v>D</v>
          </cell>
          <cell r="H1196">
            <v>2392.6800000000003</v>
          </cell>
          <cell r="I1196">
            <v>15</v>
          </cell>
          <cell r="K1196" t="str">
            <v>WPS-TNHA-S06</v>
          </cell>
          <cell r="L1196" t="str">
            <v>ST-09</v>
          </cell>
          <cell r="M1196" t="str">
            <v>THÁI</v>
          </cell>
          <cell r="N1196">
            <v>46012</v>
          </cell>
          <cell r="O1196" t="str">
            <v>F-145</v>
          </cell>
          <cell r="Y1196" t="str">
            <v>NOT YET VISUAL</v>
          </cell>
        </row>
        <row r="1197">
          <cell r="A1197" t="str">
            <v>9001-2211-DS-0017-01-WM171</v>
          </cell>
          <cell r="B1197" t="str">
            <v>9001-2211-DS-0017-01-WM</v>
          </cell>
          <cell r="C1197">
            <v>171</v>
          </cell>
          <cell r="E1197" t="str">
            <v>SV</v>
          </cell>
          <cell r="F1197" t="str">
            <v>100%MT&amp;UT</v>
          </cell>
          <cell r="G1197" t="str">
            <v>D</v>
          </cell>
          <cell r="H1197">
            <v>2392.6800000000003</v>
          </cell>
          <cell r="I1197">
            <v>15</v>
          </cell>
          <cell r="K1197" t="str">
            <v>WPS-TNHA-S06</v>
          </cell>
          <cell r="L1197" t="str">
            <v>ST-09</v>
          </cell>
          <cell r="M1197" t="str">
            <v>XUÂN</v>
          </cell>
          <cell r="N1197">
            <v>46012</v>
          </cell>
          <cell r="O1197" t="str">
            <v>F-146</v>
          </cell>
          <cell r="Y1197" t="str">
            <v>NOT YET VISUAL</v>
          </cell>
        </row>
        <row r="1198">
          <cell r="A1198" t="str">
            <v>9001-2211-DS-0017-01-WM172</v>
          </cell>
          <cell r="B1198" t="str">
            <v>9001-2211-DS-0017-01-WM</v>
          </cell>
          <cell r="C1198">
            <v>172</v>
          </cell>
          <cell r="E1198" t="str">
            <v>SB</v>
          </cell>
          <cell r="F1198" t="str">
            <v>100%MT&amp;UT</v>
          </cell>
          <cell r="G1198" t="str">
            <v>D</v>
          </cell>
          <cell r="H1198">
            <v>2392.6800000000003</v>
          </cell>
          <cell r="I1198">
            <v>15</v>
          </cell>
          <cell r="K1198" t="str">
            <v>WPS-TNHA-S07</v>
          </cell>
          <cell r="L1198" t="str">
            <v>ST-09</v>
          </cell>
          <cell r="Y1198" t="str">
            <v>NOT YET FITUP</v>
          </cell>
        </row>
        <row r="1199">
          <cell r="A1199" t="str">
            <v>9001-2211-DS-0017-01-WM173</v>
          </cell>
          <cell r="B1199" t="str">
            <v>9001-2211-DS-0017-01-WM</v>
          </cell>
          <cell r="C1199">
            <v>173</v>
          </cell>
          <cell r="E1199" t="str">
            <v>SB</v>
          </cell>
          <cell r="F1199" t="str">
            <v>100%MT&amp;UT</v>
          </cell>
          <cell r="G1199" t="str">
            <v>D</v>
          </cell>
          <cell r="H1199">
            <v>2392.6800000000003</v>
          </cell>
          <cell r="I1199">
            <v>15</v>
          </cell>
          <cell r="K1199" t="str">
            <v>WPS-TNHA-S07</v>
          </cell>
          <cell r="L1199" t="str">
            <v>ST-09</v>
          </cell>
          <cell r="Y1199" t="str">
            <v>NOT YET FITUP</v>
          </cell>
        </row>
        <row r="1200">
          <cell r="A1200" t="str">
            <v>9001-2211-DS-0017-01-WM174</v>
          </cell>
          <cell r="B1200" t="str">
            <v>9001-2211-DS-0017-01-WM</v>
          </cell>
          <cell r="C1200">
            <v>174</v>
          </cell>
          <cell r="E1200" t="str">
            <v>SV</v>
          </cell>
          <cell r="F1200" t="str">
            <v>100%MT&amp;UT</v>
          </cell>
          <cell r="G1200" t="str">
            <v>D</v>
          </cell>
          <cell r="H1200">
            <v>2392.6800000000003</v>
          </cell>
          <cell r="I1200">
            <v>15</v>
          </cell>
          <cell r="K1200" t="str">
            <v>WPS-TNHA-S06</v>
          </cell>
          <cell r="L1200" t="str">
            <v>ST-09</v>
          </cell>
          <cell r="Y1200" t="str">
            <v>NOT YET FITUP</v>
          </cell>
        </row>
        <row r="1201">
          <cell r="A1201" t="str">
            <v>9001-2211-DS-0017-01-WM175</v>
          </cell>
          <cell r="B1201" t="str">
            <v>9001-2211-DS-0017-01-WM</v>
          </cell>
          <cell r="C1201">
            <v>175</v>
          </cell>
          <cell r="E1201" t="str">
            <v>SV</v>
          </cell>
          <cell r="F1201" t="str">
            <v>100%MT&amp;UT</v>
          </cell>
          <cell r="G1201" t="str">
            <v>D</v>
          </cell>
          <cell r="H1201">
            <v>2392.6800000000003</v>
          </cell>
          <cell r="I1201">
            <v>15</v>
          </cell>
          <cell r="K1201" t="str">
            <v>WPS-TNHA-S06</v>
          </cell>
          <cell r="L1201" t="str">
            <v>ST-09</v>
          </cell>
          <cell r="Y1201" t="str">
            <v>NOT YET FITUP</v>
          </cell>
        </row>
        <row r="1202">
          <cell r="A1202" t="str">
            <v>9001-2211-DS-0017-01-WM176</v>
          </cell>
          <cell r="B1202" t="str">
            <v>9001-2211-DS-0017-01-WM</v>
          </cell>
          <cell r="C1202">
            <v>176</v>
          </cell>
          <cell r="E1202" t="str">
            <v>SV</v>
          </cell>
          <cell r="F1202" t="str">
            <v>100%MT&amp;UT</v>
          </cell>
          <cell r="G1202" t="str">
            <v>D</v>
          </cell>
          <cell r="H1202">
            <v>2392.6800000000003</v>
          </cell>
          <cell r="I1202">
            <v>15</v>
          </cell>
          <cell r="K1202" t="str">
            <v>WPS-TNHA-S06</v>
          </cell>
          <cell r="L1202" t="str">
            <v>ST-09</v>
          </cell>
          <cell r="Y1202" t="str">
            <v>NOT YET FITUP</v>
          </cell>
        </row>
        <row r="1203">
          <cell r="A1203" t="str">
            <v>9001-2211-DS-0017-01-WM177</v>
          </cell>
          <cell r="B1203" t="str">
            <v>9001-2211-DS-0017-01-WM</v>
          </cell>
          <cell r="C1203">
            <v>177</v>
          </cell>
          <cell r="E1203" t="str">
            <v>SV</v>
          </cell>
          <cell r="F1203" t="str">
            <v>100%MT&amp;UT</v>
          </cell>
          <cell r="G1203" t="str">
            <v>D</v>
          </cell>
          <cell r="H1203">
            <v>2392.6800000000003</v>
          </cell>
          <cell r="I1203">
            <v>15</v>
          </cell>
          <cell r="K1203" t="str">
            <v>WPS-TNHA-S06</v>
          </cell>
          <cell r="L1203" t="str">
            <v>ST-09</v>
          </cell>
          <cell r="Y1203" t="str">
            <v>NOT YET FITUP</v>
          </cell>
        </row>
        <row r="1204">
          <cell r="A1204" t="str">
            <v>9001-2211-DS-0017-01-WM178</v>
          </cell>
          <cell r="B1204" t="str">
            <v>9001-2211-DS-0017-01-WM</v>
          </cell>
          <cell r="C1204">
            <v>178</v>
          </cell>
          <cell r="E1204" t="str">
            <v>SB</v>
          </cell>
          <cell r="F1204" t="str">
            <v>100%MT&amp;UT</v>
          </cell>
          <cell r="G1204" t="str">
            <v>D</v>
          </cell>
          <cell r="H1204">
            <v>2392.6800000000003</v>
          </cell>
          <cell r="I1204">
            <v>15</v>
          </cell>
          <cell r="K1204" t="str">
            <v>WPS-TNHA-S07</v>
          </cell>
          <cell r="L1204" t="str">
            <v>ST-09</v>
          </cell>
          <cell r="Y1204" t="str">
            <v>NOT YET FITUP</v>
          </cell>
        </row>
        <row r="1205">
          <cell r="A1205" t="str">
            <v>9001-2211-DS-0017-01-WM179</v>
          </cell>
          <cell r="B1205" t="str">
            <v>9001-2211-DS-0017-01-WM</v>
          </cell>
          <cell r="C1205">
            <v>179</v>
          </cell>
          <cell r="E1205" t="str">
            <v>SB</v>
          </cell>
          <cell r="F1205" t="str">
            <v>100%MT&amp;UT</v>
          </cell>
          <cell r="G1205" t="str">
            <v>D</v>
          </cell>
          <cell r="H1205">
            <v>2392.6800000000003</v>
          </cell>
          <cell r="I1205">
            <v>15</v>
          </cell>
          <cell r="K1205" t="str">
            <v>WPS-TNHA-S07</v>
          </cell>
          <cell r="L1205" t="str">
            <v>ST-09</v>
          </cell>
          <cell r="Y1205" t="str">
            <v>NOT YET FITUP</v>
          </cell>
        </row>
        <row r="1206">
          <cell r="A1206" t="str">
            <v>9001-2211-DS-0017-01-WM180</v>
          </cell>
          <cell r="B1206" t="str">
            <v>9001-2211-DS-0017-01-WM</v>
          </cell>
          <cell r="C1206">
            <v>180</v>
          </cell>
          <cell r="E1206" t="str">
            <v>F</v>
          </cell>
          <cell r="F1206" t="str">
            <v>100%MT</v>
          </cell>
          <cell r="G1206" t="str">
            <v>L</v>
          </cell>
          <cell r="K1206" t="str">
            <v>WPS-TNHA-S06</v>
          </cell>
          <cell r="L1206" t="str">
            <v>ST-09</v>
          </cell>
          <cell r="Y1206" t="str">
            <v>NOT YET FITUP</v>
          </cell>
        </row>
        <row r="1207">
          <cell r="A1207" t="str">
            <v>9001-2211-DS-0017-01-WM181</v>
          </cell>
          <cell r="B1207" t="str">
            <v>9001-2211-DS-0017-01-WM</v>
          </cell>
          <cell r="C1207">
            <v>181</v>
          </cell>
          <cell r="E1207" t="str">
            <v>F</v>
          </cell>
          <cell r="F1207" t="str">
            <v>100%MT</v>
          </cell>
          <cell r="G1207" t="str">
            <v>L</v>
          </cell>
          <cell r="K1207" t="str">
            <v>WPS-TNHA-S06</v>
          </cell>
          <cell r="L1207" t="str">
            <v>ST-09</v>
          </cell>
          <cell r="Y1207" t="str">
            <v>NOT YET FITUP</v>
          </cell>
        </row>
        <row r="1208">
          <cell r="A1208" t="str">
            <v>9001-2211-DS-0017-01-WM182</v>
          </cell>
          <cell r="B1208" t="str">
            <v>9001-2211-DS-0017-01-WM</v>
          </cell>
          <cell r="C1208">
            <v>182</v>
          </cell>
          <cell r="E1208" t="str">
            <v>F</v>
          </cell>
          <cell r="F1208" t="str">
            <v>100%MT</v>
          </cell>
          <cell r="G1208" t="str">
            <v>L</v>
          </cell>
          <cell r="K1208" t="str">
            <v>WPS-TNHA-S06</v>
          </cell>
          <cell r="L1208" t="str">
            <v>ST-09</v>
          </cell>
          <cell r="Y1208" t="str">
            <v>NOT YET FITUP</v>
          </cell>
        </row>
        <row r="1209">
          <cell r="A1209" t="str">
            <v>9001-2211-DS-0017-01-WM183</v>
          </cell>
          <cell r="B1209" t="str">
            <v>9001-2211-DS-0017-01-WM</v>
          </cell>
          <cell r="C1209">
            <v>183</v>
          </cell>
          <cell r="E1209" t="str">
            <v>F</v>
          </cell>
          <cell r="F1209" t="str">
            <v>100%MT</v>
          </cell>
          <cell r="G1209" t="str">
            <v>L</v>
          </cell>
          <cell r="K1209" t="str">
            <v>WPS-TNHA-S06</v>
          </cell>
          <cell r="L1209" t="str">
            <v>ST-09</v>
          </cell>
          <cell r="Y1209" t="str">
            <v>NOT YET FITUP</v>
          </cell>
        </row>
        <row r="1210">
          <cell r="A1210" t="str">
            <v>9001-2211-DS-0017-01-WM184</v>
          </cell>
          <cell r="B1210" t="str">
            <v>9001-2211-DS-0017-01-WM</v>
          </cell>
          <cell r="C1210">
            <v>184</v>
          </cell>
          <cell r="E1210" t="str">
            <v>SB</v>
          </cell>
          <cell r="F1210" t="str">
            <v>100%MT&amp;UT</v>
          </cell>
          <cell r="G1210" t="str">
            <v>D</v>
          </cell>
          <cell r="H1210">
            <v>2869.96</v>
          </cell>
          <cell r="I1210">
            <v>35</v>
          </cell>
          <cell r="J1210">
            <v>65</v>
          </cell>
          <cell r="K1210" t="str">
            <v>WPS-TNHA-S07</v>
          </cell>
          <cell r="L1210" t="str">
            <v>ST-09</v>
          </cell>
          <cell r="M1210" t="str">
            <v>HIẾU</v>
          </cell>
          <cell r="N1210">
            <v>46000</v>
          </cell>
          <cell r="O1210" t="str">
            <v>F-122</v>
          </cell>
          <cell r="W1210">
            <v>45987</v>
          </cell>
          <cell r="X1210" t="str">
            <v>UL-005</v>
          </cell>
          <cell r="Y1210" t="str">
            <v>NOT YET VISUAL</v>
          </cell>
          <cell r="AG1210" t="str">
            <v>UL-2211-ST-09-0001</v>
          </cell>
        </row>
        <row r="1211">
          <cell r="A1211" t="str">
            <v>9001-2211-DS-0017-01-WM185</v>
          </cell>
          <cell r="B1211" t="str">
            <v>9001-2211-DS-0017-01-WM</v>
          </cell>
          <cell r="C1211">
            <v>185</v>
          </cell>
          <cell r="E1211" t="str">
            <v>SB</v>
          </cell>
          <cell r="F1211" t="str">
            <v>100%MT&amp;UT</v>
          </cell>
          <cell r="G1211" t="str">
            <v>D</v>
          </cell>
          <cell r="H1211">
            <v>2869.96</v>
          </cell>
          <cell r="I1211">
            <v>25</v>
          </cell>
          <cell r="K1211" t="str">
            <v>WPS-TNHA-S07</v>
          </cell>
          <cell r="L1211" t="str">
            <v>ST-09</v>
          </cell>
          <cell r="Y1211" t="str">
            <v>NOT YET FITUP</v>
          </cell>
        </row>
        <row r="1212">
          <cell r="A1212" t="str">
            <v>9001-2211-DS-0017-01-WM186</v>
          </cell>
          <cell r="B1212" t="str">
            <v>9001-2211-DS-0017-01-WM</v>
          </cell>
          <cell r="C1212">
            <v>186</v>
          </cell>
          <cell r="E1212" t="str">
            <v>SB</v>
          </cell>
          <cell r="F1212" t="str">
            <v>100%MT&amp;UT</v>
          </cell>
          <cell r="G1212" t="str">
            <v>D</v>
          </cell>
          <cell r="H1212">
            <v>2869.96</v>
          </cell>
          <cell r="I1212">
            <v>25</v>
          </cell>
          <cell r="K1212" t="str">
            <v>WPS-TNHA-S07</v>
          </cell>
          <cell r="L1212" t="str">
            <v>ST-09</v>
          </cell>
          <cell r="Y1212" t="str">
            <v>NOT YET FITUP</v>
          </cell>
        </row>
        <row r="1213">
          <cell r="A1213" t="str">
            <v>9001-2211-DS-0017-01-WM187</v>
          </cell>
          <cell r="B1213" t="str">
            <v>9001-2211-DS-0017-01-WM</v>
          </cell>
          <cell r="C1213">
            <v>187</v>
          </cell>
          <cell r="E1213" t="str">
            <v>SB</v>
          </cell>
          <cell r="F1213" t="str">
            <v>100%MT&amp;UT</v>
          </cell>
          <cell r="G1213" t="str">
            <v>D</v>
          </cell>
          <cell r="H1213">
            <v>2869.96</v>
          </cell>
          <cell r="I1213">
            <v>35</v>
          </cell>
          <cell r="J1213">
            <v>65</v>
          </cell>
          <cell r="K1213" t="str">
            <v>WPS-TNHA-S07</v>
          </cell>
          <cell r="L1213" t="str">
            <v>ST-09</v>
          </cell>
          <cell r="W1213">
            <v>46012</v>
          </cell>
          <cell r="X1213" t="str">
            <v>UL-006</v>
          </cell>
          <cell r="Y1213" t="str">
            <v>NOT YET FITUP</v>
          </cell>
        </row>
        <row r="1214">
          <cell r="A1214" t="str">
            <v>9001-2211-DS-0017-01-WM188</v>
          </cell>
          <cell r="B1214" t="str">
            <v>9001-2211-DS-0017-01-WM</v>
          </cell>
          <cell r="C1214">
            <v>188</v>
          </cell>
          <cell r="E1214" t="str">
            <v>SB</v>
          </cell>
          <cell r="F1214" t="str">
            <v>100%MT&amp;UT</v>
          </cell>
          <cell r="G1214" t="str">
            <v>D</v>
          </cell>
          <cell r="H1214">
            <v>2869.96</v>
          </cell>
          <cell r="I1214">
            <v>35</v>
          </cell>
          <cell r="J1214">
            <v>65</v>
          </cell>
          <cell r="K1214" t="str">
            <v>WPS-TNHA-S07</v>
          </cell>
          <cell r="L1214" t="str">
            <v>ST-09</v>
          </cell>
          <cell r="M1214" t="str">
            <v>HIẾU</v>
          </cell>
          <cell r="N1214">
            <v>46000</v>
          </cell>
          <cell r="O1214" t="str">
            <v>F-122</v>
          </cell>
          <cell r="P1214" t="str">
            <v>9/12/2025</v>
          </cell>
          <cell r="Q1214" t="str">
            <v>BGT-0002;GTC-12</v>
          </cell>
          <cell r="R1214" t="str">
            <v>THÁI</v>
          </cell>
          <cell r="S1214">
            <v>46009</v>
          </cell>
          <cell r="T1214" t="str">
            <v>V-146</v>
          </cell>
          <cell r="W1214">
            <v>45987</v>
          </cell>
          <cell r="X1214" t="str">
            <v>UL-005</v>
          </cell>
          <cell r="Y1214" t="str">
            <v>FINISH</v>
          </cell>
          <cell r="Z1214" t="str">
            <v>ACC</v>
          </cell>
          <cell r="AA1214" t="str">
            <v>ACC</v>
          </cell>
          <cell r="AB1214" t="str">
            <v>MT-2211-ST-09-0023</v>
          </cell>
          <cell r="AC1214" t="str">
            <v>ACC</v>
          </cell>
          <cell r="AD1214" t="str">
            <v>UT-2211-ST-09-0023</v>
          </cell>
          <cell r="AG1214" t="str">
            <v>UL-2211-ST-09-0001</v>
          </cell>
          <cell r="AP1214" t="str">
            <v>23/12/2025</v>
          </cell>
        </row>
        <row r="1215">
          <cell r="A1215" t="str">
            <v>9001-2211-DS-0017-01-WM189</v>
          </cell>
          <cell r="B1215" t="str">
            <v>9001-2211-DS-0017-01-WM</v>
          </cell>
          <cell r="C1215">
            <v>189</v>
          </cell>
          <cell r="E1215" t="str">
            <v>SB</v>
          </cell>
          <cell r="F1215" t="str">
            <v>100%MT&amp;UT</v>
          </cell>
          <cell r="G1215" t="str">
            <v>D</v>
          </cell>
          <cell r="H1215">
            <v>1595.1200000000001</v>
          </cell>
          <cell r="I1215">
            <v>10</v>
          </cell>
          <cell r="K1215" t="str">
            <v>WPS-TNHA-S07</v>
          </cell>
          <cell r="L1215" t="str">
            <v>ST-09</v>
          </cell>
          <cell r="Y1215" t="str">
            <v>NOT YET FITUP</v>
          </cell>
        </row>
        <row r="1216">
          <cell r="A1216" t="str">
            <v>9001-2211-DS-0017-01-WM190</v>
          </cell>
          <cell r="B1216" t="str">
            <v>9001-2211-DS-0017-01-WM</v>
          </cell>
          <cell r="C1216">
            <v>190</v>
          </cell>
          <cell r="E1216" t="str">
            <v>SB</v>
          </cell>
          <cell r="F1216" t="str">
            <v>100%MT&amp;UT</v>
          </cell>
          <cell r="G1216" t="str">
            <v>D</v>
          </cell>
          <cell r="H1216">
            <v>2869.96</v>
          </cell>
          <cell r="I1216">
            <v>25</v>
          </cell>
          <cell r="K1216" t="str">
            <v>WPS-TNHA-S07</v>
          </cell>
          <cell r="L1216" t="str">
            <v>ST-09</v>
          </cell>
          <cell r="Y1216" t="str">
            <v>NOT YET FITUP</v>
          </cell>
        </row>
        <row r="1217">
          <cell r="A1217" t="str">
            <v>9001-2211-DS-0017-01-WM191</v>
          </cell>
          <cell r="B1217" t="str">
            <v>9001-2211-DS-0017-01-WM</v>
          </cell>
          <cell r="C1217">
            <v>191</v>
          </cell>
          <cell r="E1217" t="str">
            <v>SB</v>
          </cell>
          <cell r="F1217" t="str">
            <v>100%MT&amp;UT</v>
          </cell>
          <cell r="G1217" t="str">
            <v>D</v>
          </cell>
          <cell r="H1217">
            <v>1595.1200000000001</v>
          </cell>
          <cell r="I1217">
            <v>10</v>
          </cell>
          <cell r="K1217" t="str">
            <v>WPS-TNHA-S07</v>
          </cell>
          <cell r="L1217" t="str">
            <v>ST-09</v>
          </cell>
          <cell r="Y1217" t="str">
            <v>NOT YET FITUP</v>
          </cell>
        </row>
        <row r="1218">
          <cell r="A1218" t="str">
            <v>9001-2211-DS-0017-01-WM192</v>
          </cell>
          <cell r="B1218" t="str">
            <v>9001-2211-DS-0017-01-WM</v>
          </cell>
          <cell r="C1218">
            <v>192</v>
          </cell>
          <cell r="E1218" t="str">
            <v>SB</v>
          </cell>
          <cell r="F1218" t="str">
            <v>100%MT&amp;UT</v>
          </cell>
          <cell r="G1218" t="str">
            <v>D</v>
          </cell>
          <cell r="H1218">
            <v>2869.96</v>
          </cell>
          <cell r="I1218">
            <v>25</v>
          </cell>
          <cell r="K1218" t="str">
            <v>WPS-TNHA-S07</v>
          </cell>
          <cell r="L1218" t="str">
            <v>ST-09</v>
          </cell>
          <cell r="Y1218" t="str">
            <v>NOT YET FITUP</v>
          </cell>
        </row>
        <row r="1219">
          <cell r="A1219" t="str">
            <v>9001-2211-DS-0017-01-WM193</v>
          </cell>
          <cell r="B1219" t="str">
            <v>9001-2211-DS-0017-01-WM</v>
          </cell>
          <cell r="C1219">
            <v>193</v>
          </cell>
          <cell r="E1219" t="str">
            <v>SB</v>
          </cell>
          <cell r="F1219" t="str">
            <v>100%MT&amp;UT</v>
          </cell>
          <cell r="G1219" t="str">
            <v>D</v>
          </cell>
          <cell r="H1219">
            <v>2869.96</v>
          </cell>
          <cell r="I1219">
            <v>35</v>
          </cell>
          <cell r="J1219">
            <v>65</v>
          </cell>
          <cell r="K1219" t="str">
            <v>WPS-TNHA-S07</v>
          </cell>
          <cell r="L1219" t="str">
            <v>ST-09</v>
          </cell>
          <cell r="W1219">
            <v>46012</v>
          </cell>
          <cell r="X1219" t="str">
            <v>UL-006</v>
          </cell>
          <cell r="Y1219" t="str">
            <v>NOT YET FITUP</v>
          </cell>
        </row>
        <row r="1220">
          <cell r="A1220" t="str">
            <v>9001-2211-DS-0017-01-WM194</v>
          </cell>
          <cell r="B1220" t="str">
            <v>9001-2211-DS-0017-01-WM</v>
          </cell>
          <cell r="C1220">
            <v>194</v>
          </cell>
          <cell r="E1220" t="str">
            <v>SV</v>
          </cell>
          <cell r="F1220" t="str">
            <v>100%MT&amp;UT</v>
          </cell>
          <cell r="G1220" t="str">
            <v>D</v>
          </cell>
          <cell r="H1220">
            <v>2869.96</v>
          </cell>
          <cell r="I1220" t="str">
            <v>25/35</v>
          </cell>
          <cell r="K1220" t="str">
            <v>WPS-TNHA-S06</v>
          </cell>
          <cell r="L1220" t="str">
            <v>ST-09</v>
          </cell>
          <cell r="M1220" t="str">
            <v>BÁCH</v>
          </cell>
          <cell r="N1220">
            <v>45995</v>
          </cell>
          <cell r="O1220" t="str">
            <v>F-113</v>
          </cell>
          <cell r="P1220" t="str">
            <v>14h 5/12/2025</v>
          </cell>
          <cell r="Q1220" t="str">
            <v>PD-06;PD-16</v>
          </cell>
          <cell r="R1220" t="str">
            <v>BÁCH</v>
          </cell>
          <cell r="S1220">
            <v>45999</v>
          </cell>
          <cell r="T1220" t="str">
            <v>V-122</v>
          </cell>
          <cell r="Y1220" t="str">
            <v>FINISH</v>
          </cell>
          <cell r="Z1220" t="str">
            <v>ACC</v>
          </cell>
          <cell r="AA1220" t="str">
            <v>ACC</v>
          </cell>
          <cell r="AB1220" t="str">
            <v>MT-2211-ST-09-0012</v>
          </cell>
          <cell r="AC1220" t="str">
            <v>ACC</v>
          </cell>
          <cell r="AD1220" t="str">
            <v>UT-2211-ST-09-0011</v>
          </cell>
          <cell r="AP1220" t="str">
            <v>10/12/2025</v>
          </cell>
        </row>
        <row r="1221">
          <cell r="A1221" t="str">
            <v>WHP-TNHA-RL-BT-001-WM1</v>
          </cell>
          <cell r="B1221" t="str">
            <v>WHP-TNHA-RL-BT-001-WM</v>
          </cell>
          <cell r="C1221">
            <v>1</v>
          </cell>
          <cell r="D1221" t="str">
            <v>XA</v>
          </cell>
          <cell r="E1221" t="str">
            <v>DV</v>
          </cell>
          <cell r="F1221" t="str">
            <v>10%MT &amp; UT</v>
          </cell>
          <cell r="G1221" t="str">
            <v>L</v>
          </cell>
          <cell r="H1221">
            <v>4000</v>
          </cell>
          <cell r="I1221">
            <v>20</v>
          </cell>
          <cell r="K1221" t="str">
            <v>WPS-TNHA-S08</v>
          </cell>
          <cell r="L1221" t="str">
            <v>ST-12</v>
          </cell>
          <cell r="M1221" t="str">
            <v>DŨNG</v>
          </cell>
          <cell r="N1221">
            <v>45977</v>
          </cell>
          <cell r="O1221" t="str">
            <v>F-086</v>
          </cell>
          <cell r="P1221" t="str">
            <v>17/11/2025</v>
          </cell>
          <cell r="Q1221" t="str">
            <v>698;648</v>
          </cell>
          <cell r="R1221" t="str">
            <v>NGUYÊN</v>
          </cell>
          <cell r="S1221">
            <v>45986</v>
          </cell>
          <cell r="T1221" t="str">
            <v>V-093</v>
          </cell>
          <cell r="U1221" t="str">
            <v>17/11/2025</v>
          </cell>
          <cell r="V1221" t="str">
            <v>BG-085</v>
          </cell>
          <cell r="Y1221" t="str">
            <v>FINISH</v>
          </cell>
          <cell r="Z1221" t="str">
            <v>ACC</v>
          </cell>
          <cell r="AA1221" t="str">
            <v>ACC</v>
          </cell>
          <cell r="AB1221" t="str">
            <v>MT-2211-ST-12-0004</v>
          </cell>
          <cell r="AC1221" t="str">
            <v>ACC</v>
          </cell>
          <cell r="AD1221" t="str">
            <v>UT-2211-ST-12-0003</v>
          </cell>
          <cell r="AP1221" t="str">
            <v>26/11/2025</v>
          </cell>
        </row>
        <row r="1222">
          <cell r="A1222" t="str">
            <v>WHP-TNHA-RL-BT-001-WM2</v>
          </cell>
          <cell r="B1222" t="str">
            <v>WHP-TNHA-RL-BT-001-WM</v>
          </cell>
          <cell r="C1222">
            <v>2</v>
          </cell>
          <cell r="D1222" t="str">
            <v>XA</v>
          </cell>
          <cell r="E1222" t="str">
            <v>DV</v>
          </cell>
          <cell r="F1222" t="str">
            <v>10%MT &amp; UT</v>
          </cell>
          <cell r="G1222" t="str">
            <v>L</v>
          </cell>
          <cell r="H1222">
            <v>4000</v>
          </cell>
          <cell r="I1222">
            <v>20</v>
          </cell>
          <cell r="K1222" t="str">
            <v>WPS-TNHA-S08</v>
          </cell>
          <cell r="L1222" t="str">
            <v>ST-12</v>
          </cell>
          <cell r="M1222" t="str">
            <v>DŨNG</v>
          </cell>
          <cell r="N1222">
            <v>45978</v>
          </cell>
          <cell r="O1222" t="str">
            <v>F-088</v>
          </cell>
          <cell r="P1222" t="str">
            <v>7/12/2025</v>
          </cell>
          <cell r="Q1222" t="str">
            <v>KC-164;698</v>
          </cell>
          <cell r="R1222" t="str">
            <v>HANH</v>
          </cell>
          <cell r="S1222">
            <v>46001</v>
          </cell>
          <cell r="T1222" t="str">
            <v>V-128</v>
          </cell>
          <cell r="U1222" t="str">
            <v>07/12/2025</v>
          </cell>
          <cell r="V1222" t="str">
            <v>BG-108</v>
          </cell>
          <cell r="Y1222" t="str">
            <v>FINISH</v>
          </cell>
          <cell r="Z1222" t="str">
            <v>ACC</v>
          </cell>
          <cell r="AA1222" t="str">
            <v>ACC</v>
          </cell>
          <cell r="AB1222" t="str">
            <v>MT-2211-ST-12-0010</v>
          </cell>
          <cell r="AC1222" t="str">
            <v>ACC</v>
          </cell>
          <cell r="AD1222" t="str">
            <v>UT-2211-ST-12-0011</v>
          </cell>
          <cell r="AP1222" t="str">
            <v>16/12/2025</v>
          </cell>
        </row>
        <row r="1223">
          <cell r="A1223" t="str">
            <v>WHP-TNHA-RL-BT-001-WM3</v>
          </cell>
          <cell r="B1223" t="str">
            <v>WHP-TNHA-RL-BT-001-WM</v>
          </cell>
          <cell r="C1223">
            <v>3</v>
          </cell>
          <cell r="D1223" t="str">
            <v>XA</v>
          </cell>
          <cell r="E1223" t="str">
            <v>DV</v>
          </cell>
          <cell r="F1223" t="str">
            <v>10%MT &amp; UT</v>
          </cell>
          <cell r="G1223" t="str">
            <v>L</v>
          </cell>
          <cell r="H1223">
            <v>4000</v>
          </cell>
          <cell r="I1223">
            <v>20</v>
          </cell>
          <cell r="K1223" t="str">
            <v>WPS-TNHA-S08</v>
          </cell>
          <cell r="L1223" t="str">
            <v>ST-12</v>
          </cell>
          <cell r="M1223" t="str">
            <v>DŨNG</v>
          </cell>
          <cell r="N1223">
            <v>45977</v>
          </cell>
          <cell r="O1223" t="str">
            <v>F-086</v>
          </cell>
          <cell r="P1223" t="str">
            <v>17/11/2025</v>
          </cell>
          <cell r="Q1223" t="str">
            <v>666;698</v>
          </cell>
          <cell r="R1223" t="str">
            <v>NGUYÊN</v>
          </cell>
          <cell r="S1223">
            <v>45987</v>
          </cell>
          <cell r="T1223" t="str">
            <v>V-095</v>
          </cell>
          <cell r="U1223" t="str">
            <v>17/11/2025</v>
          </cell>
          <cell r="V1223" t="str">
            <v>BG-085</v>
          </cell>
          <cell r="Y1223" t="str">
            <v>REJ</v>
          </cell>
          <cell r="Z1223" t="str">
            <v>REJ</v>
          </cell>
          <cell r="AA1223" t="str">
            <v>ACC</v>
          </cell>
          <cell r="AB1223" t="str">
            <v>MT-2211-ST-12-0005</v>
          </cell>
          <cell r="AC1223" t="str">
            <v>REJ</v>
          </cell>
          <cell r="AD1223" t="str">
            <v>UT-2211-ST-12-0004</v>
          </cell>
          <cell r="AH1223">
            <v>100</v>
          </cell>
          <cell r="AP1223" t="str">
            <v>2/12/2025</v>
          </cell>
        </row>
        <row r="1224">
          <cell r="A1224" t="str">
            <v>WHP-TNHA-RL-BT-001-WM3R1</v>
          </cell>
          <cell r="B1224" t="str">
            <v>WHP-TNHA-RL-BT-001-WM</v>
          </cell>
          <cell r="C1224" t="str">
            <v>3R1</v>
          </cell>
          <cell r="D1224" t="str">
            <v>XA</v>
          </cell>
          <cell r="E1224" t="str">
            <v>DV</v>
          </cell>
          <cell r="F1224" t="str">
            <v>10%MT &amp; UT</v>
          </cell>
          <cell r="G1224" t="str">
            <v>L</v>
          </cell>
          <cell r="H1224">
            <v>350</v>
          </cell>
          <cell r="I1224">
            <v>20</v>
          </cell>
          <cell r="K1224" t="str">
            <v>WPS-TNHA-S09</v>
          </cell>
          <cell r="L1224" t="str">
            <v>ST-12</v>
          </cell>
          <cell r="M1224" t="str">
            <v>NA</v>
          </cell>
          <cell r="N1224" t="str">
            <v>NA</v>
          </cell>
          <cell r="O1224" t="str">
            <v>NA</v>
          </cell>
          <cell r="P1224" t="str">
            <v>27/11/2025</v>
          </cell>
          <cell r="Q1224">
            <v>698</v>
          </cell>
          <cell r="R1224" t="str">
            <v>NGUYÊN</v>
          </cell>
          <cell r="S1224">
            <v>45990</v>
          </cell>
          <cell r="T1224" t="str">
            <v>V-101</v>
          </cell>
          <cell r="U1224">
            <v>45988</v>
          </cell>
          <cell r="V1224" t="str">
            <v>BG-096</v>
          </cell>
          <cell r="Y1224" t="str">
            <v>FINISH</v>
          </cell>
          <cell r="Z1224" t="str">
            <v>ACC</v>
          </cell>
          <cell r="AA1224" t="str">
            <v>ACC</v>
          </cell>
          <cell r="AB1224" t="str">
            <v>MT-2211-ST-12-0010</v>
          </cell>
          <cell r="AC1224" t="str">
            <v>ACC</v>
          </cell>
          <cell r="AD1224" t="str">
            <v>UT-2211-ST-12-0010</v>
          </cell>
          <cell r="AI1224">
            <v>150</v>
          </cell>
          <cell r="AP1224" t="str">
            <v>2/12/2025</v>
          </cell>
        </row>
        <row r="1225">
          <cell r="A1225" t="str">
            <v>WHP-TNHA-RL-BT-001-WM4</v>
          </cell>
          <cell r="B1225" t="str">
            <v>WHP-TNHA-RL-BT-001-WM</v>
          </cell>
          <cell r="C1225">
            <v>4</v>
          </cell>
          <cell r="D1225" t="str">
            <v>XA</v>
          </cell>
          <cell r="E1225" t="str">
            <v>DV</v>
          </cell>
          <cell r="F1225" t="str">
            <v>10%MT &amp; UT</v>
          </cell>
          <cell r="G1225" t="str">
            <v>L</v>
          </cell>
          <cell r="H1225">
            <v>4000</v>
          </cell>
          <cell r="I1225">
            <v>20</v>
          </cell>
          <cell r="K1225" t="str">
            <v>WPS-TNHA-S08</v>
          </cell>
          <cell r="L1225" t="str">
            <v>ST-12</v>
          </cell>
          <cell r="M1225" t="str">
            <v>DŨNG</v>
          </cell>
          <cell r="N1225">
            <v>45978</v>
          </cell>
          <cell r="O1225" t="str">
            <v>F-088</v>
          </cell>
          <cell r="P1225" t="str">
            <v>17/11/2025</v>
          </cell>
          <cell r="Q1225" t="str">
            <v>698;648</v>
          </cell>
          <cell r="R1225" t="str">
            <v>NGUYÊN</v>
          </cell>
          <cell r="S1225">
            <v>45987</v>
          </cell>
          <cell r="T1225" t="str">
            <v>V-095</v>
          </cell>
          <cell r="U1225">
            <v>45978</v>
          </cell>
          <cell r="V1225" t="str">
            <v>BG-086</v>
          </cell>
          <cell r="Y1225" t="str">
            <v>FINISH</v>
          </cell>
          <cell r="Z1225" t="str">
            <v>ACC</v>
          </cell>
          <cell r="AA1225" t="str">
            <v>ACC</v>
          </cell>
          <cell r="AB1225" t="str">
            <v>MT-2211-ST-12-0005</v>
          </cell>
          <cell r="AC1225" t="str">
            <v>ACC</v>
          </cell>
          <cell r="AD1225" t="str">
            <v>UT-2211-ST-12-0005</v>
          </cell>
          <cell r="AP1225" t="str">
            <v>2/12/2025</v>
          </cell>
        </row>
        <row r="1226">
          <cell r="A1226" t="str">
            <v>WHP-TNHA-RL-BT-001-WM5</v>
          </cell>
          <cell r="B1226" t="str">
            <v>WHP-TNHA-RL-BT-001-WM</v>
          </cell>
          <cell r="C1226">
            <v>5</v>
          </cell>
          <cell r="D1226" t="str">
            <v>XA</v>
          </cell>
          <cell r="E1226" t="str">
            <v>DV</v>
          </cell>
          <cell r="F1226" t="str">
            <v>10%MT &amp; UT</v>
          </cell>
          <cell r="G1226" t="str">
            <v>L</v>
          </cell>
          <cell r="H1226">
            <v>4000</v>
          </cell>
          <cell r="I1226">
            <v>20</v>
          </cell>
          <cell r="K1226" t="str">
            <v>WPS-TNHA-S08</v>
          </cell>
          <cell r="L1226" t="str">
            <v>ST-12</v>
          </cell>
          <cell r="M1226" t="str">
            <v>DŨNG</v>
          </cell>
          <cell r="N1226">
            <v>45978</v>
          </cell>
          <cell r="O1226" t="str">
            <v>F-088</v>
          </cell>
          <cell r="P1226" t="str">
            <v>10h30 18/11/2025</v>
          </cell>
          <cell r="Q1226" t="str">
            <v>698;648</v>
          </cell>
          <cell r="R1226" t="str">
            <v>NGUYÊN</v>
          </cell>
          <cell r="S1226">
            <v>45986</v>
          </cell>
          <cell r="T1226" t="str">
            <v>V-093</v>
          </cell>
          <cell r="U1226">
            <v>45978</v>
          </cell>
          <cell r="V1226" t="str">
            <v>BG-086</v>
          </cell>
          <cell r="Y1226" t="str">
            <v>FINISH</v>
          </cell>
          <cell r="Z1226" t="str">
            <v>ACC</v>
          </cell>
          <cell r="AA1226" t="str">
            <v>ACC</v>
          </cell>
          <cell r="AB1226" t="str">
            <v>MT-2211-ST-12-0004</v>
          </cell>
          <cell r="AC1226" t="str">
            <v>ACC</v>
          </cell>
          <cell r="AD1226" t="str">
            <v>UT-2211-ST-12-0003</v>
          </cell>
          <cell r="AP1226" t="str">
            <v>26/11/2025</v>
          </cell>
        </row>
        <row r="1227">
          <cell r="A1227" t="str">
            <v>WHP-TNHA-RL-BT-001-WM6</v>
          </cell>
          <cell r="B1227" t="str">
            <v>WHP-TNHA-RL-BT-001-WM</v>
          </cell>
          <cell r="C1227">
            <v>6</v>
          </cell>
          <cell r="D1227" t="str">
            <v>XA</v>
          </cell>
          <cell r="E1227" t="str">
            <v>DV</v>
          </cell>
          <cell r="F1227" t="str">
            <v>10%MT &amp; UT</v>
          </cell>
          <cell r="G1227" t="str">
            <v>L</v>
          </cell>
          <cell r="H1227">
            <v>4000</v>
          </cell>
          <cell r="I1227">
            <v>20</v>
          </cell>
          <cell r="K1227" t="str">
            <v>WPS-TNHA-S08</v>
          </cell>
          <cell r="L1227" t="str">
            <v>ST-12</v>
          </cell>
          <cell r="M1227" t="str">
            <v>NGUYÊN</v>
          </cell>
          <cell r="N1227">
            <v>45999</v>
          </cell>
          <cell r="O1227" t="str">
            <v>F-118</v>
          </cell>
          <cell r="P1227" t="str">
            <v>8/12/2025</v>
          </cell>
          <cell r="Q1227" t="str">
            <v>KC-164;698</v>
          </cell>
          <cell r="R1227" t="str">
            <v>HANH</v>
          </cell>
          <cell r="S1227">
            <v>46001</v>
          </cell>
          <cell r="T1227" t="str">
            <v>V-128</v>
          </cell>
          <cell r="U1227">
            <v>45999</v>
          </cell>
          <cell r="V1227" t="str">
            <v>BG-110</v>
          </cell>
          <cell r="Y1227" t="str">
            <v>FINISH</v>
          </cell>
          <cell r="Z1227" t="str">
            <v>ACC</v>
          </cell>
          <cell r="AA1227" t="str">
            <v>ACC</v>
          </cell>
          <cell r="AB1227" t="str">
            <v>MT-2211-ST-12-0010</v>
          </cell>
          <cell r="AC1227" t="str">
            <v>ACC</v>
          </cell>
          <cell r="AD1227" t="str">
            <v>UT-2211-ST-12-0011</v>
          </cell>
          <cell r="AP1227" t="str">
            <v>16/12/2025</v>
          </cell>
        </row>
        <row r="1228">
          <cell r="A1228" t="str">
            <v>WHP-TNHA-RL-BT-001-WM7</v>
          </cell>
          <cell r="B1228" t="str">
            <v>WHP-TNHA-RL-BT-001-WM</v>
          </cell>
          <cell r="C1228">
            <v>7</v>
          </cell>
          <cell r="D1228" t="str">
            <v>XA</v>
          </cell>
          <cell r="E1228" t="str">
            <v>DV</v>
          </cell>
          <cell r="F1228" t="str">
            <v>10%MT &amp; UT</v>
          </cell>
          <cell r="G1228" t="str">
            <v>L</v>
          </cell>
          <cell r="H1228">
            <v>4000</v>
          </cell>
          <cell r="I1228">
            <v>20</v>
          </cell>
          <cell r="K1228" t="str">
            <v>WPS-TNHA-S08</v>
          </cell>
          <cell r="L1228" t="str">
            <v>ST-12</v>
          </cell>
          <cell r="M1228" t="str">
            <v>NGUYÊN</v>
          </cell>
          <cell r="N1228">
            <v>45999</v>
          </cell>
          <cell r="O1228" t="str">
            <v>F-118</v>
          </cell>
          <cell r="P1228" t="str">
            <v>8/12/2025</v>
          </cell>
          <cell r="Q1228" t="str">
            <v>KC-164;698</v>
          </cell>
          <cell r="R1228" t="str">
            <v>HANH</v>
          </cell>
          <cell r="S1228">
            <v>46001</v>
          </cell>
          <cell r="T1228" t="str">
            <v>V-128</v>
          </cell>
          <cell r="U1228">
            <v>45999</v>
          </cell>
          <cell r="V1228" t="str">
            <v>BG-110</v>
          </cell>
          <cell r="Y1228" t="str">
            <v>FINISH</v>
          </cell>
          <cell r="Z1228" t="str">
            <v>ACC</v>
          </cell>
          <cell r="AA1228" t="str">
            <v>ACC</v>
          </cell>
          <cell r="AB1228" t="str">
            <v>MT-2211-ST-12-0010</v>
          </cell>
          <cell r="AC1228" t="str">
            <v>ACC</v>
          </cell>
          <cell r="AD1228" t="str">
            <v>UT-2211-ST-12-0011</v>
          </cell>
          <cell r="AP1228" t="str">
            <v>16/12/2025</v>
          </cell>
        </row>
        <row r="1229">
          <cell r="A1229" t="str">
            <v>WHP-TNHA-RL-BT-001-WM8</v>
          </cell>
          <cell r="B1229" t="str">
            <v>WHP-TNHA-RL-BT-001-WM</v>
          </cell>
          <cell r="C1229">
            <v>8</v>
          </cell>
          <cell r="D1229" t="str">
            <v>XA</v>
          </cell>
          <cell r="E1229" t="str">
            <v>DV</v>
          </cell>
          <cell r="F1229" t="str">
            <v>10%MT &amp; UT</v>
          </cell>
          <cell r="G1229" t="str">
            <v>L</v>
          </cell>
          <cell r="H1229">
            <v>4000</v>
          </cell>
          <cell r="I1229">
            <v>20</v>
          </cell>
          <cell r="K1229" t="str">
            <v>WPS-TNHA-S08</v>
          </cell>
          <cell r="L1229" t="str">
            <v>ST-12</v>
          </cell>
          <cell r="M1229" t="str">
            <v>NGUYÊN</v>
          </cell>
          <cell r="N1229">
            <v>45997</v>
          </cell>
          <cell r="O1229" t="str">
            <v>F-115</v>
          </cell>
          <cell r="P1229" t="str">
            <v>7/12/2025</v>
          </cell>
          <cell r="Q1229" t="str">
            <v>KC-164;698</v>
          </cell>
          <cell r="R1229" t="str">
            <v>HANH</v>
          </cell>
          <cell r="S1229">
            <v>46001</v>
          </cell>
          <cell r="T1229" t="str">
            <v>V-128</v>
          </cell>
          <cell r="U1229" t="str">
            <v>07/12/2025</v>
          </cell>
          <cell r="V1229" t="str">
            <v>BG-108</v>
          </cell>
          <cell r="Y1229" t="str">
            <v>FINISH</v>
          </cell>
          <cell r="Z1229" t="str">
            <v>ACC</v>
          </cell>
          <cell r="AA1229" t="str">
            <v>ACC</v>
          </cell>
          <cell r="AB1229" t="str">
            <v>MT-2211-ST-12-0011</v>
          </cell>
          <cell r="AC1229" t="str">
            <v>ACC</v>
          </cell>
          <cell r="AD1229" t="str">
            <v>UT-2211-ST-12-0011</v>
          </cell>
          <cell r="AP1229" t="str">
            <v>16/12/2025</v>
          </cell>
        </row>
        <row r="1230">
          <cell r="A1230" t="str">
            <v>WHP-TNHA-RL-BT-001-WM9</v>
          </cell>
          <cell r="B1230" t="str">
            <v>WHP-TNHA-RL-BT-001-WM</v>
          </cell>
          <cell r="C1230">
            <v>9</v>
          </cell>
          <cell r="D1230" t="str">
            <v>XA</v>
          </cell>
          <cell r="E1230" t="str">
            <v>DV</v>
          </cell>
          <cell r="F1230" t="str">
            <v>10%MT &amp; UT</v>
          </cell>
          <cell r="G1230" t="str">
            <v>L</v>
          </cell>
          <cell r="H1230">
            <v>4000</v>
          </cell>
          <cell r="I1230">
            <v>20</v>
          </cell>
          <cell r="K1230" t="str">
            <v>WPS-TNHA-S08</v>
          </cell>
          <cell r="L1230" t="str">
            <v>ST-12</v>
          </cell>
          <cell r="M1230" t="str">
            <v>NGUYÊN</v>
          </cell>
          <cell r="N1230">
            <v>45997</v>
          </cell>
          <cell r="O1230" t="str">
            <v>F-115</v>
          </cell>
          <cell r="P1230" t="str">
            <v>7/12/2025</v>
          </cell>
          <cell r="Q1230" t="str">
            <v>KC-164;698</v>
          </cell>
          <cell r="R1230" t="str">
            <v>HANH</v>
          </cell>
          <cell r="S1230">
            <v>46001</v>
          </cell>
          <cell r="T1230" t="str">
            <v>V-128</v>
          </cell>
          <cell r="U1230">
            <v>45999</v>
          </cell>
          <cell r="V1230" t="str">
            <v>BG-110</v>
          </cell>
          <cell r="Y1230" t="str">
            <v>FINISH</v>
          </cell>
          <cell r="Z1230" t="str">
            <v>ACC</v>
          </cell>
          <cell r="AA1230" t="str">
            <v>ACC</v>
          </cell>
          <cell r="AB1230" t="str">
            <v>MT-2211-ST-12-0011</v>
          </cell>
          <cell r="AC1230" t="str">
            <v>ACC</v>
          </cell>
          <cell r="AD1230" t="str">
            <v>UT-2211-ST-12-0011</v>
          </cell>
          <cell r="AP1230" t="str">
            <v>16/12/2025</v>
          </cell>
        </row>
        <row r="1231">
          <cell r="A1231" t="str">
            <v>WHP-TNHA-RL-BT-001-WM10</v>
          </cell>
          <cell r="B1231" t="str">
            <v>WHP-TNHA-RL-BT-001-WM</v>
          </cell>
          <cell r="C1231">
            <v>10</v>
          </cell>
          <cell r="D1231" t="str">
            <v>XA</v>
          </cell>
          <cell r="E1231" t="str">
            <v>DV</v>
          </cell>
          <cell r="F1231" t="str">
            <v>10%MT &amp; UT</v>
          </cell>
          <cell r="G1231" t="str">
            <v>L</v>
          </cell>
          <cell r="H1231">
            <v>4000</v>
          </cell>
          <cell r="I1231">
            <v>20</v>
          </cell>
          <cell r="K1231" t="str">
            <v>WPS-TNHA-S08</v>
          </cell>
          <cell r="L1231" t="str">
            <v>ST-12</v>
          </cell>
          <cell r="Y1231" t="str">
            <v>NOT YET FITUP</v>
          </cell>
        </row>
        <row r="1232">
          <cell r="A1232" t="str">
            <v>WHP-TNHA-RL-BT-001-WM11</v>
          </cell>
          <cell r="B1232" t="str">
            <v>WHP-TNHA-RL-BT-001-WM</v>
          </cell>
          <cell r="C1232">
            <v>11</v>
          </cell>
          <cell r="D1232" t="str">
            <v>XA</v>
          </cell>
          <cell r="E1232" t="str">
            <v>DV</v>
          </cell>
          <cell r="F1232" t="str">
            <v>10%MT &amp; UT</v>
          </cell>
          <cell r="G1232" t="str">
            <v>L</v>
          </cell>
          <cell r="H1232">
            <v>4000</v>
          </cell>
          <cell r="I1232">
            <v>20</v>
          </cell>
          <cell r="K1232" t="str">
            <v>WPS-TNHA-S08</v>
          </cell>
          <cell r="L1232" t="str">
            <v>ST-12</v>
          </cell>
          <cell r="Y1232" t="str">
            <v>NOT YET FITUP</v>
          </cell>
        </row>
        <row r="1233">
          <cell r="A1233" t="str">
            <v>WHP-TNHA-RL-BT-002-WM1</v>
          </cell>
          <cell r="B1233" t="str">
            <v>WHP-TNHA-RL-BT-002-WM</v>
          </cell>
          <cell r="C1233">
            <v>1</v>
          </cell>
          <cell r="D1233" t="str">
            <v>XA</v>
          </cell>
          <cell r="E1233" t="str">
            <v>SV</v>
          </cell>
          <cell r="F1233" t="str">
            <v>10%MT &amp; UT</v>
          </cell>
          <cell r="G1233" t="str">
            <v>L</v>
          </cell>
          <cell r="H1233">
            <v>4000</v>
          </cell>
          <cell r="I1233">
            <v>16</v>
          </cell>
          <cell r="K1233" t="str">
            <v>WPS-TNHA-S08</v>
          </cell>
          <cell r="L1233" t="str">
            <v>ST-12</v>
          </cell>
          <cell r="M1233" t="str">
            <v>DŨNG</v>
          </cell>
          <cell r="N1233">
            <v>45976</v>
          </cell>
          <cell r="O1233" t="str">
            <v>F-084</v>
          </cell>
          <cell r="P1233" t="str">
            <v>10h 16/11/2025</v>
          </cell>
          <cell r="Q1233" t="str">
            <v>698;648</v>
          </cell>
          <cell r="R1233" t="str">
            <v>DŨNG</v>
          </cell>
          <cell r="S1233">
            <v>45980</v>
          </cell>
          <cell r="T1233" t="str">
            <v>V-083</v>
          </cell>
          <cell r="Y1233" t="str">
            <v>FINISH</v>
          </cell>
          <cell r="Z1233" t="str">
            <v>ACC</v>
          </cell>
          <cell r="AA1233" t="str">
            <v>ACC</v>
          </cell>
          <cell r="AB1233" t="str">
            <v>MT-2211-ST-12-0001</v>
          </cell>
          <cell r="AC1233" t="str">
            <v>ACC</v>
          </cell>
          <cell r="AD1233" t="str">
            <v>UT-2211-ST-12-0001</v>
          </cell>
          <cell r="AP1233" t="str">
            <v>26/11/2025</v>
          </cell>
        </row>
        <row r="1234">
          <cell r="A1234" t="str">
            <v>WHP-TNHA-RL-BT-002-WM2</v>
          </cell>
          <cell r="B1234" t="str">
            <v>WHP-TNHA-RL-BT-002-WM</v>
          </cell>
          <cell r="C1234">
            <v>2</v>
          </cell>
          <cell r="D1234" t="str">
            <v>XA</v>
          </cell>
          <cell r="E1234" t="str">
            <v>SV</v>
          </cell>
          <cell r="F1234" t="str">
            <v>10%MT &amp; UT</v>
          </cell>
          <cell r="G1234" t="str">
            <v>L</v>
          </cell>
          <cell r="H1234">
            <v>4000</v>
          </cell>
          <cell r="I1234">
            <v>16</v>
          </cell>
          <cell r="K1234" t="str">
            <v>WPS-TNHA-S08</v>
          </cell>
          <cell r="L1234" t="str">
            <v>ST-12</v>
          </cell>
          <cell r="M1234" t="str">
            <v>DŨNG</v>
          </cell>
          <cell r="N1234">
            <v>45976</v>
          </cell>
          <cell r="O1234" t="str">
            <v>F-084</v>
          </cell>
          <cell r="P1234" t="str">
            <v>11h 16/11/2025</v>
          </cell>
          <cell r="Q1234" t="str">
            <v>575;666</v>
          </cell>
          <cell r="R1234" t="str">
            <v>DŨNG</v>
          </cell>
          <cell r="S1234">
            <v>45980</v>
          </cell>
          <cell r="T1234" t="str">
            <v>V-083</v>
          </cell>
          <cell r="Y1234" t="str">
            <v>FINISH</v>
          </cell>
          <cell r="Z1234" t="str">
            <v>ACC</v>
          </cell>
          <cell r="AA1234" t="str">
            <v>ACC</v>
          </cell>
          <cell r="AB1234" t="str">
            <v>MT-2211-ST-12-0001</v>
          </cell>
          <cell r="AC1234" t="str">
            <v>ACC</v>
          </cell>
          <cell r="AD1234" t="str">
            <v>UT-2211-ST-12-0001</v>
          </cell>
          <cell r="AP1234" t="str">
            <v>26/11/2025</v>
          </cell>
        </row>
        <row r="1235">
          <cell r="A1235" t="str">
            <v>WHP-TNHA-RL-BT-002-WM3</v>
          </cell>
          <cell r="B1235" t="str">
            <v>WHP-TNHA-RL-BT-002-WM</v>
          </cell>
          <cell r="C1235" t="str">
            <v>3</v>
          </cell>
          <cell r="D1235" t="str">
            <v>XA</v>
          </cell>
          <cell r="E1235" t="str">
            <v>SV</v>
          </cell>
          <cell r="F1235" t="str">
            <v>10%MT &amp; UT</v>
          </cell>
          <cell r="G1235" t="str">
            <v>L</v>
          </cell>
          <cell r="H1235">
            <v>4000</v>
          </cell>
          <cell r="I1235">
            <v>16</v>
          </cell>
          <cell r="K1235" t="str">
            <v>WPS-TNHA-S08</v>
          </cell>
          <cell r="L1235" t="str">
            <v>ST-12</v>
          </cell>
          <cell r="M1235" t="str">
            <v>DŨNG</v>
          </cell>
          <cell r="N1235">
            <v>45976</v>
          </cell>
          <cell r="O1235" t="str">
            <v>F-084</v>
          </cell>
          <cell r="P1235" t="str">
            <v>9h 17/11/2025</v>
          </cell>
          <cell r="Q1235" t="str">
            <v>698;648</v>
          </cell>
          <cell r="R1235" t="str">
            <v>DŨNG</v>
          </cell>
          <cell r="S1235">
            <v>45980</v>
          </cell>
          <cell r="T1235" t="str">
            <v>V-083</v>
          </cell>
          <cell r="Y1235" t="str">
            <v>FINISH</v>
          </cell>
          <cell r="Z1235" t="str">
            <v>ACC</v>
          </cell>
          <cell r="AA1235" t="str">
            <v>ACC</v>
          </cell>
          <cell r="AB1235" t="str">
            <v>MT-2211-ST-12-0001</v>
          </cell>
          <cell r="AC1235" t="str">
            <v>ACC</v>
          </cell>
          <cell r="AD1235" t="str">
            <v>UT-2211-ST-12-0001</v>
          </cell>
          <cell r="AP1235" t="str">
            <v>26/11/2025</v>
          </cell>
        </row>
        <row r="1236">
          <cell r="A1236" t="str">
            <v>WHP-TNHA-RL-BT-002-WM4</v>
          </cell>
          <cell r="B1236" t="str">
            <v>WHP-TNHA-RL-BT-002-WM</v>
          </cell>
          <cell r="C1236">
            <v>4</v>
          </cell>
          <cell r="D1236" t="str">
            <v>XA</v>
          </cell>
          <cell r="E1236" t="str">
            <v>SV</v>
          </cell>
          <cell r="F1236" t="str">
            <v>10%MT &amp; UT</v>
          </cell>
          <cell r="G1236" t="str">
            <v>L</v>
          </cell>
          <cell r="H1236">
            <v>4000</v>
          </cell>
          <cell r="I1236">
            <v>16</v>
          </cell>
          <cell r="K1236" t="str">
            <v>WPS-TNHA-S08</v>
          </cell>
          <cell r="L1236" t="str">
            <v>ST-12</v>
          </cell>
          <cell r="M1236" t="str">
            <v>DŨNG</v>
          </cell>
          <cell r="N1236">
            <v>45976</v>
          </cell>
          <cell r="O1236" t="str">
            <v>F-084</v>
          </cell>
          <cell r="P1236" t="str">
            <v>10h 17/11/2025</v>
          </cell>
          <cell r="Q1236" t="str">
            <v>575;666</v>
          </cell>
          <cell r="R1236" t="str">
            <v>DŨNG</v>
          </cell>
          <cell r="S1236">
            <v>45980</v>
          </cell>
          <cell r="T1236" t="str">
            <v>V-083</v>
          </cell>
          <cell r="Y1236" t="str">
            <v>REJ</v>
          </cell>
          <cell r="Z1236" t="str">
            <v>REJ</v>
          </cell>
          <cell r="AA1236" t="str">
            <v>ACC</v>
          </cell>
          <cell r="AB1236" t="str">
            <v>MT-2211-ST-12-0003</v>
          </cell>
          <cell r="AC1236" t="str">
            <v>REJ</v>
          </cell>
          <cell r="AD1236" t="str">
            <v>UT-2211-ST-12-0002</v>
          </cell>
          <cell r="AH1236">
            <v>100</v>
          </cell>
          <cell r="AP1236" t="str">
            <v>26/11/2025</v>
          </cell>
        </row>
        <row r="1237">
          <cell r="A1237" t="str">
            <v>WHP-TNHA-RL-BT-002-WM4R1</v>
          </cell>
          <cell r="B1237" t="str">
            <v>WHP-TNHA-RL-BT-002-WM</v>
          </cell>
          <cell r="C1237" t="str">
            <v>4R1</v>
          </cell>
          <cell r="D1237" t="str">
            <v>XA</v>
          </cell>
          <cell r="E1237" t="str">
            <v>SV</v>
          </cell>
          <cell r="F1237" t="str">
            <v>100%MT &amp; UT</v>
          </cell>
          <cell r="G1237" t="str">
            <v>L</v>
          </cell>
          <cell r="H1237">
            <v>4000</v>
          </cell>
          <cell r="I1237">
            <v>16</v>
          </cell>
          <cell r="K1237" t="str">
            <v>WPS-TNHA-S09</v>
          </cell>
          <cell r="L1237" t="str">
            <v>ST-12</v>
          </cell>
          <cell r="M1237" t="str">
            <v>NA</v>
          </cell>
          <cell r="N1237" t="str">
            <v>NA</v>
          </cell>
          <cell r="O1237" t="str">
            <v>NA</v>
          </cell>
          <cell r="P1237" t="str">
            <v>10h 2/12/2025</v>
          </cell>
          <cell r="Q1237">
            <v>698</v>
          </cell>
          <cell r="R1237" t="str">
            <v>NGUYÊN</v>
          </cell>
          <cell r="S1237">
            <v>45995</v>
          </cell>
          <cell r="T1237" t="str">
            <v>V-117</v>
          </cell>
          <cell r="U1237">
            <v>45993</v>
          </cell>
          <cell r="V1237" t="str">
            <v>BG-103</v>
          </cell>
          <cell r="Y1237" t="str">
            <v>FINISH</v>
          </cell>
          <cell r="Z1237" t="str">
            <v>ACC</v>
          </cell>
          <cell r="AA1237" t="str">
            <v>ACC</v>
          </cell>
          <cell r="AB1237" t="str">
            <v>MT-2211-ST-12-0003R1</v>
          </cell>
          <cell r="AC1237" t="str">
            <v>ACC</v>
          </cell>
          <cell r="AD1237" t="str">
            <v>UT-2211-ST-12-0002R1</v>
          </cell>
          <cell r="AI1237">
            <v>4000</v>
          </cell>
          <cell r="AP1237" t="str">
            <v>10/12/2025</v>
          </cell>
        </row>
        <row r="1238">
          <cell r="A1238" t="str">
            <v>WHP-TNHA-RL-BT-002-WM5</v>
          </cell>
          <cell r="B1238" t="str">
            <v>WHP-TNHA-RL-BT-002-WM</v>
          </cell>
          <cell r="C1238">
            <v>5</v>
          </cell>
          <cell r="D1238" t="str">
            <v>XA</v>
          </cell>
          <cell r="E1238" t="str">
            <v>SV</v>
          </cell>
          <cell r="F1238" t="str">
            <v>10%MT &amp; UT</v>
          </cell>
          <cell r="G1238" t="str">
            <v>L</v>
          </cell>
          <cell r="H1238">
            <v>4000</v>
          </cell>
          <cell r="I1238">
            <v>16</v>
          </cell>
          <cell r="K1238" t="str">
            <v>WPS-TNHA-S08</v>
          </cell>
          <cell r="L1238" t="str">
            <v>ST-12</v>
          </cell>
          <cell r="M1238" t="str">
            <v>DŨNG</v>
          </cell>
          <cell r="N1238">
            <v>45976</v>
          </cell>
          <cell r="O1238" t="str">
            <v>F-084</v>
          </cell>
          <cell r="P1238" t="str">
            <v>16/11/2025</v>
          </cell>
          <cell r="Q1238" t="str">
            <v>575;666</v>
          </cell>
          <cell r="R1238" t="str">
            <v>DŨNG</v>
          </cell>
          <cell r="S1238">
            <v>45980</v>
          </cell>
          <cell r="T1238" t="str">
            <v>V-083</v>
          </cell>
          <cell r="Y1238" t="str">
            <v>FINISH</v>
          </cell>
          <cell r="Z1238" t="str">
            <v>ACC</v>
          </cell>
          <cell r="AA1238" t="str">
            <v>ACC</v>
          </cell>
          <cell r="AB1238" t="str">
            <v>MT-2211-ST-12-0001</v>
          </cell>
          <cell r="AC1238" t="str">
            <v>ACC</v>
          </cell>
          <cell r="AD1238" t="str">
            <v>UT-2211-ST-12-0001</v>
          </cell>
          <cell r="AP1238" t="str">
            <v>23/12/2025</v>
          </cell>
        </row>
        <row r="1239">
          <cell r="A1239" t="str">
            <v>WHP-TNHA-RL-BT-002-WM6</v>
          </cell>
          <cell r="B1239" t="str">
            <v>WHP-TNHA-RL-BT-002-WM</v>
          </cell>
          <cell r="C1239">
            <v>6</v>
          </cell>
          <cell r="D1239" t="str">
            <v>XA</v>
          </cell>
          <cell r="E1239" t="str">
            <v>SV</v>
          </cell>
          <cell r="F1239" t="str">
            <v>10%MT &amp; UT</v>
          </cell>
          <cell r="G1239" t="str">
            <v>L</v>
          </cell>
          <cell r="H1239">
            <v>4000</v>
          </cell>
          <cell r="I1239">
            <v>16</v>
          </cell>
          <cell r="K1239" t="str">
            <v>WPS-TNHA-S08</v>
          </cell>
          <cell r="L1239" t="str">
            <v>ST-12</v>
          </cell>
          <cell r="M1239" t="str">
            <v>DŨNG</v>
          </cell>
          <cell r="N1239">
            <v>45976</v>
          </cell>
          <cell r="O1239" t="str">
            <v>F-084</v>
          </cell>
          <cell r="P1239" t="str">
            <v>18/11/2025</v>
          </cell>
          <cell r="Q1239" t="str">
            <v>698;575</v>
          </cell>
          <cell r="R1239" t="str">
            <v>NGUYÊN</v>
          </cell>
          <cell r="S1239">
            <v>45988</v>
          </cell>
          <cell r="T1239" t="str">
            <v>V-097</v>
          </cell>
          <cell r="Y1239" t="str">
            <v>FINISH</v>
          </cell>
          <cell r="Z1239" t="str">
            <v>ACC</v>
          </cell>
          <cell r="AA1239" t="str">
            <v>ACC</v>
          </cell>
          <cell r="AB1239" t="str">
            <v>MT-2211-ST-12-0008</v>
          </cell>
          <cell r="AC1239" t="str">
            <v>ACC</v>
          </cell>
          <cell r="AD1239" t="str">
            <v>UT-2211-ST-12-0008</v>
          </cell>
          <cell r="AP1239" t="str">
            <v>2/12/2025</v>
          </cell>
        </row>
        <row r="1240">
          <cell r="A1240" t="str">
            <v>WHP-TNHA-RL-BT-002-WM7</v>
          </cell>
          <cell r="B1240" t="str">
            <v>WHP-TNHA-RL-BT-002-WM</v>
          </cell>
          <cell r="C1240" t="str">
            <v>7</v>
          </cell>
          <cell r="D1240" t="str">
            <v>XA</v>
          </cell>
          <cell r="E1240" t="str">
            <v>SV</v>
          </cell>
          <cell r="F1240" t="str">
            <v>10%MT &amp; UT</v>
          </cell>
          <cell r="G1240" t="str">
            <v>L</v>
          </cell>
          <cell r="H1240">
            <v>4000</v>
          </cell>
          <cell r="I1240">
            <v>16</v>
          </cell>
          <cell r="K1240" t="str">
            <v>WPS-TNHA-S08</v>
          </cell>
          <cell r="L1240" t="str">
            <v>ST-12</v>
          </cell>
          <cell r="M1240" t="str">
            <v>DŨNG</v>
          </cell>
          <cell r="N1240">
            <v>45976</v>
          </cell>
          <cell r="O1240" t="str">
            <v>F-084</v>
          </cell>
          <cell r="P1240" t="str">
            <v>11h 18/11/2025</v>
          </cell>
          <cell r="Q1240" t="str">
            <v>575;698</v>
          </cell>
          <cell r="R1240" t="str">
            <v>NGUYÊN</v>
          </cell>
          <cell r="S1240">
            <v>45986</v>
          </cell>
          <cell r="T1240" t="str">
            <v>V-093</v>
          </cell>
          <cell r="Y1240" t="str">
            <v>FINISH</v>
          </cell>
          <cell r="Z1240" t="str">
            <v>ACC</v>
          </cell>
          <cell r="AA1240" t="str">
            <v>ACC</v>
          </cell>
          <cell r="AB1240" t="str">
            <v>MT-2211-ST-12-0004</v>
          </cell>
          <cell r="AC1240" t="str">
            <v>ACC</v>
          </cell>
          <cell r="AD1240" t="str">
            <v>UT-2211-ST-12-0003</v>
          </cell>
          <cell r="AP1240" t="str">
            <v>26/11/2025</v>
          </cell>
        </row>
        <row r="1241">
          <cell r="A1241" t="str">
            <v>WHP-TNHA-RL-BT-002-WM8</v>
          </cell>
          <cell r="B1241" t="str">
            <v>WHP-TNHA-RL-BT-002-WM</v>
          </cell>
          <cell r="C1241">
            <v>8</v>
          </cell>
          <cell r="D1241" t="str">
            <v>XA</v>
          </cell>
          <cell r="E1241" t="str">
            <v>SV</v>
          </cell>
          <cell r="F1241" t="str">
            <v>10%MT &amp; UT</v>
          </cell>
          <cell r="G1241" t="str">
            <v>L</v>
          </cell>
          <cell r="H1241">
            <v>4000</v>
          </cell>
          <cell r="I1241">
            <v>16</v>
          </cell>
          <cell r="K1241" t="str">
            <v>WPS-TNHA-S08</v>
          </cell>
          <cell r="L1241" t="str">
            <v>ST-12</v>
          </cell>
          <cell r="Y1241" t="str">
            <v>NOT YET FITUP</v>
          </cell>
        </row>
        <row r="1242">
          <cell r="A1242" t="str">
            <v>WHP-TNHA-RL-BT-002-WM9</v>
          </cell>
          <cell r="B1242" t="str">
            <v>WHP-TNHA-RL-BT-002-WM</v>
          </cell>
          <cell r="C1242">
            <v>9</v>
          </cell>
          <cell r="D1242" t="str">
            <v>XA</v>
          </cell>
          <cell r="E1242" t="str">
            <v>SV</v>
          </cell>
          <cell r="F1242" t="str">
            <v>10%MT &amp; UT</v>
          </cell>
          <cell r="G1242" t="str">
            <v>L</v>
          </cell>
          <cell r="H1242">
            <v>4000</v>
          </cell>
          <cell r="I1242">
            <v>16</v>
          </cell>
          <cell r="K1242" t="str">
            <v>WPS-TNHA-S08</v>
          </cell>
          <cell r="L1242" t="str">
            <v>ST-12</v>
          </cell>
          <cell r="Y1242" t="str">
            <v>NOT YET FITUP</v>
          </cell>
        </row>
        <row r="1243">
          <cell r="A1243" t="str">
            <v>WHP-TNHA-RL-BT-002-WM10</v>
          </cell>
          <cell r="B1243" t="str">
            <v>WHP-TNHA-RL-BT-002-WM</v>
          </cell>
          <cell r="C1243">
            <v>10</v>
          </cell>
          <cell r="D1243" t="str">
            <v>XA</v>
          </cell>
          <cell r="E1243" t="str">
            <v>SV</v>
          </cell>
          <cell r="F1243" t="str">
            <v>10%MT &amp; UT</v>
          </cell>
          <cell r="G1243" t="str">
            <v>L</v>
          </cell>
          <cell r="H1243">
            <v>4000</v>
          </cell>
          <cell r="I1243">
            <v>16</v>
          </cell>
          <cell r="K1243" t="str">
            <v>WPS-TNHA-S08</v>
          </cell>
          <cell r="L1243" t="str">
            <v>ST-12</v>
          </cell>
          <cell r="Y1243" t="str">
            <v>NOT YET FITUP</v>
          </cell>
        </row>
        <row r="1244">
          <cell r="A1244" t="str">
            <v>WHP-TNHA-RL-BT-002-WM11</v>
          </cell>
          <cell r="B1244" t="str">
            <v>WHP-TNHA-RL-BT-002-WM</v>
          </cell>
          <cell r="C1244" t="str">
            <v>11</v>
          </cell>
          <cell r="D1244" t="str">
            <v>XA</v>
          </cell>
          <cell r="E1244" t="str">
            <v>SV</v>
          </cell>
          <cell r="F1244" t="str">
            <v>10%MT &amp; UT</v>
          </cell>
          <cell r="G1244" t="str">
            <v>L</v>
          </cell>
          <cell r="H1244">
            <v>4000</v>
          </cell>
          <cell r="I1244">
            <v>16</v>
          </cell>
          <cell r="K1244" t="str">
            <v>WPS-TNHA-S08</v>
          </cell>
          <cell r="L1244" t="str">
            <v>ST-12</v>
          </cell>
          <cell r="Y1244" t="str">
            <v>NOT YET FITUP</v>
          </cell>
        </row>
        <row r="1245">
          <cell r="A1245" t="str">
            <v>WHP-TNHA-RL-BT-002-WM12</v>
          </cell>
          <cell r="B1245" t="str">
            <v>WHP-TNHA-RL-BT-002-WM</v>
          </cell>
          <cell r="C1245">
            <v>12</v>
          </cell>
          <cell r="D1245" t="str">
            <v>XA</v>
          </cell>
          <cell r="E1245" t="str">
            <v>SV</v>
          </cell>
          <cell r="F1245" t="str">
            <v>10%MT &amp; UT</v>
          </cell>
          <cell r="G1245" t="str">
            <v>L</v>
          </cell>
          <cell r="H1245">
            <v>4000</v>
          </cell>
          <cell r="I1245">
            <v>16</v>
          </cell>
          <cell r="K1245" t="str">
            <v>WPS-TNHA-S08</v>
          </cell>
          <cell r="L1245" t="str">
            <v>ST-12</v>
          </cell>
          <cell r="Y1245" t="str">
            <v>NOT YET FITUP</v>
          </cell>
        </row>
        <row r="1246">
          <cell r="A1246" t="str">
            <v>WHP-TNHA-RL-BT-002-WM13</v>
          </cell>
          <cell r="B1246" t="str">
            <v>WHP-TNHA-RL-BT-002-WM</v>
          </cell>
          <cell r="C1246">
            <v>13</v>
          </cell>
          <cell r="D1246" t="str">
            <v>XA</v>
          </cell>
          <cell r="E1246" t="str">
            <v>SV</v>
          </cell>
          <cell r="F1246" t="str">
            <v>10%MT &amp; UT</v>
          </cell>
          <cell r="G1246" t="str">
            <v>L</v>
          </cell>
          <cell r="H1246">
            <v>4000</v>
          </cell>
          <cell r="I1246">
            <v>16</v>
          </cell>
          <cell r="K1246" t="str">
            <v>WPS-TNHA-S08</v>
          </cell>
          <cell r="L1246" t="str">
            <v>ST-12</v>
          </cell>
          <cell r="Y1246" t="str">
            <v>NOT YET FITUP</v>
          </cell>
        </row>
        <row r="1247">
          <cell r="A1247" t="str">
            <v>WHP-TNHA-RL-BT-002-WM14</v>
          </cell>
          <cell r="B1247" t="str">
            <v>WHP-TNHA-RL-BT-002-WM</v>
          </cell>
          <cell r="C1247">
            <v>14</v>
          </cell>
          <cell r="D1247" t="str">
            <v>XA</v>
          </cell>
          <cell r="E1247" t="str">
            <v>SV</v>
          </cell>
          <cell r="F1247" t="str">
            <v>10%MT &amp; UT</v>
          </cell>
          <cell r="G1247" t="str">
            <v>L</v>
          </cell>
          <cell r="H1247">
            <v>4000</v>
          </cell>
          <cell r="I1247">
            <v>16</v>
          </cell>
          <cell r="K1247" t="str">
            <v>WPS-TNHA-S08</v>
          </cell>
          <cell r="L1247" t="str">
            <v>ST-12</v>
          </cell>
          <cell r="Y1247" t="str">
            <v>NOT YET FITUP</v>
          </cell>
        </row>
        <row r="1248">
          <cell r="A1248" t="str">
            <v>WHP-TNHA-RL-BT-002-WM15</v>
          </cell>
          <cell r="B1248" t="str">
            <v>WHP-TNHA-RL-BT-002-WM</v>
          </cell>
          <cell r="C1248" t="str">
            <v>15</v>
          </cell>
          <cell r="D1248" t="str">
            <v>XA</v>
          </cell>
          <cell r="E1248" t="str">
            <v>SV</v>
          </cell>
          <cell r="F1248" t="str">
            <v>10%MT &amp; UT</v>
          </cell>
          <cell r="G1248" t="str">
            <v>L</v>
          </cell>
          <cell r="H1248">
            <v>4000</v>
          </cell>
          <cell r="I1248">
            <v>16</v>
          </cell>
          <cell r="K1248" t="str">
            <v>WPS-TNHA-S08</v>
          </cell>
          <cell r="L1248" t="str">
            <v>ST-12</v>
          </cell>
          <cell r="Y1248" t="str">
            <v>NOT YET FITUP</v>
          </cell>
        </row>
        <row r="1249">
          <cell r="A1249" t="str">
            <v>WHP-TNHA-RL-BT-002-WM16</v>
          </cell>
          <cell r="B1249" t="str">
            <v>WHP-TNHA-RL-BT-002-WM</v>
          </cell>
          <cell r="C1249">
            <v>16</v>
          </cell>
          <cell r="D1249" t="str">
            <v>XA</v>
          </cell>
          <cell r="E1249" t="str">
            <v>SV</v>
          </cell>
          <cell r="F1249" t="str">
            <v>10%MT &amp; UT</v>
          </cell>
          <cell r="G1249" t="str">
            <v>L</v>
          </cell>
          <cell r="H1249">
            <v>4000</v>
          </cell>
          <cell r="I1249">
            <v>16</v>
          </cell>
          <cell r="K1249" t="str">
            <v>WPS-TNHA-S08</v>
          </cell>
          <cell r="L1249" t="str">
            <v>ST-12</v>
          </cell>
          <cell r="Y1249" t="str">
            <v>NOT YET FITUP</v>
          </cell>
        </row>
        <row r="1250">
          <cell r="A1250" t="str">
            <v>WHP-TNHA-RL-BT-002-WM17</v>
          </cell>
          <cell r="B1250" t="str">
            <v>WHP-TNHA-RL-BT-002-WM</v>
          </cell>
          <cell r="C1250">
            <v>17</v>
          </cell>
          <cell r="D1250" t="str">
            <v>XA</v>
          </cell>
          <cell r="E1250" t="str">
            <v>SV</v>
          </cell>
          <cell r="F1250" t="str">
            <v>10%MT &amp; UT</v>
          </cell>
          <cell r="G1250" t="str">
            <v>L</v>
          </cell>
          <cell r="H1250">
            <v>4000</v>
          </cell>
          <cell r="I1250">
            <v>16</v>
          </cell>
          <cell r="K1250" t="str">
            <v>WPS-TNHA-S08</v>
          </cell>
          <cell r="L1250" t="str">
            <v>ST-12</v>
          </cell>
          <cell r="Y1250" t="str">
            <v>NOT YET FITUP</v>
          </cell>
        </row>
        <row r="1251">
          <cell r="A1251" t="str">
            <v>WHP-TNHA-RL-BT-003-WM1</v>
          </cell>
          <cell r="B1251" t="str">
            <v>WHP-TNHA-RL-BT-003-WM</v>
          </cell>
          <cell r="C1251">
            <v>1</v>
          </cell>
          <cell r="D1251" t="str">
            <v>XA</v>
          </cell>
          <cell r="E1251" t="str">
            <v>SV</v>
          </cell>
          <cell r="F1251" t="str">
            <v>10%MT &amp; UT</v>
          </cell>
          <cell r="G1251" t="str">
            <v>L</v>
          </cell>
          <cell r="H1251">
            <v>3150</v>
          </cell>
          <cell r="I1251">
            <v>16</v>
          </cell>
          <cell r="K1251" t="str">
            <v>WPS-TNHA-S08</v>
          </cell>
          <cell r="L1251" t="str">
            <v>ST-12</v>
          </cell>
          <cell r="M1251" t="str">
            <v>DŨNG</v>
          </cell>
          <cell r="N1251">
            <v>45976</v>
          </cell>
          <cell r="O1251" t="str">
            <v>F-084</v>
          </cell>
          <cell r="P1251" t="str">
            <v>9h 16/11/2025</v>
          </cell>
          <cell r="Q1251" t="str">
            <v>698;648</v>
          </cell>
          <cell r="R1251" t="str">
            <v>DŨNG</v>
          </cell>
          <cell r="S1251">
            <v>45980</v>
          </cell>
          <cell r="T1251" t="str">
            <v>V-083</v>
          </cell>
          <cell r="Y1251" t="str">
            <v>FINISH</v>
          </cell>
          <cell r="Z1251" t="str">
            <v>ACC</v>
          </cell>
          <cell r="AA1251" t="str">
            <v>ACC</v>
          </cell>
          <cell r="AB1251" t="str">
            <v>MT-2211-ST-12-0002</v>
          </cell>
          <cell r="AC1251" t="str">
            <v>ACC</v>
          </cell>
          <cell r="AD1251" t="str">
            <v>UT-2211-ST-12-0010</v>
          </cell>
          <cell r="AP1251" t="str">
            <v>10/12/2025</v>
          </cell>
        </row>
        <row r="1252">
          <cell r="A1252" t="str">
            <v>WHP-TNHA-RL-BT-003-WM2</v>
          </cell>
          <cell r="B1252" t="str">
            <v>WHP-TNHA-RL-BT-003-WM</v>
          </cell>
          <cell r="C1252">
            <v>2</v>
          </cell>
          <cell r="D1252" t="str">
            <v>XA</v>
          </cell>
          <cell r="E1252" t="str">
            <v>SV</v>
          </cell>
          <cell r="F1252" t="str">
            <v>10%MT &amp; UT</v>
          </cell>
          <cell r="G1252" t="str">
            <v>L</v>
          </cell>
          <cell r="H1252">
            <v>3150</v>
          </cell>
          <cell r="I1252">
            <v>16</v>
          </cell>
          <cell r="K1252" t="str">
            <v>WPS-TNHA-S08</v>
          </cell>
          <cell r="L1252" t="str">
            <v>ST-12</v>
          </cell>
          <cell r="Y1252" t="str">
            <v>NOT YET FITUP</v>
          </cell>
        </row>
        <row r="1253">
          <cell r="A1253" t="str">
            <v>WHP-TNHA-RL-BT-003-WM3</v>
          </cell>
          <cell r="B1253" t="str">
            <v>WHP-TNHA-RL-BT-003-WM</v>
          </cell>
          <cell r="C1253">
            <v>3</v>
          </cell>
          <cell r="D1253" t="str">
            <v>XA</v>
          </cell>
          <cell r="E1253" t="str">
            <v>SV</v>
          </cell>
          <cell r="F1253" t="str">
            <v>10%MT &amp; UT</v>
          </cell>
          <cell r="G1253" t="str">
            <v>L</v>
          </cell>
          <cell r="H1253">
            <v>3150</v>
          </cell>
          <cell r="I1253">
            <v>16</v>
          </cell>
          <cell r="K1253" t="str">
            <v>WPS-TNHA-S08</v>
          </cell>
          <cell r="L1253" t="str">
            <v>ST-12</v>
          </cell>
          <cell r="Y1253" t="str">
            <v>NOT YET FITUP</v>
          </cell>
        </row>
        <row r="1254">
          <cell r="A1254" t="str">
            <v>WHP-TNHA-RL-BT-003-WM4</v>
          </cell>
          <cell r="B1254" t="str">
            <v>WHP-TNHA-RL-BT-003-WM</v>
          </cell>
          <cell r="C1254">
            <v>4</v>
          </cell>
          <cell r="D1254" t="str">
            <v>XA</v>
          </cell>
          <cell r="E1254" t="str">
            <v>SV</v>
          </cell>
          <cell r="F1254" t="str">
            <v>10%MT &amp; UT</v>
          </cell>
          <cell r="G1254" t="str">
            <v>L</v>
          </cell>
          <cell r="H1254">
            <v>3150</v>
          </cell>
          <cell r="I1254">
            <v>16</v>
          </cell>
          <cell r="K1254" t="str">
            <v>WPS-TNHA-S08</v>
          </cell>
          <cell r="L1254" t="str">
            <v>ST-12</v>
          </cell>
          <cell r="Y1254" t="str">
            <v>NOT YET FITUP</v>
          </cell>
        </row>
        <row r="1255">
          <cell r="A1255" t="str">
            <v>WHP-TNHA-RL-BT-004-WM1</v>
          </cell>
          <cell r="B1255" t="str">
            <v>WHP-TNHA-RL-BT-004-WM</v>
          </cell>
          <cell r="C1255">
            <v>1</v>
          </cell>
          <cell r="D1255" t="str">
            <v>XA</v>
          </cell>
          <cell r="E1255" t="str">
            <v>SV</v>
          </cell>
          <cell r="F1255" t="str">
            <v>10%MT &amp; UT</v>
          </cell>
          <cell r="G1255" t="str">
            <v>L</v>
          </cell>
          <cell r="H1255">
            <v>4000</v>
          </cell>
          <cell r="I1255">
            <v>12</v>
          </cell>
          <cell r="K1255" t="str">
            <v>WPS-TNHA-S08</v>
          </cell>
          <cell r="L1255" t="str">
            <v>ST-12</v>
          </cell>
          <cell r="M1255" t="str">
            <v>DŨNG</v>
          </cell>
          <cell r="N1255">
            <v>45976</v>
          </cell>
          <cell r="O1255" t="str">
            <v>F-084</v>
          </cell>
          <cell r="P1255" t="str">
            <v>17/11/2025</v>
          </cell>
          <cell r="Q1255">
            <v>698</v>
          </cell>
          <cell r="R1255" t="str">
            <v>NGUYÊN</v>
          </cell>
          <cell r="S1255">
            <v>45987</v>
          </cell>
          <cell r="T1255" t="str">
            <v>V-095</v>
          </cell>
          <cell r="Y1255" t="str">
            <v>FINISH</v>
          </cell>
          <cell r="Z1255" t="str">
            <v>ACC</v>
          </cell>
          <cell r="AA1255" t="str">
            <v>ACC</v>
          </cell>
          <cell r="AB1255" t="str">
            <v>MT-2211-ST-12-0005</v>
          </cell>
          <cell r="AC1255" t="str">
            <v>ACC</v>
          </cell>
          <cell r="AD1255" t="str">
            <v>UT-2211-ST-12-0005</v>
          </cell>
          <cell r="AP1255" t="str">
            <v>2/12/2025</v>
          </cell>
        </row>
        <row r="1256">
          <cell r="A1256" t="str">
            <v>WHP-TNHA-RL-BT-004-WM2</v>
          </cell>
          <cell r="B1256" t="str">
            <v>WHP-TNHA-RL-BT-004-WM</v>
          </cell>
          <cell r="C1256">
            <v>2</v>
          </cell>
          <cell r="D1256" t="str">
            <v>XA</v>
          </cell>
          <cell r="E1256" t="str">
            <v>SV</v>
          </cell>
          <cell r="F1256" t="str">
            <v>10%MT &amp; UT</v>
          </cell>
          <cell r="G1256" t="str">
            <v>L</v>
          </cell>
          <cell r="H1256">
            <v>4000</v>
          </cell>
          <cell r="I1256">
            <v>12</v>
          </cell>
          <cell r="K1256" t="str">
            <v>WPS-TNHA-S08</v>
          </cell>
          <cell r="L1256" t="str">
            <v>ST-12</v>
          </cell>
          <cell r="M1256" t="str">
            <v>NGUYÊN</v>
          </cell>
          <cell r="N1256">
            <v>46000</v>
          </cell>
          <cell r="O1256" t="str">
            <v>F-121</v>
          </cell>
          <cell r="P1256" t="str">
            <v xml:space="preserve"> 8/12/2025</v>
          </cell>
          <cell r="Q1256">
            <v>698</v>
          </cell>
          <cell r="R1256" t="str">
            <v>HANH</v>
          </cell>
          <cell r="S1256">
            <v>46002</v>
          </cell>
          <cell r="T1256" t="str">
            <v>V-129</v>
          </cell>
          <cell r="Y1256" t="str">
            <v>FINISH</v>
          </cell>
          <cell r="Z1256" t="str">
            <v>ACC</v>
          </cell>
          <cell r="AA1256" t="str">
            <v>ACC</v>
          </cell>
          <cell r="AB1256" t="str">
            <v>MT-2211-ST-12-0012</v>
          </cell>
          <cell r="AC1256" t="str">
            <v>ACC</v>
          </cell>
          <cell r="AD1256" t="str">
            <v>UT-2211-ST-12-0012</v>
          </cell>
          <cell r="AP1256" t="str">
            <v>16/12/2025</v>
          </cell>
        </row>
        <row r="1257">
          <cell r="A1257" t="str">
            <v>WHP-TNHA-RL-BT-004-WM3</v>
          </cell>
          <cell r="B1257" t="str">
            <v>WHP-TNHA-RL-BT-004-WM</v>
          </cell>
          <cell r="C1257">
            <v>3</v>
          </cell>
          <cell r="D1257" t="str">
            <v>XA</v>
          </cell>
          <cell r="E1257" t="str">
            <v>SV</v>
          </cell>
          <cell r="F1257" t="str">
            <v>10%MT &amp; UT</v>
          </cell>
          <cell r="G1257" t="str">
            <v>L</v>
          </cell>
          <cell r="H1257">
            <v>4000</v>
          </cell>
          <cell r="I1257">
            <v>12</v>
          </cell>
          <cell r="K1257" t="str">
            <v>WPS-TNHA-S08</v>
          </cell>
          <cell r="L1257" t="str">
            <v>ST-12</v>
          </cell>
          <cell r="M1257" t="str">
            <v>NGUYÊN</v>
          </cell>
          <cell r="N1257">
            <v>45986</v>
          </cell>
          <cell r="O1257" t="str">
            <v>F-103</v>
          </cell>
          <cell r="P1257" t="str">
            <v>25/11/2025</v>
          </cell>
          <cell r="Q1257">
            <v>575</v>
          </cell>
          <cell r="R1257" t="str">
            <v>NGUYÊN</v>
          </cell>
          <cell r="S1257">
            <v>45988</v>
          </cell>
          <cell r="T1257" t="str">
            <v>V-097</v>
          </cell>
          <cell r="Y1257" t="str">
            <v>FINISH</v>
          </cell>
          <cell r="Z1257" t="str">
            <v>ACC</v>
          </cell>
          <cell r="AA1257" t="str">
            <v>ACC</v>
          </cell>
          <cell r="AB1257" t="str">
            <v>MT-2211-ST-12-0009</v>
          </cell>
          <cell r="AC1257" t="str">
            <v>ACC</v>
          </cell>
          <cell r="AD1257" t="str">
            <v>UT-2211-ST-12-0009</v>
          </cell>
          <cell r="AP1257" t="str">
            <v>2/12/2025</v>
          </cell>
        </row>
        <row r="1258">
          <cell r="A1258" t="str">
            <v>WHP-TNHA-RL-BT-004-WM4</v>
          </cell>
          <cell r="B1258" t="str">
            <v>WHP-TNHA-RL-BT-004-WM</v>
          </cell>
          <cell r="C1258">
            <v>4</v>
          </cell>
          <cell r="D1258" t="str">
            <v>XA</v>
          </cell>
          <cell r="E1258" t="str">
            <v>SV</v>
          </cell>
          <cell r="F1258" t="str">
            <v>10%MT &amp; UT</v>
          </cell>
          <cell r="G1258" t="str">
            <v>L</v>
          </cell>
          <cell r="H1258">
            <v>4000</v>
          </cell>
          <cell r="I1258">
            <v>12</v>
          </cell>
          <cell r="K1258" t="str">
            <v>WPS-TNHA-S08</v>
          </cell>
          <cell r="L1258" t="str">
            <v>ST-12</v>
          </cell>
          <cell r="M1258" t="str">
            <v>NGUYÊN</v>
          </cell>
          <cell r="N1258">
            <v>46000</v>
          </cell>
          <cell r="O1258" t="str">
            <v>F-121</v>
          </cell>
          <cell r="P1258" t="str">
            <v xml:space="preserve"> 8/12/2025</v>
          </cell>
          <cell r="Q1258" t="str">
            <v>KC-164</v>
          </cell>
          <cell r="R1258" t="str">
            <v>HANH</v>
          </cell>
          <cell r="S1258">
            <v>46002</v>
          </cell>
          <cell r="T1258" t="str">
            <v>V-129</v>
          </cell>
          <cell r="Y1258" t="str">
            <v>FINISH</v>
          </cell>
          <cell r="Z1258" t="str">
            <v>ACC</v>
          </cell>
          <cell r="AA1258" t="str">
            <v>ACC</v>
          </cell>
          <cell r="AB1258" t="str">
            <v>MT-2211-ST-12-0012</v>
          </cell>
          <cell r="AC1258" t="str">
            <v>ACC</v>
          </cell>
          <cell r="AD1258" t="str">
            <v>UT-2211-ST-12-0012</v>
          </cell>
          <cell r="AP1258" t="str">
            <v>16/12/2025</v>
          </cell>
        </row>
        <row r="1259">
          <cell r="A1259" t="str">
            <v>WHP-TNHA-RL-BT-004-WM5</v>
          </cell>
          <cell r="B1259" t="str">
            <v>WHP-TNHA-RL-BT-004-WM</v>
          </cell>
          <cell r="C1259">
            <v>5</v>
          </cell>
          <cell r="D1259" t="str">
            <v>XA</v>
          </cell>
          <cell r="E1259" t="str">
            <v>SV</v>
          </cell>
          <cell r="F1259" t="str">
            <v>10%MT &amp; UT</v>
          </cell>
          <cell r="G1259" t="str">
            <v>L</v>
          </cell>
          <cell r="H1259">
            <v>4000</v>
          </cell>
          <cell r="I1259">
            <v>12</v>
          </cell>
          <cell r="K1259" t="str">
            <v>WPS-TNHA-S08</v>
          </cell>
          <cell r="L1259" t="str">
            <v>ST-12</v>
          </cell>
          <cell r="M1259" t="str">
            <v>HANH</v>
          </cell>
          <cell r="N1259">
            <v>46001</v>
          </cell>
          <cell r="O1259" t="str">
            <v>F-127</v>
          </cell>
          <cell r="P1259" t="str">
            <v>12/12/2025</v>
          </cell>
          <cell r="Q1259">
            <v>698</v>
          </cell>
          <cell r="R1259" t="str">
            <v>NGUYÊN</v>
          </cell>
          <cell r="S1259">
            <v>46006</v>
          </cell>
          <cell r="T1259" t="str">
            <v>V-140</v>
          </cell>
          <cell r="Y1259" t="str">
            <v>FINISH</v>
          </cell>
          <cell r="Z1259" t="str">
            <v>ACC</v>
          </cell>
          <cell r="AA1259" t="str">
            <v>ACC</v>
          </cell>
          <cell r="AB1259" t="str">
            <v>MT-2211-ST-12-0013</v>
          </cell>
          <cell r="AC1259" t="str">
            <v>ACC</v>
          </cell>
          <cell r="AD1259" t="str">
            <v>UT-2211-ST-12-0013</v>
          </cell>
          <cell r="AP1259" t="str">
            <v>16/12/2025</v>
          </cell>
        </row>
        <row r="1260">
          <cell r="A1260" t="str">
            <v>WHP-TNHA-RL-BT-004-WM6</v>
          </cell>
          <cell r="B1260" t="str">
            <v>WHP-TNHA-RL-BT-004-WM</v>
          </cell>
          <cell r="C1260">
            <v>6</v>
          </cell>
          <cell r="D1260" t="str">
            <v>XA</v>
          </cell>
          <cell r="E1260" t="str">
            <v>SV</v>
          </cell>
          <cell r="F1260" t="str">
            <v>10%MT &amp; UT</v>
          </cell>
          <cell r="G1260" t="str">
            <v>L</v>
          </cell>
          <cell r="H1260">
            <v>4000</v>
          </cell>
          <cell r="I1260">
            <v>12</v>
          </cell>
          <cell r="K1260" t="str">
            <v>WPS-TNHA-S08</v>
          </cell>
          <cell r="L1260" t="str">
            <v>ST-12</v>
          </cell>
          <cell r="M1260" t="str">
            <v>HANH</v>
          </cell>
          <cell r="N1260">
            <v>46001</v>
          </cell>
          <cell r="O1260" t="str">
            <v>F-127</v>
          </cell>
          <cell r="P1260" t="str">
            <v>12/12/2025</v>
          </cell>
          <cell r="Q1260">
            <v>698</v>
          </cell>
          <cell r="R1260" t="str">
            <v>NGUYÊN</v>
          </cell>
          <cell r="S1260">
            <v>46006</v>
          </cell>
          <cell r="T1260" t="str">
            <v>V-140</v>
          </cell>
          <cell r="Y1260" t="str">
            <v>FINISH</v>
          </cell>
          <cell r="Z1260" t="str">
            <v>ACC</v>
          </cell>
          <cell r="AA1260" t="str">
            <v>ACC</v>
          </cell>
          <cell r="AB1260" t="str">
            <v>MT-2211-ST-12-0013</v>
          </cell>
          <cell r="AC1260" t="str">
            <v>ACC</v>
          </cell>
          <cell r="AD1260" t="str">
            <v>UT-2211-ST-12-0013</v>
          </cell>
          <cell r="AP1260" t="str">
            <v>16/12/2025</v>
          </cell>
        </row>
        <row r="1261">
          <cell r="A1261" t="str">
            <v>WHP-TNHA-RL-BT-004-WM7</v>
          </cell>
          <cell r="B1261" t="str">
            <v>WHP-TNHA-RL-BT-004-WM</v>
          </cell>
          <cell r="C1261">
            <v>7</v>
          </cell>
          <cell r="D1261" t="str">
            <v>XA</v>
          </cell>
          <cell r="E1261" t="str">
            <v>SV</v>
          </cell>
          <cell r="F1261" t="str">
            <v>10%MT &amp; UT</v>
          </cell>
          <cell r="G1261" t="str">
            <v>L</v>
          </cell>
          <cell r="H1261">
            <v>4000</v>
          </cell>
          <cell r="I1261">
            <v>12</v>
          </cell>
          <cell r="K1261" t="str">
            <v>WPS-TNHA-S08</v>
          </cell>
          <cell r="L1261" t="str">
            <v>ST-12</v>
          </cell>
          <cell r="M1261" t="str">
            <v>HANH</v>
          </cell>
          <cell r="N1261">
            <v>46001</v>
          </cell>
          <cell r="O1261" t="str">
            <v>F-127</v>
          </cell>
          <cell r="P1261" t="str">
            <v>12/12/2025</v>
          </cell>
          <cell r="Q1261" t="str">
            <v>KC-164</v>
          </cell>
          <cell r="R1261" t="str">
            <v>NGUYÊN</v>
          </cell>
          <cell r="S1261">
            <v>46006</v>
          </cell>
          <cell r="T1261" t="str">
            <v>V-140</v>
          </cell>
          <cell r="Y1261" t="str">
            <v>FINISH</v>
          </cell>
          <cell r="Z1261" t="str">
            <v>ACC</v>
          </cell>
          <cell r="AA1261" t="str">
            <v>ACC</v>
          </cell>
          <cell r="AB1261" t="str">
            <v>MT-2211-ST-12-0013</v>
          </cell>
          <cell r="AC1261" t="str">
            <v>ACC</v>
          </cell>
          <cell r="AD1261" t="str">
            <v>UT-2211-ST-12-0013</v>
          </cell>
          <cell r="AP1261" t="str">
            <v>16/12/2025</v>
          </cell>
        </row>
        <row r="1262">
          <cell r="A1262" t="str">
            <v>WHP-TNHA-RL-BT-004-WM8</v>
          </cell>
          <cell r="B1262" t="str">
            <v>WHP-TNHA-RL-BT-004-WM</v>
          </cell>
          <cell r="C1262">
            <v>8</v>
          </cell>
          <cell r="D1262" t="str">
            <v>XA</v>
          </cell>
          <cell r="E1262" t="str">
            <v>SV</v>
          </cell>
          <cell r="F1262" t="str">
            <v>10%MT &amp; UT</v>
          </cell>
          <cell r="G1262" t="str">
            <v>L</v>
          </cell>
          <cell r="H1262">
            <v>4000</v>
          </cell>
          <cell r="I1262">
            <v>12</v>
          </cell>
          <cell r="K1262" t="str">
            <v>WPS-TNHA-S08</v>
          </cell>
          <cell r="L1262" t="str">
            <v>ST-12</v>
          </cell>
          <cell r="M1262" t="str">
            <v>HANH</v>
          </cell>
          <cell r="N1262">
            <v>46001</v>
          </cell>
          <cell r="O1262" t="str">
            <v>F-127</v>
          </cell>
          <cell r="P1262" t="str">
            <v>12/12/2025</v>
          </cell>
          <cell r="Q1262" t="str">
            <v>KC-164</v>
          </cell>
          <cell r="R1262" t="str">
            <v>NGUYÊN</v>
          </cell>
          <cell r="S1262">
            <v>46006</v>
          </cell>
          <cell r="T1262" t="str">
            <v>V-140</v>
          </cell>
          <cell r="Y1262" t="str">
            <v>FINISH</v>
          </cell>
          <cell r="Z1262" t="str">
            <v>ACC</v>
          </cell>
          <cell r="AA1262" t="str">
            <v>ACC</v>
          </cell>
          <cell r="AB1262" t="str">
            <v>MT-2211-ST-12-0013</v>
          </cell>
          <cell r="AC1262" t="str">
            <v>ACC</v>
          </cell>
          <cell r="AD1262" t="str">
            <v>UT-2211-ST-12-0013</v>
          </cell>
          <cell r="AP1262" t="str">
            <v>16/12/2025</v>
          </cell>
        </row>
        <row r="1263">
          <cell r="A1263" t="str">
            <v>WHP-TNHA-RL-BT-004-WM9</v>
          </cell>
          <cell r="B1263" t="str">
            <v>WHP-TNHA-RL-BT-004-WM</v>
          </cell>
          <cell r="C1263">
            <v>9</v>
          </cell>
          <cell r="D1263" t="str">
            <v>XA</v>
          </cell>
          <cell r="E1263" t="str">
            <v>SV</v>
          </cell>
          <cell r="F1263" t="str">
            <v>10%MT &amp; UT</v>
          </cell>
          <cell r="G1263" t="str">
            <v>L</v>
          </cell>
          <cell r="H1263">
            <v>4000</v>
          </cell>
          <cell r="I1263">
            <v>12</v>
          </cell>
          <cell r="K1263" t="str">
            <v>WPS-TNHA-S08</v>
          </cell>
          <cell r="L1263" t="str">
            <v>ST-12</v>
          </cell>
          <cell r="Y1263" t="str">
            <v>NOT YET FITUP</v>
          </cell>
        </row>
        <row r="1264">
          <cell r="A1264" t="str">
            <v>WHP-TNHA-RL-BT-004-WM10</v>
          </cell>
          <cell r="B1264" t="str">
            <v>WHP-TNHA-RL-BT-004-WM</v>
          </cell>
          <cell r="C1264">
            <v>10</v>
          </cell>
          <cell r="D1264" t="str">
            <v>XA</v>
          </cell>
          <cell r="E1264" t="str">
            <v>SV</v>
          </cell>
          <cell r="F1264" t="str">
            <v>10%MT &amp; UT</v>
          </cell>
          <cell r="G1264" t="str">
            <v>L</v>
          </cell>
          <cell r="H1264">
            <v>4000</v>
          </cell>
          <cell r="I1264">
            <v>12</v>
          </cell>
          <cell r="K1264" t="str">
            <v>WPS-TNHA-S08</v>
          </cell>
          <cell r="L1264" t="str">
            <v>ST-12</v>
          </cell>
          <cell r="Y1264" t="str">
            <v>NOT YET FITUP</v>
          </cell>
        </row>
        <row r="1265">
          <cell r="A1265" t="str">
            <v>WHP-TNHA-RL-BT-004-WM11</v>
          </cell>
          <cell r="B1265" t="str">
            <v>WHP-TNHA-RL-BT-004-WM</v>
          </cell>
          <cell r="C1265">
            <v>11</v>
          </cell>
          <cell r="D1265" t="str">
            <v>XA</v>
          </cell>
          <cell r="E1265" t="str">
            <v>SV</v>
          </cell>
          <cell r="F1265" t="str">
            <v>10%MT &amp; UT</v>
          </cell>
          <cell r="G1265" t="str">
            <v>L</v>
          </cell>
          <cell r="H1265">
            <v>4000</v>
          </cell>
          <cell r="I1265">
            <v>12</v>
          </cell>
          <cell r="K1265" t="str">
            <v>WPS-TNHA-S08</v>
          </cell>
          <cell r="L1265" t="str">
            <v>ST-12</v>
          </cell>
          <cell r="Y1265" t="str">
            <v>NOT YET FITUP</v>
          </cell>
        </row>
        <row r="1266">
          <cell r="A1266" t="str">
            <v>WHP-TNHA-RL-BT-004-WM12</v>
          </cell>
          <cell r="B1266" t="str">
            <v>WHP-TNHA-RL-BT-004-WM</v>
          </cell>
          <cell r="C1266">
            <v>12</v>
          </cell>
          <cell r="D1266" t="str">
            <v>XA</v>
          </cell>
          <cell r="E1266" t="str">
            <v>SV</v>
          </cell>
          <cell r="F1266" t="str">
            <v>10%MT &amp; UT</v>
          </cell>
          <cell r="G1266" t="str">
            <v>L</v>
          </cell>
          <cell r="H1266">
            <v>4000</v>
          </cell>
          <cell r="I1266">
            <v>12</v>
          </cell>
          <cell r="K1266" t="str">
            <v>WPS-TNHA-S08</v>
          </cell>
          <cell r="L1266" t="str">
            <v>ST-12</v>
          </cell>
          <cell r="Y1266" t="str">
            <v>NOT YET FITUP</v>
          </cell>
        </row>
        <row r="1267">
          <cell r="A1267" t="str">
            <v>WHP-TNHA-RL-BT-004-WM13</v>
          </cell>
          <cell r="B1267" t="str">
            <v>WHP-TNHA-RL-BT-004-WM</v>
          </cell>
          <cell r="C1267">
            <v>13</v>
          </cell>
          <cell r="D1267" t="str">
            <v>XA</v>
          </cell>
          <cell r="E1267" t="str">
            <v>SV</v>
          </cell>
          <cell r="F1267" t="str">
            <v>10%MT &amp; UT</v>
          </cell>
          <cell r="G1267" t="str">
            <v>L</v>
          </cell>
          <cell r="H1267">
            <v>4000</v>
          </cell>
          <cell r="I1267">
            <v>12</v>
          </cell>
          <cell r="K1267" t="str">
            <v>WPS-TNHA-S08</v>
          </cell>
          <cell r="L1267" t="str">
            <v>ST-12</v>
          </cell>
          <cell r="Y1267" t="str">
            <v>NOT YET FITUP</v>
          </cell>
        </row>
        <row r="1268">
          <cell r="A1268" t="str">
            <v>WHP-TNHA-RL-BT-004-WM14</v>
          </cell>
          <cell r="B1268" t="str">
            <v>WHP-TNHA-RL-BT-004-WM</v>
          </cell>
          <cell r="C1268">
            <v>14</v>
          </cell>
          <cell r="D1268" t="str">
            <v>XA</v>
          </cell>
          <cell r="E1268" t="str">
            <v>SV</v>
          </cell>
          <cell r="F1268" t="str">
            <v>10%MT &amp; UT</v>
          </cell>
          <cell r="G1268" t="str">
            <v>L</v>
          </cell>
          <cell r="H1268">
            <v>4000</v>
          </cell>
          <cell r="I1268">
            <v>12</v>
          </cell>
          <cell r="K1268" t="str">
            <v>WPS-TNHA-S08</v>
          </cell>
          <cell r="L1268" t="str">
            <v>ST-12</v>
          </cell>
          <cell r="Y1268" t="str">
            <v>NOT YET FITUP</v>
          </cell>
        </row>
        <row r="1269">
          <cell r="A1269" t="str">
            <v>WHP-TNHA-RL-BT-004-WM15</v>
          </cell>
          <cell r="B1269" t="str">
            <v>WHP-TNHA-RL-BT-004-WM</v>
          </cell>
          <cell r="C1269">
            <v>15</v>
          </cell>
          <cell r="D1269" t="str">
            <v>XA</v>
          </cell>
          <cell r="E1269" t="str">
            <v>SV</v>
          </cell>
          <cell r="F1269" t="str">
            <v>10%MT &amp; UT</v>
          </cell>
          <cell r="G1269" t="str">
            <v>L</v>
          </cell>
          <cell r="H1269">
            <v>4000</v>
          </cell>
          <cell r="I1269">
            <v>12</v>
          </cell>
          <cell r="K1269" t="str">
            <v>WPS-TNHA-S08</v>
          </cell>
          <cell r="L1269" t="str">
            <v>ST-12</v>
          </cell>
          <cell r="Y1269" t="str">
            <v>NOT YET FITUP</v>
          </cell>
        </row>
        <row r="1270">
          <cell r="A1270" t="str">
            <v>WHP-TNHA-RL-BT-004-WM16</v>
          </cell>
          <cell r="B1270" t="str">
            <v>WHP-TNHA-RL-BT-004-WM</v>
          </cell>
          <cell r="C1270">
            <v>16</v>
          </cell>
          <cell r="D1270" t="str">
            <v>XA</v>
          </cell>
          <cell r="E1270" t="str">
            <v>SV</v>
          </cell>
          <cell r="F1270" t="str">
            <v>10%MT &amp; UT</v>
          </cell>
          <cell r="G1270" t="str">
            <v>L</v>
          </cell>
          <cell r="H1270">
            <v>4000</v>
          </cell>
          <cell r="I1270">
            <v>12</v>
          </cell>
          <cell r="K1270" t="str">
            <v>WPS-TNHA-S08</v>
          </cell>
          <cell r="L1270" t="str">
            <v>ST-12</v>
          </cell>
          <cell r="Y1270" t="str">
            <v>NOT YET FITUP</v>
          </cell>
        </row>
        <row r="1271">
          <cell r="A1271" t="str">
            <v>WHP-TNHA-RL-BT-005-WM1</v>
          </cell>
          <cell r="B1271" t="str">
            <v>WHP-TNHA-RL-BT-005-WM</v>
          </cell>
          <cell r="C1271">
            <v>1</v>
          </cell>
          <cell r="D1271" t="str">
            <v>XA</v>
          </cell>
          <cell r="E1271" t="str">
            <v>SV</v>
          </cell>
          <cell r="F1271" t="str">
            <v>10%MT &amp; UT</v>
          </cell>
          <cell r="G1271" t="str">
            <v>L</v>
          </cell>
          <cell r="H1271">
            <v>3365</v>
          </cell>
          <cell r="I1271">
            <v>12</v>
          </cell>
          <cell r="K1271" t="str">
            <v>WPS-TNHA-S08</v>
          </cell>
          <cell r="L1271" t="str">
            <v>ST-12</v>
          </cell>
          <cell r="Y1271" t="str">
            <v>NOT YET FITUP</v>
          </cell>
        </row>
        <row r="1272">
          <cell r="A1272" t="str">
            <v>WHP-TNHA-RL-BT-005-WM2</v>
          </cell>
          <cell r="B1272" t="str">
            <v>WHP-TNHA-RL-BT-005-WM</v>
          </cell>
          <cell r="C1272">
            <v>2</v>
          </cell>
          <cell r="D1272" t="str">
            <v>XA</v>
          </cell>
          <cell r="E1272" t="str">
            <v>SV</v>
          </cell>
          <cell r="F1272" t="str">
            <v>10%MT &amp; UT</v>
          </cell>
          <cell r="G1272" t="str">
            <v>L</v>
          </cell>
          <cell r="H1272">
            <v>3365</v>
          </cell>
          <cell r="I1272">
            <v>12</v>
          </cell>
          <cell r="K1272" t="str">
            <v>WPS-TNHA-S08</v>
          </cell>
          <cell r="L1272" t="str">
            <v>ST-12</v>
          </cell>
          <cell r="Y1272" t="str">
            <v>NOT YET FITUP</v>
          </cell>
        </row>
        <row r="1273">
          <cell r="A1273" t="str">
            <v>WHP-TNHA-RL-BT-005-WM3</v>
          </cell>
          <cell r="B1273" t="str">
            <v>WHP-TNHA-RL-BT-005-WM</v>
          </cell>
          <cell r="C1273">
            <v>3</v>
          </cell>
          <cell r="D1273" t="str">
            <v>XA</v>
          </cell>
          <cell r="E1273" t="str">
            <v>SV</v>
          </cell>
          <cell r="F1273" t="str">
            <v>10%MT &amp; UT</v>
          </cell>
          <cell r="G1273" t="str">
            <v>L</v>
          </cell>
          <cell r="H1273">
            <v>3365</v>
          </cell>
          <cell r="I1273">
            <v>12</v>
          </cell>
          <cell r="K1273" t="str">
            <v>WPS-TNHA-S08</v>
          </cell>
          <cell r="L1273" t="str">
            <v>ST-12</v>
          </cell>
          <cell r="Y1273" t="str">
            <v>NOT YET FITUP</v>
          </cell>
        </row>
        <row r="1274">
          <cell r="A1274" t="str">
            <v>WHP-TNHA-RL-BT-005-WM4</v>
          </cell>
          <cell r="B1274" t="str">
            <v>WHP-TNHA-RL-BT-005-WM</v>
          </cell>
          <cell r="C1274">
            <v>4</v>
          </cell>
          <cell r="D1274" t="str">
            <v>XA</v>
          </cell>
          <cell r="E1274" t="str">
            <v>SV</v>
          </cell>
          <cell r="F1274" t="str">
            <v>10%MT &amp; UT</v>
          </cell>
          <cell r="G1274" t="str">
            <v>L</v>
          </cell>
          <cell r="H1274">
            <v>3365</v>
          </cell>
          <cell r="I1274">
            <v>12</v>
          </cell>
          <cell r="K1274" t="str">
            <v>WPS-TNHA-S08</v>
          </cell>
          <cell r="L1274" t="str">
            <v>ST-12</v>
          </cell>
          <cell r="Y1274" t="str">
            <v>NOT YET FITUP</v>
          </cell>
        </row>
        <row r="1275">
          <cell r="A1275" t="str">
            <v>WHP-TNHA-RL-BT-006-WM1</v>
          </cell>
          <cell r="B1275" t="str">
            <v>WHP-TNHA-RL-BT-006-WM</v>
          </cell>
          <cell r="C1275">
            <v>1</v>
          </cell>
          <cell r="D1275" t="str">
            <v>XA</v>
          </cell>
          <cell r="E1275" t="str">
            <v>SV</v>
          </cell>
          <cell r="F1275" t="str">
            <v>10%MT &amp; UT</v>
          </cell>
          <cell r="G1275" t="str">
            <v>L</v>
          </cell>
          <cell r="H1275">
            <v>2835</v>
          </cell>
          <cell r="I1275">
            <v>12</v>
          </cell>
          <cell r="K1275" t="str">
            <v>WPS-TNHA-S08</v>
          </cell>
          <cell r="L1275" t="str">
            <v>ST-12</v>
          </cell>
          <cell r="Y1275" t="str">
            <v>NOT YET FITUP</v>
          </cell>
        </row>
        <row r="1276">
          <cell r="A1276" t="str">
            <v>WHP-TNHA-RL-BT-006-WM2</v>
          </cell>
          <cell r="B1276" t="str">
            <v>WHP-TNHA-RL-BT-006-WM</v>
          </cell>
          <cell r="C1276">
            <v>2</v>
          </cell>
          <cell r="D1276" t="str">
            <v>XA</v>
          </cell>
          <cell r="E1276" t="str">
            <v>SV</v>
          </cell>
          <cell r="F1276" t="str">
            <v>10%MT &amp; UT</v>
          </cell>
          <cell r="G1276" t="str">
            <v>L</v>
          </cell>
          <cell r="H1276">
            <v>2835</v>
          </cell>
          <cell r="I1276">
            <v>12</v>
          </cell>
          <cell r="K1276" t="str">
            <v>WPS-TNHA-S08</v>
          </cell>
          <cell r="L1276" t="str">
            <v>ST-12</v>
          </cell>
          <cell r="Y1276" t="str">
            <v>NOT YET FITUP</v>
          </cell>
        </row>
        <row r="1277">
          <cell r="A1277" t="str">
            <v>WHP-TNHA-RL-BT-006-WM3</v>
          </cell>
          <cell r="B1277" t="str">
            <v>WHP-TNHA-RL-BT-006-WM</v>
          </cell>
          <cell r="C1277">
            <v>3</v>
          </cell>
          <cell r="D1277" t="str">
            <v>XA</v>
          </cell>
          <cell r="E1277" t="str">
            <v>SV</v>
          </cell>
          <cell r="F1277" t="str">
            <v>10%MT &amp; UT</v>
          </cell>
          <cell r="G1277" t="str">
            <v>L</v>
          </cell>
          <cell r="H1277">
            <v>2835</v>
          </cell>
          <cell r="I1277">
            <v>12</v>
          </cell>
          <cell r="K1277" t="str">
            <v>WPS-TNHA-S08</v>
          </cell>
          <cell r="L1277" t="str">
            <v>ST-12</v>
          </cell>
          <cell r="Y1277" t="str">
            <v>NOT YET FITUP</v>
          </cell>
        </row>
        <row r="1278">
          <cell r="A1278" t="str">
            <v>WHP-TNHA-RL-BT-006-WM4</v>
          </cell>
          <cell r="B1278" t="str">
            <v>WHP-TNHA-RL-BT-006-WM</v>
          </cell>
          <cell r="C1278">
            <v>4</v>
          </cell>
          <cell r="D1278" t="str">
            <v>XA</v>
          </cell>
          <cell r="E1278" t="str">
            <v>SV</v>
          </cell>
          <cell r="F1278" t="str">
            <v>10%MT &amp; UT</v>
          </cell>
          <cell r="G1278" t="str">
            <v>L</v>
          </cell>
          <cell r="H1278">
            <v>2835</v>
          </cell>
          <cell r="I1278">
            <v>12</v>
          </cell>
          <cell r="K1278" t="str">
            <v>WPS-TNHA-S08</v>
          </cell>
          <cell r="L1278" t="str">
            <v>ST-12</v>
          </cell>
          <cell r="Y1278" t="str">
            <v>NOT YET FITUP</v>
          </cell>
        </row>
        <row r="1279">
          <cell r="A1279" t="str">
            <v>9001-2211-DS-0020-01-WM1</v>
          </cell>
          <cell r="B1279" t="str">
            <v>9001-2211-DS-0020-01-WM</v>
          </cell>
          <cell r="C1279">
            <v>1</v>
          </cell>
          <cell r="E1279" t="str">
            <v>F</v>
          </cell>
          <cell r="F1279" t="str">
            <v>100%MT</v>
          </cell>
          <cell r="G1279" t="str">
            <v>D</v>
          </cell>
          <cell r="H1279">
            <v>1915.4</v>
          </cell>
          <cell r="K1279" t="str">
            <v>WPS-TNHA-S06</v>
          </cell>
          <cell r="L1279" t="str">
            <v>ST-09</v>
          </cell>
          <cell r="M1279" t="str">
            <v>BÁCH</v>
          </cell>
          <cell r="N1279">
            <v>45983</v>
          </cell>
          <cell r="O1279" t="str">
            <v>F-098</v>
          </cell>
          <cell r="P1279" t="str">
            <v>23/11/2025</v>
          </cell>
          <cell r="Q1279" t="str">
            <v>PD-31</v>
          </cell>
          <cell r="R1279" t="str">
            <v>XUÂN</v>
          </cell>
          <cell r="S1279">
            <v>45986</v>
          </cell>
          <cell r="T1279" t="str">
            <v>V-092</v>
          </cell>
          <cell r="Y1279" t="str">
            <v>FINISH</v>
          </cell>
          <cell r="Z1279" t="str">
            <v>ACC</v>
          </cell>
          <cell r="AA1279" t="str">
            <v>ACC</v>
          </cell>
          <cell r="AB1279" t="str">
            <v>MT-2211-ST-09-0007</v>
          </cell>
          <cell r="AC1279" t="str">
            <v/>
          </cell>
          <cell r="AD1279" t="str">
            <v/>
          </cell>
        </row>
        <row r="1280">
          <cell r="A1280" t="str">
            <v>9001-2211-DS-0020-01-WM2</v>
          </cell>
          <cell r="B1280" t="str">
            <v>9001-2211-DS-0020-01-WM</v>
          </cell>
          <cell r="C1280">
            <v>2</v>
          </cell>
          <cell r="E1280" t="str">
            <v>F</v>
          </cell>
          <cell r="F1280" t="str">
            <v>100%MT</v>
          </cell>
          <cell r="G1280" t="str">
            <v>D</v>
          </cell>
          <cell r="H1280">
            <v>1915.4</v>
          </cell>
          <cell r="K1280" t="str">
            <v>WPS-TNHA-S06</v>
          </cell>
          <cell r="L1280" t="str">
            <v>ST-09</v>
          </cell>
          <cell r="M1280" t="str">
            <v>XUÂN</v>
          </cell>
          <cell r="N1280">
            <v>45988</v>
          </cell>
          <cell r="O1280" t="str">
            <v>F-106</v>
          </cell>
          <cell r="P1280" t="str">
            <v>27/11/2025</v>
          </cell>
          <cell r="Q1280" t="str">
            <v>DHN-SL-43</v>
          </cell>
          <cell r="R1280" t="str">
            <v>XUÂN</v>
          </cell>
          <cell r="S1280">
            <v>45990</v>
          </cell>
          <cell r="T1280" t="str">
            <v>V-102</v>
          </cell>
          <cell r="Y1280" t="str">
            <v>FINISH</v>
          </cell>
          <cell r="Z1280" t="str">
            <v>ACC</v>
          </cell>
          <cell r="AA1280" t="str">
            <v>ACC</v>
          </cell>
          <cell r="AB1280" t="str">
            <v>MT-2211-ST-09-0010</v>
          </cell>
          <cell r="AC1280" t="str">
            <v/>
          </cell>
          <cell r="AD1280" t="str">
            <v/>
          </cell>
        </row>
        <row r="1281">
          <cell r="A1281" t="str">
            <v>9001-2211-DS-0020-01-WM3</v>
          </cell>
          <cell r="B1281" t="str">
            <v>9001-2211-DS-0020-01-WM</v>
          </cell>
          <cell r="C1281">
            <v>3</v>
          </cell>
          <cell r="E1281" t="str">
            <v>F</v>
          </cell>
          <cell r="F1281" t="str">
            <v>100%MT</v>
          </cell>
          <cell r="G1281" t="str">
            <v>D</v>
          </cell>
          <cell r="H1281">
            <v>1915.4</v>
          </cell>
          <cell r="K1281" t="str">
            <v>WPS-TNHA-S06</v>
          </cell>
          <cell r="L1281" t="str">
            <v>ST-09</v>
          </cell>
          <cell r="M1281" t="str">
            <v>BÁCH</v>
          </cell>
          <cell r="N1281">
            <v>45982</v>
          </cell>
          <cell r="O1281" t="str">
            <v>F-096</v>
          </cell>
          <cell r="P1281" t="str">
            <v>17h 21/11/2025</v>
          </cell>
          <cell r="Q1281" t="str">
            <v>PD-31</v>
          </cell>
          <cell r="R1281" t="str">
            <v>XUÂN</v>
          </cell>
          <cell r="S1281">
            <v>45984</v>
          </cell>
          <cell r="T1281" t="str">
            <v>V-088</v>
          </cell>
          <cell r="Y1281" t="str">
            <v>FINISH</v>
          </cell>
          <cell r="Z1281" t="str">
            <v>ACC</v>
          </cell>
          <cell r="AA1281" t="str">
            <v>ACC</v>
          </cell>
          <cell r="AB1281" t="str">
            <v>MT-2211-ST-09-0006</v>
          </cell>
          <cell r="AC1281" t="str">
            <v/>
          </cell>
          <cell r="AD1281" t="str">
            <v/>
          </cell>
        </row>
        <row r="1282">
          <cell r="A1282" t="str">
            <v>9001-2211-DS-0020-01-WM4</v>
          </cell>
          <cell r="B1282" t="str">
            <v>9001-2211-DS-0020-01-WM</v>
          </cell>
          <cell r="C1282">
            <v>4</v>
          </cell>
          <cell r="E1282" t="str">
            <v>F</v>
          </cell>
          <cell r="F1282" t="str">
            <v>100%MT</v>
          </cell>
          <cell r="G1282" t="str">
            <v>D</v>
          </cell>
          <cell r="H1282">
            <v>1915.4</v>
          </cell>
          <cell r="K1282" t="str">
            <v>WPS-TNHA-S06</v>
          </cell>
          <cell r="L1282" t="str">
            <v>ST-09</v>
          </cell>
          <cell r="M1282" t="str">
            <v>BÁCH</v>
          </cell>
          <cell r="N1282">
            <v>45983</v>
          </cell>
          <cell r="O1282" t="str">
            <v>F-098</v>
          </cell>
          <cell r="P1282" t="str">
            <v>23/11/2025</v>
          </cell>
          <cell r="Q1282" t="str">
            <v>PD-33</v>
          </cell>
          <cell r="R1282" t="str">
            <v>XUÂN</v>
          </cell>
          <cell r="S1282">
            <v>45986</v>
          </cell>
          <cell r="T1282" t="str">
            <v>V-092</v>
          </cell>
          <cell r="Y1282" t="str">
            <v>FINISH</v>
          </cell>
          <cell r="Z1282" t="str">
            <v>ACC</v>
          </cell>
          <cell r="AA1282" t="str">
            <v>ACC</v>
          </cell>
          <cell r="AB1282" t="str">
            <v>MT-2211-ST-09-0007</v>
          </cell>
          <cell r="AC1282" t="str">
            <v/>
          </cell>
          <cell r="AD1282" t="str">
            <v/>
          </cell>
        </row>
        <row r="1283">
          <cell r="A1283" t="str">
            <v>9001-2211-DS-0020-01-WM5</v>
          </cell>
          <cell r="B1283" t="str">
            <v>9001-2211-DS-0020-01-WM</v>
          </cell>
          <cell r="C1283">
            <v>5</v>
          </cell>
          <cell r="E1283" t="str">
            <v>F</v>
          </cell>
          <cell r="F1283" t="str">
            <v>100%MT</v>
          </cell>
          <cell r="G1283" t="str">
            <v>D</v>
          </cell>
          <cell r="H1283">
            <v>1915.4</v>
          </cell>
          <cell r="K1283" t="str">
            <v>WPS-TNHA-S06</v>
          </cell>
          <cell r="L1283" t="str">
            <v>ST-09</v>
          </cell>
          <cell r="M1283" t="str">
            <v>BÁCH</v>
          </cell>
          <cell r="N1283">
            <v>45982</v>
          </cell>
          <cell r="O1283" t="str">
            <v>F-096</v>
          </cell>
          <cell r="P1283" t="str">
            <v>23/11/2025</v>
          </cell>
          <cell r="Q1283" t="str">
            <v>PD-31</v>
          </cell>
          <cell r="R1283" t="str">
            <v>XUÂN</v>
          </cell>
          <cell r="S1283">
            <v>45986</v>
          </cell>
          <cell r="T1283" t="str">
            <v>V-092</v>
          </cell>
          <cell r="Y1283" t="str">
            <v>FINISH</v>
          </cell>
          <cell r="Z1283" t="str">
            <v>ACC</v>
          </cell>
          <cell r="AA1283" t="str">
            <v>ACC</v>
          </cell>
          <cell r="AB1283" t="str">
            <v>MT-2211-ST-09-0007</v>
          </cell>
          <cell r="AC1283" t="str">
            <v/>
          </cell>
          <cell r="AD1283" t="str">
            <v/>
          </cell>
        </row>
        <row r="1284">
          <cell r="A1284" t="str">
            <v>9001-2211-DS-0020-01-WM6</v>
          </cell>
          <cell r="B1284" t="str">
            <v>9001-2211-DS-0020-01-WM</v>
          </cell>
          <cell r="C1284">
            <v>6</v>
          </cell>
          <cell r="E1284" t="str">
            <v>F</v>
          </cell>
          <cell r="F1284" t="str">
            <v>100%MT</v>
          </cell>
          <cell r="G1284" t="str">
            <v>D</v>
          </cell>
          <cell r="H1284">
            <v>1915.4</v>
          </cell>
          <cell r="K1284" t="str">
            <v>WPS-TNHA-S06</v>
          </cell>
          <cell r="L1284" t="str">
            <v>ST-09</v>
          </cell>
          <cell r="M1284" t="str">
            <v>XUÂN</v>
          </cell>
          <cell r="N1284">
            <v>45988</v>
          </cell>
          <cell r="O1284" t="str">
            <v>F-106</v>
          </cell>
          <cell r="P1284" t="str">
            <v>27/11/2025</v>
          </cell>
          <cell r="Q1284" t="str">
            <v>DHN-SL-43</v>
          </cell>
          <cell r="R1284" t="str">
            <v>XUÂN</v>
          </cell>
          <cell r="S1284">
            <v>45990</v>
          </cell>
          <cell r="T1284" t="str">
            <v>V-102</v>
          </cell>
          <cell r="Y1284" t="str">
            <v>FINISH</v>
          </cell>
          <cell r="Z1284" t="str">
            <v>ACC</v>
          </cell>
          <cell r="AA1284" t="str">
            <v>ACC</v>
          </cell>
          <cell r="AB1284" t="str">
            <v>MT-2211-ST-09-0010</v>
          </cell>
          <cell r="AC1284" t="str">
            <v/>
          </cell>
          <cell r="AD1284" t="str">
            <v/>
          </cell>
        </row>
        <row r="1285">
          <cell r="A1285" t="str">
            <v>9001-2211-DS-0020-01-WM7</v>
          </cell>
          <cell r="B1285" t="str">
            <v>9001-2211-DS-0020-01-WM</v>
          </cell>
          <cell r="C1285">
            <v>7</v>
          </cell>
          <cell r="E1285" t="str">
            <v>F</v>
          </cell>
          <cell r="F1285" t="str">
            <v>100%MT</v>
          </cell>
          <cell r="G1285" t="str">
            <v>D</v>
          </cell>
          <cell r="H1285">
            <v>1915.4</v>
          </cell>
          <cell r="K1285" t="str">
            <v>WPS-TNHA-S06</v>
          </cell>
          <cell r="L1285" t="str">
            <v>ST-09</v>
          </cell>
          <cell r="M1285" t="str">
            <v>BÁCH</v>
          </cell>
          <cell r="N1285">
            <v>45982</v>
          </cell>
          <cell r="O1285" t="str">
            <v>F-096</v>
          </cell>
          <cell r="P1285" t="str">
            <v>17h 21/11/2025</v>
          </cell>
          <cell r="Q1285" t="str">
            <v>PD-31</v>
          </cell>
          <cell r="R1285" t="str">
            <v>XUÂN</v>
          </cell>
          <cell r="S1285">
            <v>45984</v>
          </cell>
          <cell r="T1285" t="str">
            <v>V-088</v>
          </cell>
          <cell r="Y1285" t="str">
            <v>FINISH</v>
          </cell>
          <cell r="Z1285" t="str">
            <v>ACC</v>
          </cell>
          <cell r="AA1285" t="str">
            <v>ACC</v>
          </cell>
          <cell r="AB1285" t="str">
            <v>MT-2211-ST-09-0006</v>
          </cell>
          <cell r="AC1285" t="str">
            <v/>
          </cell>
          <cell r="AD1285" t="str">
            <v/>
          </cell>
        </row>
        <row r="1286">
          <cell r="A1286" t="str">
            <v>9001-2211-DS-0020-01-WM8</v>
          </cell>
          <cell r="B1286" t="str">
            <v>9001-2211-DS-0020-01-WM</v>
          </cell>
          <cell r="C1286">
            <v>8</v>
          </cell>
          <cell r="E1286" t="str">
            <v>F</v>
          </cell>
          <cell r="F1286" t="str">
            <v>100%MT</v>
          </cell>
          <cell r="G1286" t="str">
            <v>D</v>
          </cell>
          <cell r="H1286">
            <v>1915.4</v>
          </cell>
          <cell r="K1286" t="str">
            <v>WPS-TNHA-S06</v>
          </cell>
          <cell r="L1286" t="str">
            <v>ST-09</v>
          </cell>
          <cell r="M1286" t="str">
            <v>XUÂN</v>
          </cell>
          <cell r="N1286">
            <v>45988</v>
          </cell>
          <cell r="O1286" t="str">
            <v>F-106</v>
          </cell>
          <cell r="P1286" t="str">
            <v>27/11/2025</v>
          </cell>
          <cell r="Q1286" t="str">
            <v>DHN-SL-43</v>
          </cell>
          <cell r="R1286" t="str">
            <v>XUÂN</v>
          </cell>
          <cell r="S1286">
            <v>45990</v>
          </cell>
          <cell r="T1286" t="str">
            <v>V-102</v>
          </cell>
          <cell r="Y1286" t="str">
            <v>FINISH</v>
          </cell>
          <cell r="Z1286" t="str">
            <v>ACC</v>
          </cell>
          <cell r="AA1286" t="str">
            <v>ACC</v>
          </cell>
          <cell r="AB1286" t="str">
            <v>MT-2211-ST-09-0010</v>
          </cell>
          <cell r="AC1286" t="str">
            <v/>
          </cell>
          <cell r="AD1286" t="str">
            <v/>
          </cell>
        </row>
        <row r="1287">
          <cell r="A1287" t="str">
            <v>9001-2211-DS-0020-01-WM9</v>
          </cell>
          <cell r="B1287" t="str">
            <v>9001-2211-DS-0020-01-WM</v>
          </cell>
          <cell r="C1287">
            <v>9</v>
          </cell>
          <cell r="E1287" t="str">
            <v>F</v>
          </cell>
          <cell r="F1287" t="str">
            <v>100%MT</v>
          </cell>
          <cell r="G1287" t="str">
            <v>D</v>
          </cell>
          <cell r="H1287">
            <v>1915.4</v>
          </cell>
          <cell r="K1287" t="str">
            <v>WPS-TNHA-S06</v>
          </cell>
          <cell r="L1287" t="str">
            <v>ST-09</v>
          </cell>
          <cell r="M1287" t="str">
            <v>XUÂN</v>
          </cell>
          <cell r="N1287">
            <v>45988</v>
          </cell>
          <cell r="O1287" t="str">
            <v>F-106</v>
          </cell>
          <cell r="P1287" t="str">
            <v>27/11/2025</v>
          </cell>
          <cell r="Q1287" t="str">
            <v>PD-33</v>
          </cell>
          <cell r="R1287" t="str">
            <v>XUÂN</v>
          </cell>
          <cell r="S1287">
            <v>45990</v>
          </cell>
          <cell r="T1287" t="str">
            <v>V-102</v>
          </cell>
          <cell r="Y1287" t="str">
            <v>FINISH</v>
          </cell>
          <cell r="Z1287" t="str">
            <v>ACC</v>
          </cell>
          <cell r="AA1287" t="str">
            <v>ACC</v>
          </cell>
          <cell r="AB1287" t="str">
            <v>MT-2211-ST-09-0010</v>
          </cell>
          <cell r="AC1287" t="str">
            <v/>
          </cell>
          <cell r="AD1287" t="str">
            <v/>
          </cell>
        </row>
        <row r="1288">
          <cell r="A1288" t="str">
            <v>9001-2211-DS-0020-01-WM10</v>
          </cell>
          <cell r="B1288" t="str">
            <v>9001-2211-DS-0020-01-WM</v>
          </cell>
          <cell r="C1288">
            <v>10</v>
          </cell>
          <cell r="E1288" t="str">
            <v>F</v>
          </cell>
          <cell r="F1288" t="str">
            <v>100%MT</v>
          </cell>
          <cell r="G1288" t="str">
            <v>D</v>
          </cell>
          <cell r="H1288">
            <v>1915.4</v>
          </cell>
          <cell r="K1288" t="str">
            <v>WPS-TNHA-S06</v>
          </cell>
          <cell r="L1288" t="str">
            <v>ST-09</v>
          </cell>
          <cell r="M1288" t="str">
            <v>XUÂN</v>
          </cell>
          <cell r="N1288">
            <v>45988</v>
          </cell>
          <cell r="O1288" t="str">
            <v>F-106</v>
          </cell>
          <cell r="P1288" t="str">
            <v>27/11/2025</v>
          </cell>
          <cell r="Q1288" t="str">
            <v>PD-33</v>
          </cell>
          <cell r="R1288" t="str">
            <v>XUÂN</v>
          </cell>
          <cell r="S1288">
            <v>45990</v>
          </cell>
          <cell r="T1288" t="str">
            <v>V-102</v>
          </cell>
          <cell r="Y1288" t="str">
            <v>FINISH</v>
          </cell>
          <cell r="Z1288" t="str">
            <v>ACC</v>
          </cell>
          <cell r="AA1288" t="str">
            <v>ACC</v>
          </cell>
          <cell r="AB1288" t="str">
            <v>MT-2211-ST-09-0010</v>
          </cell>
          <cell r="AC1288" t="str">
            <v/>
          </cell>
          <cell r="AD1288" t="str">
            <v/>
          </cell>
        </row>
        <row r="1289">
          <cell r="A1289" t="str">
            <v>9001-2211-DS-0020-01-WM11</v>
          </cell>
          <cell r="B1289" t="str">
            <v>9001-2211-DS-0020-01-WM</v>
          </cell>
          <cell r="C1289">
            <v>11</v>
          </cell>
          <cell r="E1289" t="str">
            <v>F</v>
          </cell>
          <cell r="F1289" t="str">
            <v>100%MT</v>
          </cell>
          <cell r="G1289" t="str">
            <v>D</v>
          </cell>
          <cell r="H1289">
            <v>1915.4</v>
          </cell>
          <cell r="K1289" t="str">
            <v>WPS-TNHA-S06</v>
          </cell>
          <cell r="L1289" t="str">
            <v>ST-09</v>
          </cell>
          <cell r="M1289" t="str">
            <v>XUÂN</v>
          </cell>
          <cell r="N1289">
            <v>45988</v>
          </cell>
          <cell r="O1289" t="str">
            <v>F-106</v>
          </cell>
          <cell r="P1289" t="str">
            <v>27/11/2025</v>
          </cell>
          <cell r="Q1289" t="str">
            <v>PD-33</v>
          </cell>
          <cell r="R1289" t="str">
            <v>XUÂN</v>
          </cell>
          <cell r="S1289">
            <v>45990</v>
          </cell>
          <cell r="T1289" t="str">
            <v>V-102</v>
          </cell>
          <cell r="Y1289" t="str">
            <v>FINISH</v>
          </cell>
          <cell r="Z1289" t="str">
            <v>ACC</v>
          </cell>
          <cell r="AA1289" t="str">
            <v>ACC</v>
          </cell>
          <cell r="AB1289" t="str">
            <v>MT-2211-ST-09-0010</v>
          </cell>
          <cell r="AC1289" t="str">
            <v/>
          </cell>
          <cell r="AD1289" t="str">
            <v/>
          </cell>
        </row>
        <row r="1290">
          <cell r="A1290" t="str">
            <v>9001-2211-DS-0020-01-WM12</v>
          </cell>
          <cell r="B1290" t="str">
            <v>9001-2211-DS-0020-01-WM</v>
          </cell>
          <cell r="C1290">
            <v>12</v>
          </cell>
          <cell r="E1290" t="str">
            <v>F</v>
          </cell>
          <cell r="F1290" t="str">
            <v>100%MT</v>
          </cell>
          <cell r="G1290" t="str">
            <v>D</v>
          </cell>
          <cell r="H1290">
            <v>1915.4</v>
          </cell>
          <cell r="K1290" t="str">
            <v>WPS-TNHA-S06</v>
          </cell>
          <cell r="L1290" t="str">
            <v>ST-09</v>
          </cell>
          <cell r="M1290" t="str">
            <v>BÁCH</v>
          </cell>
          <cell r="N1290">
            <v>45982</v>
          </cell>
          <cell r="O1290" t="str">
            <v>F-096</v>
          </cell>
          <cell r="P1290" t="str">
            <v>17h 21/11/2025</v>
          </cell>
          <cell r="Q1290" t="str">
            <v>PD-33</v>
          </cell>
          <cell r="R1290" t="str">
            <v>XUÂN</v>
          </cell>
          <cell r="S1290">
            <v>45984</v>
          </cell>
          <cell r="T1290" t="str">
            <v>V-088</v>
          </cell>
          <cell r="Y1290" t="str">
            <v>FINISH</v>
          </cell>
          <cell r="Z1290" t="str">
            <v>ACC</v>
          </cell>
          <cell r="AA1290" t="str">
            <v>ACC</v>
          </cell>
          <cell r="AB1290" t="str">
            <v>MT-2211-ST-09-0006</v>
          </cell>
          <cell r="AC1290" t="str">
            <v/>
          </cell>
          <cell r="AD1290" t="str">
            <v/>
          </cell>
        </row>
        <row r="1291">
          <cell r="A1291" t="str">
            <v>9001-2211-DS-0020-01-WM13</v>
          </cell>
          <cell r="B1291" t="str">
            <v>9001-2211-DS-0020-01-WM</v>
          </cell>
          <cell r="C1291">
            <v>13</v>
          </cell>
          <cell r="E1291" t="str">
            <v>F</v>
          </cell>
          <cell r="F1291" t="str">
            <v>100%MT</v>
          </cell>
          <cell r="G1291" t="str">
            <v>D</v>
          </cell>
          <cell r="H1291">
            <v>1915.4</v>
          </cell>
          <cell r="K1291" t="str">
            <v>WPS-TNHA-S06</v>
          </cell>
          <cell r="L1291" t="str">
            <v>ST-09</v>
          </cell>
          <cell r="M1291" t="str">
            <v>BÁCH</v>
          </cell>
          <cell r="N1291">
            <v>45983</v>
          </cell>
          <cell r="O1291" t="str">
            <v>F-098</v>
          </cell>
          <cell r="P1291" t="str">
            <v>23/11/2025</v>
          </cell>
          <cell r="Q1291" t="str">
            <v>PD-33</v>
          </cell>
          <cell r="R1291" t="str">
            <v>XUÂN</v>
          </cell>
          <cell r="S1291">
            <v>45986</v>
          </cell>
          <cell r="T1291" t="str">
            <v>V-092</v>
          </cell>
          <cell r="Y1291" t="str">
            <v>FINISH</v>
          </cell>
          <cell r="Z1291" t="str">
            <v>ACC</v>
          </cell>
          <cell r="AA1291" t="str">
            <v>ACC</v>
          </cell>
          <cell r="AB1291" t="str">
            <v>MT-2211-ST-09-0007</v>
          </cell>
          <cell r="AC1291" t="str">
            <v/>
          </cell>
          <cell r="AD1291" t="str">
            <v/>
          </cell>
        </row>
        <row r="1292">
          <cell r="A1292" t="str">
            <v>9001-2211-DS-0020-01-WM14</v>
          </cell>
          <cell r="B1292" t="str">
            <v>9001-2211-DS-0020-01-WM</v>
          </cell>
          <cell r="C1292">
            <v>14</v>
          </cell>
          <cell r="E1292" t="str">
            <v>F</v>
          </cell>
          <cell r="F1292" t="str">
            <v>100%MT</v>
          </cell>
          <cell r="G1292" t="str">
            <v>D</v>
          </cell>
          <cell r="H1292">
            <v>1915.4</v>
          </cell>
          <cell r="K1292" t="str">
            <v>WPS-TNHA-S06</v>
          </cell>
          <cell r="L1292" t="str">
            <v>ST-09</v>
          </cell>
          <cell r="M1292" t="str">
            <v>BÁCH</v>
          </cell>
          <cell r="N1292">
            <v>45982</v>
          </cell>
          <cell r="O1292" t="str">
            <v>F-096</v>
          </cell>
          <cell r="P1292" t="str">
            <v>17h 21/11/2025</v>
          </cell>
          <cell r="Q1292" t="str">
            <v>PD-33</v>
          </cell>
          <cell r="R1292" t="str">
            <v>XUÂN</v>
          </cell>
          <cell r="S1292">
            <v>45984</v>
          </cell>
          <cell r="T1292" t="str">
            <v>V-088</v>
          </cell>
          <cell r="Y1292" t="str">
            <v>FINISH</v>
          </cell>
          <cell r="Z1292" t="str">
            <v>ACC</v>
          </cell>
          <cell r="AA1292" t="str">
            <v>ACC</v>
          </cell>
          <cell r="AB1292" t="str">
            <v>MT-2211-ST-09-0006</v>
          </cell>
          <cell r="AC1292" t="str">
            <v/>
          </cell>
          <cell r="AD1292" t="str">
            <v/>
          </cell>
        </row>
        <row r="1293">
          <cell r="A1293" t="str">
            <v>9001-2211-DS-0020-01-WM15</v>
          </cell>
          <cell r="B1293" t="str">
            <v>9001-2211-DS-0020-01-WM</v>
          </cell>
          <cell r="C1293">
            <v>15</v>
          </cell>
          <cell r="E1293" t="str">
            <v>F</v>
          </cell>
          <cell r="F1293" t="str">
            <v>100%MT</v>
          </cell>
          <cell r="G1293" t="str">
            <v>D</v>
          </cell>
          <cell r="H1293">
            <v>1915.4</v>
          </cell>
          <cell r="K1293" t="str">
            <v>WPS-TNHA-S06</v>
          </cell>
          <cell r="L1293" t="str">
            <v>ST-09</v>
          </cell>
          <cell r="M1293" t="str">
            <v>BÁCH</v>
          </cell>
          <cell r="N1293">
            <v>45983</v>
          </cell>
          <cell r="O1293" t="str">
            <v>F-098</v>
          </cell>
          <cell r="P1293" t="str">
            <v>23/11/2025</v>
          </cell>
          <cell r="Q1293" t="str">
            <v>PD-31</v>
          </cell>
          <cell r="R1293" t="str">
            <v>XUÂN</v>
          </cell>
          <cell r="S1293">
            <v>45986</v>
          </cell>
          <cell r="T1293" t="str">
            <v>V-092</v>
          </cell>
          <cell r="Y1293" t="str">
            <v>FINISH</v>
          </cell>
          <cell r="Z1293" t="str">
            <v>ACC</v>
          </cell>
          <cell r="AA1293" t="str">
            <v>ACC</v>
          </cell>
          <cell r="AB1293" t="str">
            <v>MT-2211-ST-09-0007</v>
          </cell>
          <cell r="AC1293" t="str">
            <v/>
          </cell>
          <cell r="AD1293" t="str">
            <v/>
          </cell>
        </row>
        <row r="1294">
          <cell r="A1294" t="str">
            <v>9001-2211-DS-0020-01-WM16</v>
          </cell>
          <cell r="B1294" t="str">
            <v>9001-2211-DS-0020-01-WM</v>
          </cell>
          <cell r="C1294">
            <v>16</v>
          </cell>
          <cell r="E1294" t="str">
            <v>F</v>
          </cell>
          <cell r="F1294" t="str">
            <v>100%MT</v>
          </cell>
          <cell r="G1294" t="str">
            <v>D</v>
          </cell>
          <cell r="H1294">
            <v>1915.4</v>
          </cell>
          <cell r="K1294" t="str">
            <v>WPS-TNHA-S06</v>
          </cell>
          <cell r="L1294" t="str">
            <v>ST-09</v>
          </cell>
          <cell r="M1294" t="str">
            <v>XUÂN</v>
          </cell>
          <cell r="N1294">
            <v>45988</v>
          </cell>
          <cell r="O1294" t="str">
            <v>F-106</v>
          </cell>
          <cell r="P1294" t="str">
            <v>27/11/2025</v>
          </cell>
          <cell r="Q1294" t="str">
            <v>PD-33</v>
          </cell>
          <cell r="R1294" t="str">
            <v>XUÂN</v>
          </cell>
          <cell r="S1294">
            <v>45990</v>
          </cell>
          <cell r="T1294" t="str">
            <v>V-102</v>
          </cell>
          <cell r="Y1294" t="str">
            <v>FINISH</v>
          </cell>
          <cell r="Z1294" t="str">
            <v>ACC</v>
          </cell>
          <cell r="AA1294" t="str">
            <v>ACC</v>
          </cell>
          <cell r="AB1294" t="str">
            <v>MT-2211-ST-09-0010</v>
          </cell>
          <cell r="AC1294" t="str">
            <v/>
          </cell>
          <cell r="AD1294" t="str">
            <v/>
          </cell>
        </row>
        <row r="1295">
          <cell r="A1295" t="str">
            <v>9001-2211-DS-1004-05-WM1</v>
          </cell>
          <cell r="B1295" t="str">
            <v>9001-2211-DS-1004-05-WM</v>
          </cell>
          <cell r="C1295">
            <v>1</v>
          </cell>
          <cell r="E1295" t="str">
            <v>SV</v>
          </cell>
          <cell r="F1295" t="str">
            <v>10%MT&amp;UT</v>
          </cell>
          <cell r="G1295" t="str">
            <v>D</v>
          </cell>
          <cell r="H1295">
            <v>6280</v>
          </cell>
          <cell r="I1295">
            <v>16</v>
          </cell>
          <cell r="K1295" t="str">
            <v>WPS-TNHA-S11</v>
          </cell>
          <cell r="L1295" t="str">
            <v>ST-12</v>
          </cell>
          <cell r="M1295" t="str">
            <v>TUÂN</v>
          </cell>
          <cell r="N1295">
            <v>45999</v>
          </cell>
          <cell r="O1295" t="str">
            <v>F-120</v>
          </cell>
          <cell r="P1295" t="str">
            <v>20h 08/12/2025</v>
          </cell>
          <cell r="Q1295" t="str">
            <v>BDL0005;BDL0009</v>
          </cell>
          <cell r="R1295" t="str">
            <v>THÁI</v>
          </cell>
          <cell r="S1295">
            <v>46011</v>
          </cell>
          <cell r="T1295" t="str">
            <v>V-150</v>
          </cell>
          <cell r="Y1295" t="str">
            <v>FINISH</v>
          </cell>
          <cell r="Z1295" t="str">
            <v>ACC</v>
          </cell>
          <cell r="AA1295" t="str">
            <v>ACC</v>
          </cell>
          <cell r="AB1295" t="str">
            <v>MT-2211-ST-12-0014</v>
          </cell>
          <cell r="AC1295" t="str">
            <v>ACC</v>
          </cell>
          <cell r="AD1295" t="str">
            <v>UT-2211-ST-12-0014</v>
          </cell>
          <cell r="AP1295" t="str">
            <v>23/12/2025</v>
          </cell>
        </row>
        <row r="1296">
          <cell r="A1296" t="str">
            <v>9001-2211-DS-1004-05-WM2</v>
          </cell>
          <cell r="B1296" t="str">
            <v>9001-2211-DS-1004-05-WM</v>
          </cell>
          <cell r="C1296">
            <v>2</v>
          </cell>
          <cell r="F1296" t="str">
            <v>10%MT&amp;UT</v>
          </cell>
          <cell r="K1296" t="str">
            <v>WPS-TNHA-S11</v>
          </cell>
          <cell r="L1296" t="str">
            <v>ST-12</v>
          </cell>
          <cell r="Y1296" t="str">
            <v>NOT YET FITUP</v>
          </cell>
        </row>
        <row r="1297">
          <cell r="A1297" t="str">
            <v>9001-2211-DS-1004-05-WM3</v>
          </cell>
          <cell r="B1297" t="str">
            <v>9001-2211-DS-1004-05-WM</v>
          </cell>
          <cell r="C1297">
            <v>3</v>
          </cell>
          <cell r="E1297" t="str">
            <v>SV</v>
          </cell>
          <cell r="F1297" t="str">
            <v>10%MT&amp;UT</v>
          </cell>
          <cell r="G1297" t="str">
            <v>D</v>
          </cell>
          <cell r="H1297">
            <v>6280</v>
          </cell>
          <cell r="I1297">
            <v>16</v>
          </cell>
          <cell r="K1297" t="str">
            <v>WPS-TNHA-S11</v>
          </cell>
          <cell r="L1297" t="str">
            <v>ST-12</v>
          </cell>
          <cell r="M1297" t="str">
            <v>TUÂN</v>
          </cell>
          <cell r="N1297">
            <v>46001</v>
          </cell>
          <cell r="O1297" t="str">
            <v>F-126</v>
          </cell>
          <cell r="Y1297" t="str">
            <v>NOT YET VISUAL</v>
          </cell>
        </row>
        <row r="1298">
          <cell r="A1298" t="str">
            <v>9001-2211-DS-1004-05-WM4</v>
          </cell>
          <cell r="B1298" t="str">
            <v>9001-2211-DS-1004-05-WM</v>
          </cell>
          <cell r="C1298">
            <v>4</v>
          </cell>
          <cell r="E1298" t="str">
            <v>SV</v>
          </cell>
          <cell r="F1298" t="str">
            <v>10%MT&amp;UT</v>
          </cell>
          <cell r="G1298" t="str">
            <v>D</v>
          </cell>
          <cell r="H1298">
            <v>6280</v>
          </cell>
          <cell r="I1298">
            <v>16</v>
          </cell>
          <cell r="K1298" t="str">
            <v>WPS-TNHA-S11</v>
          </cell>
          <cell r="L1298" t="str">
            <v>ST-12</v>
          </cell>
          <cell r="M1298" t="str">
            <v>TUÂN</v>
          </cell>
          <cell r="N1298">
            <v>45999</v>
          </cell>
          <cell r="O1298" t="str">
            <v>F-120</v>
          </cell>
          <cell r="Y1298" t="str">
            <v>NOT YET VISUAL</v>
          </cell>
        </row>
        <row r="1299">
          <cell r="A1299" t="str">
            <v>9001-2211-DS-1004-05-WM5</v>
          </cell>
          <cell r="B1299" t="str">
            <v>9001-2211-DS-1004-05-WM</v>
          </cell>
          <cell r="C1299">
            <v>5</v>
          </cell>
          <cell r="F1299" t="str">
            <v>10%MT&amp;UT</v>
          </cell>
          <cell r="K1299" t="str">
            <v>WPS-TNHA-S11</v>
          </cell>
          <cell r="L1299" t="str">
            <v>ST-12</v>
          </cell>
          <cell r="Y1299" t="str">
            <v>NOT YET FITUP</v>
          </cell>
        </row>
        <row r="1300">
          <cell r="A1300" t="str">
            <v>9001-2211-DS-1004-05-WM6</v>
          </cell>
          <cell r="B1300" t="str">
            <v>9001-2211-DS-1004-05-WM</v>
          </cell>
          <cell r="C1300">
            <v>6</v>
          </cell>
          <cell r="F1300" t="str">
            <v>10%MT&amp;UT</v>
          </cell>
          <cell r="K1300" t="str">
            <v>WPS-TNHA-S11</v>
          </cell>
          <cell r="L1300" t="str">
            <v>ST-12</v>
          </cell>
          <cell r="Y1300" t="str">
            <v>NOT YET FITUP</v>
          </cell>
        </row>
        <row r="1301">
          <cell r="A1301" t="str">
            <v>9001-2211-DS-1004-05-WM7</v>
          </cell>
          <cell r="B1301" t="str">
            <v>9001-2211-DS-1004-05-WM</v>
          </cell>
          <cell r="C1301">
            <v>7</v>
          </cell>
          <cell r="E1301" t="str">
            <v>SV</v>
          </cell>
          <cell r="F1301" t="str">
            <v>10%MT&amp;UT</v>
          </cell>
          <cell r="G1301" t="str">
            <v>D</v>
          </cell>
          <cell r="H1301">
            <v>6280</v>
          </cell>
          <cell r="I1301">
            <v>16</v>
          </cell>
          <cell r="K1301" t="str">
            <v>WPS-TNHA-S11</v>
          </cell>
          <cell r="L1301" t="str">
            <v>ST-12</v>
          </cell>
          <cell r="M1301" t="str">
            <v>HIẾU</v>
          </cell>
          <cell r="N1301">
            <v>46002</v>
          </cell>
          <cell r="O1301" t="str">
            <v>F-128</v>
          </cell>
          <cell r="Y1301" t="str">
            <v>NOT YET VISUAL</v>
          </cell>
        </row>
        <row r="1302">
          <cell r="A1302" t="str">
            <v>9001-2211-DS-1004-05-WM8</v>
          </cell>
          <cell r="B1302" t="str">
            <v>9001-2211-DS-1004-05-WM</v>
          </cell>
          <cell r="C1302">
            <v>8</v>
          </cell>
          <cell r="F1302" t="str">
            <v>10%MT&amp;UT</v>
          </cell>
          <cell r="K1302" t="str">
            <v>WPS-TNHA-S11</v>
          </cell>
          <cell r="L1302" t="str">
            <v>ST-12</v>
          </cell>
          <cell r="Y1302" t="str">
            <v>NOT YET FITUP</v>
          </cell>
        </row>
        <row r="1303">
          <cell r="A1303" t="str">
            <v>9001-2211-DS-1004-05-WM9</v>
          </cell>
          <cell r="B1303" t="str">
            <v>9001-2211-DS-1004-05-WM</v>
          </cell>
          <cell r="C1303">
            <v>9</v>
          </cell>
          <cell r="F1303" t="str">
            <v>10%MT&amp;UT</v>
          </cell>
          <cell r="K1303" t="str">
            <v>WPS-TNHA-S11</v>
          </cell>
          <cell r="L1303" t="str">
            <v>ST-12</v>
          </cell>
          <cell r="Y1303" t="str">
            <v>NOT YET FITUP</v>
          </cell>
        </row>
        <row r="1304">
          <cell r="A1304" t="str">
            <v>9001-2211-DS-1004-05-WM10</v>
          </cell>
          <cell r="B1304" t="str">
            <v>9001-2211-DS-1004-05-WM</v>
          </cell>
          <cell r="C1304">
            <v>10</v>
          </cell>
          <cell r="F1304" t="str">
            <v>10%MT&amp;UT</v>
          </cell>
          <cell r="K1304" t="str">
            <v>WPS-TNHA-S11</v>
          </cell>
          <cell r="L1304" t="str">
            <v>ST-12</v>
          </cell>
          <cell r="Y1304" t="str">
            <v>NOT YET FITUP</v>
          </cell>
        </row>
        <row r="1305">
          <cell r="A1305" t="str">
            <v>9001-2211-DS-1004-05-WM11</v>
          </cell>
          <cell r="B1305" t="str">
            <v>9001-2211-DS-1004-05-WM</v>
          </cell>
          <cell r="C1305">
            <v>11</v>
          </cell>
          <cell r="F1305" t="str">
            <v>10%MT&amp;UT</v>
          </cell>
          <cell r="K1305" t="str">
            <v>WPS-TNHA-S11</v>
          </cell>
          <cell r="L1305" t="str">
            <v>ST-12</v>
          </cell>
          <cell r="Y1305" t="str">
            <v>NOT YET FITUP</v>
          </cell>
        </row>
        <row r="1306">
          <cell r="A1306" t="str">
            <v>9001-2211-DS-1004-05-WM12</v>
          </cell>
          <cell r="B1306" t="str">
            <v>9001-2211-DS-1004-05-WM</v>
          </cell>
          <cell r="C1306">
            <v>12</v>
          </cell>
          <cell r="F1306" t="str">
            <v>10%MT&amp;UT</v>
          </cell>
          <cell r="K1306" t="str">
            <v>WPS-TNHA-S11</v>
          </cell>
          <cell r="L1306" t="str">
            <v>ST-12</v>
          </cell>
          <cell r="Y1306" t="str">
            <v>NOT YET FITUP</v>
          </cell>
        </row>
        <row r="1307">
          <cell r="A1307" t="str">
            <v>9001-2211-DS-1004-05-WM13</v>
          </cell>
          <cell r="B1307" t="str">
            <v>9001-2211-DS-1004-05-WM</v>
          </cell>
          <cell r="C1307">
            <v>13</v>
          </cell>
          <cell r="F1307" t="str">
            <v>10%MT&amp;UT</v>
          </cell>
          <cell r="K1307" t="str">
            <v>WPS-TNHA-S11</v>
          </cell>
          <cell r="L1307" t="str">
            <v>ST-12</v>
          </cell>
          <cell r="Y1307" t="str">
            <v>NOT YET FITUP</v>
          </cell>
        </row>
        <row r="1308">
          <cell r="A1308" t="str">
            <v>9001-2211-DS-1004-05-WM14</v>
          </cell>
          <cell r="B1308" t="str">
            <v>9001-2211-DS-1004-05-WM</v>
          </cell>
          <cell r="C1308">
            <v>14</v>
          </cell>
          <cell r="F1308" t="str">
            <v>10%MT&amp;UT</v>
          </cell>
          <cell r="K1308" t="str">
            <v>WPS-TNHA-S11</v>
          </cell>
          <cell r="L1308" t="str">
            <v>ST-12</v>
          </cell>
          <cell r="Y1308" t="str">
            <v>NOT YET FITUP</v>
          </cell>
        </row>
        <row r="1309">
          <cell r="A1309" t="str">
            <v>9001-2211-DS-1004-05-WM15</v>
          </cell>
          <cell r="B1309" t="str">
            <v>9001-2211-DS-1004-05-WM</v>
          </cell>
          <cell r="C1309">
            <v>15</v>
          </cell>
          <cell r="F1309" t="str">
            <v>10%MT&amp;UT</v>
          </cell>
          <cell r="K1309" t="str">
            <v>WPS-TNHA-S11</v>
          </cell>
          <cell r="L1309" t="str">
            <v>ST-12</v>
          </cell>
          <cell r="Y1309" t="str">
            <v>NOT YET FITUP</v>
          </cell>
        </row>
        <row r="1310">
          <cell r="A1310" t="str">
            <v>9001-2211-DS-1004-05-WM16</v>
          </cell>
          <cell r="B1310" t="str">
            <v>9001-2211-DS-1004-05-WM</v>
          </cell>
          <cell r="C1310">
            <v>16</v>
          </cell>
          <cell r="F1310" t="str">
            <v>10%MT&amp;UT</v>
          </cell>
          <cell r="K1310" t="str">
            <v>WPS-TNHA-S11</v>
          </cell>
          <cell r="L1310" t="str">
            <v>ST-12</v>
          </cell>
          <cell r="Y1310" t="str">
            <v>NOT YET FITUP</v>
          </cell>
        </row>
        <row r="1311">
          <cell r="A1311" t="str">
            <v>9001-2211-DS-1004-05-WM17</v>
          </cell>
          <cell r="B1311" t="str">
            <v>9001-2211-DS-1004-05-WM</v>
          </cell>
          <cell r="C1311">
            <v>17</v>
          </cell>
          <cell r="D1311" t="str">
            <v>X1</v>
          </cell>
          <cell r="E1311" t="str">
            <v>SV</v>
          </cell>
          <cell r="F1311" t="str">
            <v>100%MT&amp;UT</v>
          </cell>
          <cell r="G1311" t="str">
            <v>L</v>
          </cell>
          <cell r="H1311">
            <v>800</v>
          </cell>
          <cell r="I1311">
            <v>20</v>
          </cell>
          <cell r="K1311" t="str">
            <v>WPS-TNHA-S11</v>
          </cell>
          <cell r="L1311" t="str">
            <v>ST-12</v>
          </cell>
          <cell r="M1311" t="str">
            <v>TUÂN</v>
          </cell>
          <cell r="N1311">
            <v>46004</v>
          </cell>
          <cell r="O1311" t="str">
            <v>F-132</v>
          </cell>
          <cell r="P1311" t="str">
            <v>17h 13/12/2025</v>
          </cell>
          <cell r="Q1311" t="str">
            <v>BDL0018;BDL0005</v>
          </cell>
          <cell r="R1311" t="str">
            <v>THÁI</v>
          </cell>
          <cell r="S1311">
            <v>46011</v>
          </cell>
          <cell r="T1311" t="str">
            <v>V-150</v>
          </cell>
          <cell r="Y1311" t="str">
            <v>FINISH</v>
          </cell>
          <cell r="Z1311" t="str">
            <v>ACC</v>
          </cell>
          <cell r="AA1311" t="str">
            <v>ACC</v>
          </cell>
          <cell r="AB1311" t="str">
            <v>MT-2211-ST-12-0015</v>
          </cell>
          <cell r="AC1311" t="str">
            <v>ACC</v>
          </cell>
          <cell r="AD1311" t="str">
            <v>UT-2211-ST-12-0015</v>
          </cell>
          <cell r="AP1311" t="str">
            <v>23/12/2025</v>
          </cell>
        </row>
        <row r="1312">
          <cell r="A1312" t="str">
            <v>9001-2211-DS-1004-05-WM18</v>
          </cell>
          <cell r="B1312" t="str">
            <v>9001-2211-DS-1004-05-WM</v>
          </cell>
          <cell r="C1312">
            <v>18</v>
          </cell>
          <cell r="D1312" t="str">
            <v>X2</v>
          </cell>
          <cell r="E1312" t="str">
            <v>F</v>
          </cell>
          <cell r="F1312" t="str">
            <v>10%MT</v>
          </cell>
          <cell r="G1312" t="str">
            <v>D</v>
          </cell>
          <cell r="H1312">
            <v>6179.52</v>
          </cell>
          <cell r="K1312" t="str">
            <v>WPS-TNHA-S11</v>
          </cell>
          <cell r="L1312" t="str">
            <v>ST-12</v>
          </cell>
          <cell r="M1312" t="str">
            <v>TUÂN</v>
          </cell>
          <cell r="N1312">
            <v>46004</v>
          </cell>
          <cell r="O1312" t="str">
            <v>F-132</v>
          </cell>
          <cell r="P1312" t="str">
            <v>17h 13/12/2025</v>
          </cell>
          <cell r="Q1312" t="str">
            <v>BDL0018;BDL0005</v>
          </cell>
          <cell r="R1312" t="str">
            <v>THÁI</v>
          </cell>
          <cell r="S1312">
            <v>46011</v>
          </cell>
          <cell r="T1312" t="str">
            <v>V-150</v>
          </cell>
          <cell r="Y1312" t="str">
            <v>FINISH</v>
          </cell>
          <cell r="Z1312" t="str">
            <v>ACC</v>
          </cell>
          <cell r="AA1312" t="str">
            <v>ACC</v>
          </cell>
          <cell r="AB1312" t="str">
            <v>MT-2211-ST-12-0014</v>
          </cell>
          <cell r="AC1312" t="str">
            <v/>
          </cell>
          <cell r="AD1312" t="str">
            <v/>
          </cell>
        </row>
        <row r="1313">
          <cell r="A1313" t="str">
            <v>9001-2211-DS-1004-05-WM19</v>
          </cell>
          <cell r="B1313" t="str">
            <v>9001-2211-DS-1004-05-WM</v>
          </cell>
          <cell r="C1313">
            <v>19</v>
          </cell>
          <cell r="D1313" t="str">
            <v>X3</v>
          </cell>
          <cell r="E1313" t="str">
            <v>F</v>
          </cell>
          <cell r="F1313" t="str">
            <v>10%MT</v>
          </cell>
          <cell r="G1313" t="str">
            <v>D</v>
          </cell>
          <cell r="H1313">
            <v>6179.52</v>
          </cell>
          <cell r="K1313" t="str">
            <v>WPS-TNHA-S11</v>
          </cell>
          <cell r="L1313" t="str">
            <v>ST-12</v>
          </cell>
          <cell r="M1313" t="str">
            <v>TUÂN</v>
          </cell>
          <cell r="N1313">
            <v>46008</v>
          </cell>
          <cell r="O1313" t="str">
            <v>F-137</v>
          </cell>
          <cell r="P1313" t="str">
            <v>17/12/2025</v>
          </cell>
          <cell r="Q1313" t="str">
            <v>BDL0018;DHN-SL-61</v>
          </cell>
          <cell r="R1313" t="str">
            <v>THÁI</v>
          </cell>
          <cell r="S1313">
            <v>46011</v>
          </cell>
          <cell r="T1313" t="str">
            <v>V-150</v>
          </cell>
          <cell r="Y1313" t="str">
            <v>FINISH</v>
          </cell>
          <cell r="Z1313" t="str">
            <v>ACC</v>
          </cell>
          <cell r="AA1313" t="str">
            <v>ACC</v>
          </cell>
          <cell r="AB1313" t="str">
            <v>MT-2211-ST-12-0014</v>
          </cell>
          <cell r="AC1313" t="str">
            <v/>
          </cell>
          <cell r="AD1313" t="str">
            <v/>
          </cell>
        </row>
        <row r="1314">
          <cell r="A1314" t="str">
            <v>9001-2211-DS-1004-05-WM19A</v>
          </cell>
          <cell r="B1314" t="str">
            <v>9001-2211-DS-1004-05-WM</v>
          </cell>
          <cell r="C1314" t="str">
            <v>19A</v>
          </cell>
          <cell r="E1314" t="str">
            <v>SV</v>
          </cell>
          <cell r="F1314" t="str">
            <v>100%MT&amp;UT</v>
          </cell>
          <cell r="G1314" t="str">
            <v>L</v>
          </cell>
          <cell r="H1314">
            <v>200</v>
          </cell>
          <cell r="I1314">
            <v>20</v>
          </cell>
          <cell r="K1314" t="str">
            <v>WPS-TNHA-S11</v>
          </cell>
          <cell r="L1314" t="str">
            <v>ST-12</v>
          </cell>
          <cell r="M1314" t="str">
            <v>TUÂN</v>
          </cell>
          <cell r="N1314">
            <v>46008</v>
          </cell>
          <cell r="O1314" t="str">
            <v>F-137</v>
          </cell>
          <cell r="P1314" t="str">
            <v>17/12/2025</v>
          </cell>
          <cell r="Q1314" t="str">
            <v>BDL0018;DHN-SL-61</v>
          </cell>
          <cell r="R1314" t="str">
            <v>THÁI</v>
          </cell>
          <cell r="S1314">
            <v>46011</v>
          </cell>
          <cell r="T1314" t="str">
            <v>V-150</v>
          </cell>
          <cell r="Y1314" t="str">
            <v>FINISH</v>
          </cell>
          <cell r="Z1314" t="str">
            <v>ACC</v>
          </cell>
          <cell r="AA1314" t="str">
            <v>ACC</v>
          </cell>
          <cell r="AB1314" t="str">
            <v>MT-2211-ST-12-0015</v>
          </cell>
          <cell r="AC1314" t="str">
            <v>ACC</v>
          </cell>
          <cell r="AD1314" t="str">
            <v>UT-2211-ST-12-0015</v>
          </cell>
          <cell r="AP1314" t="str">
            <v>23/12/2025</v>
          </cell>
        </row>
        <row r="1315">
          <cell r="A1315" t="str">
            <v>9001-2211-DS-1004-05-WM20</v>
          </cell>
          <cell r="B1315" t="str">
            <v>9001-2211-DS-1004-05-WM</v>
          </cell>
          <cell r="C1315">
            <v>20</v>
          </cell>
          <cell r="D1315" t="str">
            <v>X1</v>
          </cell>
          <cell r="E1315" t="str">
            <v>SV</v>
          </cell>
          <cell r="F1315" t="str">
            <v>100%MT&amp;UT</v>
          </cell>
          <cell r="G1315" t="str">
            <v>L</v>
          </cell>
          <cell r="H1315">
            <v>1050</v>
          </cell>
          <cell r="I1315">
            <v>20</v>
          </cell>
          <cell r="K1315" t="str">
            <v>WPS-TNHA-S11</v>
          </cell>
          <cell r="L1315" t="str">
            <v>ST-12</v>
          </cell>
          <cell r="M1315" t="str">
            <v>TUÂN</v>
          </cell>
          <cell r="N1315">
            <v>46004</v>
          </cell>
          <cell r="O1315" t="str">
            <v>F-132</v>
          </cell>
          <cell r="P1315" t="str">
            <v>17h 14/12/2025</v>
          </cell>
          <cell r="Q1315" t="str">
            <v>BDL0018;BDL0005</v>
          </cell>
          <cell r="R1315" t="str">
            <v>THÁI</v>
          </cell>
          <cell r="S1315">
            <v>46011</v>
          </cell>
          <cell r="T1315" t="str">
            <v>V-150</v>
          </cell>
          <cell r="Y1315" t="str">
            <v>FINISH</v>
          </cell>
          <cell r="Z1315" t="str">
            <v>ACC</v>
          </cell>
          <cell r="AA1315" t="str">
            <v>ACC</v>
          </cell>
          <cell r="AB1315" t="str">
            <v>MT-2211-ST-12-0015</v>
          </cell>
          <cell r="AC1315" t="str">
            <v>ACC</v>
          </cell>
          <cell r="AD1315" t="str">
            <v>UT-2211-ST-12-0015</v>
          </cell>
          <cell r="AP1315" t="str">
            <v>23/12/2025</v>
          </cell>
        </row>
        <row r="1316">
          <cell r="A1316" t="str">
            <v>9001-2211-DS-1004-05-WM21</v>
          </cell>
          <cell r="B1316" t="str">
            <v>9001-2211-DS-1004-05-WM</v>
          </cell>
          <cell r="C1316">
            <v>21</v>
          </cell>
          <cell r="D1316" t="str">
            <v>X2</v>
          </cell>
          <cell r="E1316" t="str">
            <v>F</v>
          </cell>
          <cell r="F1316" t="str">
            <v>10%MT</v>
          </cell>
          <cell r="G1316" t="str">
            <v>D</v>
          </cell>
          <cell r="H1316">
            <v>3981.52</v>
          </cell>
          <cell r="K1316" t="str">
            <v>WPS-TNHA-S11</v>
          </cell>
          <cell r="L1316" t="str">
            <v>ST-12</v>
          </cell>
          <cell r="M1316" t="str">
            <v>TUÂN</v>
          </cell>
          <cell r="N1316">
            <v>46004</v>
          </cell>
          <cell r="O1316" t="str">
            <v>F-132</v>
          </cell>
          <cell r="P1316" t="str">
            <v>17h 14/12/2025</v>
          </cell>
          <cell r="Q1316" t="str">
            <v>BDL0018;BDL0005</v>
          </cell>
          <cell r="R1316" t="str">
            <v>THÁI</v>
          </cell>
          <cell r="S1316">
            <v>46011</v>
          </cell>
          <cell r="T1316" t="str">
            <v>V-150</v>
          </cell>
          <cell r="Y1316" t="str">
            <v>FINISH</v>
          </cell>
          <cell r="Z1316" t="str">
            <v>ACC</v>
          </cell>
          <cell r="AA1316" t="str">
            <v>ACC</v>
          </cell>
          <cell r="AB1316" t="str">
            <v>MT-2211-ST-12-0014</v>
          </cell>
          <cell r="AC1316" t="str">
            <v/>
          </cell>
          <cell r="AD1316" t="str">
            <v/>
          </cell>
        </row>
        <row r="1317">
          <cell r="A1317" t="str">
            <v>9001-2211-DS-1004-05-WM22</v>
          </cell>
          <cell r="B1317" t="str">
            <v>9001-2211-DS-1004-05-WM</v>
          </cell>
          <cell r="C1317">
            <v>22</v>
          </cell>
          <cell r="D1317" t="str">
            <v>X3</v>
          </cell>
          <cell r="E1317" t="str">
            <v>F</v>
          </cell>
          <cell r="F1317" t="str">
            <v>10%MT</v>
          </cell>
          <cell r="G1317" t="str">
            <v>D</v>
          </cell>
          <cell r="H1317">
            <v>6179.52</v>
          </cell>
          <cell r="K1317" t="str">
            <v>WPS-TNHA-S11</v>
          </cell>
          <cell r="L1317" t="str">
            <v>ST-12</v>
          </cell>
          <cell r="M1317" t="str">
            <v>TUÂN</v>
          </cell>
          <cell r="N1317">
            <v>46010</v>
          </cell>
          <cell r="O1317" t="str">
            <v>F-141</v>
          </cell>
          <cell r="P1317" t="str">
            <v>19/12/2025</v>
          </cell>
          <cell r="Q1317" t="str">
            <v>BDL0018;BDL0005</v>
          </cell>
          <cell r="R1317" t="str">
            <v>THÁI</v>
          </cell>
          <cell r="S1317">
            <v>46011</v>
          </cell>
          <cell r="T1317" t="str">
            <v>V-150</v>
          </cell>
          <cell r="Y1317" t="str">
            <v>FINISH</v>
          </cell>
          <cell r="Z1317" t="str">
            <v>ACC</v>
          </cell>
          <cell r="AA1317" t="str">
            <v>ACC</v>
          </cell>
          <cell r="AB1317" t="str">
            <v>MT-2211-ST-12-0014</v>
          </cell>
          <cell r="AC1317" t="str">
            <v/>
          </cell>
          <cell r="AD1317" t="str">
            <v/>
          </cell>
        </row>
        <row r="1318">
          <cell r="A1318" t="str">
            <v>9001-2211-DS-1004-05-WM22A</v>
          </cell>
          <cell r="B1318" t="str">
            <v>9001-2211-DS-1004-05-WM</v>
          </cell>
          <cell r="C1318" t="str">
            <v>22A</v>
          </cell>
          <cell r="E1318" t="str">
            <v>SV</v>
          </cell>
          <cell r="F1318" t="str">
            <v>100%MT&amp;UT</v>
          </cell>
          <cell r="G1318" t="str">
            <v>L</v>
          </cell>
          <cell r="H1318">
            <v>200</v>
          </cell>
          <cell r="I1318">
            <v>20</v>
          </cell>
          <cell r="K1318" t="str">
            <v>WPS-TNHA-S11</v>
          </cell>
          <cell r="L1318" t="str">
            <v>ST-12</v>
          </cell>
          <cell r="M1318" t="str">
            <v>TUÂN</v>
          </cell>
          <cell r="N1318">
            <v>46010</v>
          </cell>
          <cell r="O1318" t="str">
            <v>F-141</v>
          </cell>
          <cell r="P1318" t="str">
            <v>19/12/2025</v>
          </cell>
          <cell r="Q1318" t="str">
            <v>BDL0018;BDL0005</v>
          </cell>
          <cell r="R1318" t="str">
            <v>THÁI</v>
          </cell>
          <cell r="S1318">
            <v>46011</v>
          </cell>
          <cell r="T1318" t="str">
            <v>V-150</v>
          </cell>
          <cell r="Y1318" t="str">
            <v>FINISH</v>
          </cell>
          <cell r="Z1318" t="str">
            <v>ACC</v>
          </cell>
          <cell r="AA1318" t="str">
            <v>ACC</v>
          </cell>
          <cell r="AB1318" t="str">
            <v>MT-2211-ST-12-0015</v>
          </cell>
          <cell r="AC1318" t="str">
            <v>ACC</v>
          </cell>
          <cell r="AD1318" t="str">
            <v>UT-2211-ST-12-0015</v>
          </cell>
          <cell r="AP1318" t="str">
            <v>23/12/2025</v>
          </cell>
        </row>
        <row r="1319">
          <cell r="A1319" t="str">
            <v>9001-2211-DS-1004-05-WM23</v>
          </cell>
          <cell r="B1319" t="str">
            <v>9001-2211-DS-1004-05-WM</v>
          </cell>
          <cell r="C1319">
            <v>23</v>
          </cell>
          <cell r="D1319" t="str">
            <v>X1</v>
          </cell>
          <cell r="E1319" t="str">
            <v>SV</v>
          </cell>
          <cell r="F1319" t="str">
            <v>100%MT&amp;UT</v>
          </cell>
          <cell r="G1319" t="str">
            <v>L</v>
          </cell>
          <cell r="H1319">
            <v>1050</v>
          </cell>
          <cell r="I1319">
            <v>20</v>
          </cell>
          <cell r="K1319" t="str">
            <v>WPS-TNHA-S11</v>
          </cell>
          <cell r="L1319" t="str">
            <v>ST-12</v>
          </cell>
          <cell r="M1319" t="str">
            <v>TUÂN</v>
          </cell>
          <cell r="N1319">
            <v>46004</v>
          </cell>
          <cell r="O1319" t="str">
            <v>F-132</v>
          </cell>
          <cell r="P1319" t="str">
            <v>17h 13/12/2025</v>
          </cell>
          <cell r="Q1319" t="str">
            <v>BDL0018;DHN-SL-61</v>
          </cell>
          <cell r="R1319" t="str">
            <v>THÁI</v>
          </cell>
          <cell r="S1319">
            <v>46011</v>
          </cell>
          <cell r="T1319" t="str">
            <v>V-150</v>
          </cell>
          <cell r="Y1319" t="str">
            <v>FINISH</v>
          </cell>
          <cell r="Z1319" t="str">
            <v>ACC</v>
          </cell>
          <cell r="AA1319" t="str">
            <v>ACC</v>
          </cell>
          <cell r="AB1319" t="str">
            <v>MT-2211-ST-12-0015</v>
          </cell>
          <cell r="AC1319" t="str">
            <v>ACC</v>
          </cell>
          <cell r="AD1319" t="str">
            <v>UT-2211-ST-12-0015</v>
          </cell>
          <cell r="AP1319" t="str">
            <v>23/12/2025</v>
          </cell>
        </row>
        <row r="1320">
          <cell r="A1320" t="str">
            <v>9001-2211-DS-1004-05-WM24</v>
          </cell>
          <cell r="B1320" t="str">
            <v>9001-2211-DS-1004-05-WM</v>
          </cell>
          <cell r="C1320">
            <v>24</v>
          </cell>
          <cell r="D1320" t="str">
            <v>X2</v>
          </cell>
          <cell r="E1320" t="str">
            <v>F</v>
          </cell>
          <cell r="F1320" t="str">
            <v>10%MT</v>
          </cell>
          <cell r="G1320" t="str">
            <v>D</v>
          </cell>
          <cell r="H1320">
            <v>3981.52</v>
          </cell>
          <cell r="K1320" t="str">
            <v>WPS-TNHA-S11</v>
          </cell>
          <cell r="L1320" t="str">
            <v>ST-12</v>
          </cell>
          <cell r="M1320" t="str">
            <v>TUÂN</v>
          </cell>
          <cell r="N1320">
            <v>46004</v>
          </cell>
          <cell r="O1320" t="str">
            <v>F-132</v>
          </cell>
          <cell r="P1320" t="str">
            <v>17h 13/12/2025</v>
          </cell>
          <cell r="Q1320" t="str">
            <v>BDL0018;DHN-SL-61</v>
          </cell>
          <cell r="R1320" t="str">
            <v>THÁI</v>
          </cell>
          <cell r="S1320">
            <v>46011</v>
          </cell>
          <cell r="T1320" t="str">
            <v>V-150</v>
          </cell>
          <cell r="Y1320" t="str">
            <v>FINISH</v>
          </cell>
          <cell r="Z1320" t="str">
            <v>ACC</v>
          </cell>
          <cell r="AA1320" t="str">
            <v>ACC</v>
          </cell>
          <cell r="AB1320" t="str">
            <v>MT-2211-ST-12-0014</v>
          </cell>
          <cell r="AC1320" t="str">
            <v/>
          </cell>
          <cell r="AD1320" t="str">
            <v/>
          </cell>
        </row>
        <row r="1321">
          <cell r="A1321" t="str">
            <v>9001-2211-DS-1004-05-WM25</v>
          </cell>
          <cell r="B1321" t="str">
            <v>9001-2211-DS-1004-05-WM</v>
          </cell>
          <cell r="C1321">
            <v>25</v>
          </cell>
          <cell r="D1321" t="str">
            <v>X1</v>
          </cell>
          <cell r="E1321" t="str">
            <v>SV</v>
          </cell>
          <cell r="F1321" t="str">
            <v>100%MT&amp;UT</v>
          </cell>
          <cell r="G1321" t="str">
            <v>L</v>
          </cell>
          <cell r="H1321">
            <v>800</v>
          </cell>
          <cell r="I1321">
            <v>20</v>
          </cell>
          <cell r="K1321" t="str">
            <v>WPS-TNHA-S11</v>
          </cell>
          <cell r="L1321" t="str">
            <v>ST-12</v>
          </cell>
          <cell r="M1321" t="str">
            <v>TUÂN</v>
          </cell>
          <cell r="N1321">
            <v>46004</v>
          </cell>
          <cell r="O1321" t="str">
            <v>F-132</v>
          </cell>
          <cell r="P1321" t="str">
            <v>13h30 14/12/2025</v>
          </cell>
          <cell r="Q1321" t="str">
            <v>BDL0018;BDL0005</v>
          </cell>
          <cell r="R1321" t="str">
            <v>THÁI</v>
          </cell>
          <cell r="S1321">
            <v>46011</v>
          </cell>
          <cell r="T1321" t="str">
            <v>V-150</v>
          </cell>
          <cell r="Y1321" t="str">
            <v>FINISH</v>
          </cell>
          <cell r="Z1321" t="str">
            <v>ACC</v>
          </cell>
          <cell r="AA1321" t="str">
            <v>ACC</v>
          </cell>
          <cell r="AB1321" t="str">
            <v>MT-2211-ST-12-0015</v>
          </cell>
          <cell r="AC1321" t="str">
            <v>ACC</v>
          </cell>
          <cell r="AD1321" t="str">
            <v>UT-2211-ST-12-0015</v>
          </cell>
          <cell r="AP1321" t="str">
            <v>23/12/2025</v>
          </cell>
        </row>
        <row r="1322">
          <cell r="A1322" t="str">
            <v>9001-2211-DS-1004-05-WM26</v>
          </cell>
          <cell r="B1322" t="str">
            <v>9001-2211-DS-1004-05-WM</v>
          </cell>
          <cell r="C1322">
            <v>26</v>
          </cell>
          <cell r="D1322" t="str">
            <v>X2</v>
          </cell>
          <cell r="E1322" t="str">
            <v>F</v>
          </cell>
          <cell r="F1322" t="str">
            <v>10%MT</v>
          </cell>
          <cell r="G1322" t="str">
            <v>D</v>
          </cell>
          <cell r="H1322">
            <v>6179.52</v>
          </cell>
          <cell r="K1322" t="str">
            <v>WPS-TNHA-S11</v>
          </cell>
          <cell r="L1322" t="str">
            <v>ST-12</v>
          </cell>
          <cell r="M1322" t="str">
            <v>TUÂN</v>
          </cell>
          <cell r="N1322">
            <v>46004</v>
          </cell>
          <cell r="O1322" t="str">
            <v>F-132</v>
          </cell>
          <cell r="P1322" t="str">
            <v>13h30 14/12/2025</v>
          </cell>
          <cell r="Q1322" t="str">
            <v>BDL0018;BDL0005</v>
          </cell>
          <cell r="R1322" t="str">
            <v>THÁI</v>
          </cell>
          <cell r="S1322">
            <v>46011</v>
          </cell>
          <cell r="T1322" t="str">
            <v>V-150</v>
          </cell>
          <cell r="Y1322" t="str">
            <v>FINISH</v>
          </cell>
          <cell r="Z1322" t="str">
            <v>ACC</v>
          </cell>
          <cell r="AA1322" t="str">
            <v>ACC</v>
          </cell>
          <cell r="AB1322" t="str">
            <v>MT-2211-ST-12-0014</v>
          </cell>
          <cell r="AC1322" t="str">
            <v/>
          </cell>
          <cell r="AD1322" t="str">
            <v/>
          </cell>
        </row>
        <row r="1323">
          <cell r="A1323" t="str">
            <v>9001-2211-DS-1004-05-WM27</v>
          </cell>
          <cell r="B1323" t="str">
            <v>9001-2211-DS-1004-05-WM</v>
          </cell>
          <cell r="C1323">
            <v>27</v>
          </cell>
          <cell r="D1323" t="str">
            <v>X1</v>
          </cell>
          <cell r="E1323" t="str">
            <v>SV</v>
          </cell>
          <cell r="F1323" t="str">
            <v>100%MT&amp;UT</v>
          </cell>
          <cell r="G1323" t="str">
            <v>L</v>
          </cell>
          <cell r="H1323">
            <v>800</v>
          </cell>
          <cell r="I1323">
            <v>20</v>
          </cell>
          <cell r="K1323" t="str">
            <v>WPS-TNHA-S11</v>
          </cell>
          <cell r="L1323" t="str">
            <v>ST-12</v>
          </cell>
          <cell r="M1323" t="str">
            <v>TUÂN</v>
          </cell>
          <cell r="N1323">
            <v>46004</v>
          </cell>
          <cell r="O1323" t="str">
            <v>F-132</v>
          </cell>
          <cell r="P1323" t="str">
            <v>14h 15/12/2025</v>
          </cell>
          <cell r="Q1323" t="str">
            <v>BDL0018;BDL0005</v>
          </cell>
          <cell r="R1323" t="str">
            <v>THÁI</v>
          </cell>
          <cell r="S1323">
            <v>46011</v>
          </cell>
          <cell r="T1323" t="str">
            <v>V-150</v>
          </cell>
          <cell r="Y1323" t="str">
            <v>FINISH</v>
          </cell>
          <cell r="Z1323" t="str">
            <v>ACC</v>
          </cell>
          <cell r="AA1323" t="str">
            <v>ACC</v>
          </cell>
          <cell r="AB1323" t="str">
            <v>MT-2211-ST-12-0015</v>
          </cell>
          <cell r="AC1323" t="str">
            <v>ACC</v>
          </cell>
          <cell r="AD1323" t="str">
            <v>UT-2211-ST-12-0015</v>
          </cell>
          <cell r="AP1323" t="str">
            <v>23/12/2025</v>
          </cell>
        </row>
        <row r="1324">
          <cell r="A1324" t="str">
            <v>9001-2211-DS-1004-05-WM28</v>
          </cell>
          <cell r="B1324" t="str">
            <v>9001-2211-DS-1004-05-WM</v>
          </cell>
          <cell r="C1324">
            <v>28</v>
          </cell>
          <cell r="D1324" t="str">
            <v>X2</v>
          </cell>
          <cell r="E1324" t="str">
            <v>F</v>
          </cell>
          <cell r="F1324" t="str">
            <v>10%MT</v>
          </cell>
          <cell r="G1324" t="str">
            <v>D</v>
          </cell>
          <cell r="H1324">
            <v>6179.52</v>
          </cell>
          <cell r="K1324" t="str">
            <v>WPS-TNHA-S11</v>
          </cell>
          <cell r="L1324" t="str">
            <v>ST-12</v>
          </cell>
          <cell r="M1324" t="str">
            <v>TUÂN</v>
          </cell>
          <cell r="N1324">
            <v>46004</v>
          </cell>
          <cell r="O1324" t="str">
            <v>F-132</v>
          </cell>
          <cell r="P1324" t="str">
            <v>14h 15/12/2025</v>
          </cell>
          <cell r="Q1324" t="str">
            <v>BDL0018;BDL0005</v>
          </cell>
          <cell r="R1324" t="str">
            <v>THÁI</v>
          </cell>
          <cell r="S1324">
            <v>46011</v>
          </cell>
          <cell r="T1324" t="str">
            <v>V-150</v>
          </cell>
          <cell r="Y1324" t="str">
            <v>FINISH</v>
          </cell>
          <cell r="Z1324" t="str">
            <v>ACC</v>
          </cell>
          <cell r="AA1324" t="str">
            <v>ACC</v>
          </cell>
          <cell r="AB1324" t="str">
            <v>MT-2211-ST-12-0014</v>
          </cell>
          <cell r="AC1324" t="str">
            <v/>
          </cell>
          <cell r="AD1324" t="str">
            <v/>
          </cell>
        </row>
        <row r="1325">
          <cell r="A1325" t="str">
            <v>9001-2211-DS-1004-05-WM29</v>
          </cell>
          <cell r="B1325" t="str">
            <v>9001-2211-DS-1004-05-WM</v>
          </cell>
          <cell r="C1325">
            <v>29</v>
          </cell>
          <cell r="D1325" t="str">
            <v>X1</v>
          </cell>
          <cell r="E1325" t="str">
            <v>SV</v>
          </cell>
          <cell r="F1325" t="str">
            <v>100%MT&amp;UT</v>
          </cell>
          <cell r="G1325" t="str">
            <v>L</v>
          </cell>
          <cell r="H1325">
            <v>800</v>
          </cell>
          <cell r="I1325">
            <v>20</v>
          </cell>
          <cell r="K1325" t="str">
            <v>WPS-TNHA-S11</v>
          </cell>
          <cell r="L1325" t="str">
            <v>ST-12</v>
          </cell>
          <cell r="Y1325" t="str">
            <v>NOT YET FITUP</v>
          </cell>
        </row>
        <row r="1326">
          <cell r="A1326" t="str">
            <v>9001-2211-DS-1004-05-WM30</v>
          </cell>
          <cell r="B1326" t="str">
            <v>9001-2211-DS-1004-05-WM</v>
          </cell>
          <cell r="C1326">
            <v>30</v>
          </cell>
          <cell r="D1326" t="str">
            <v>X2</v>
          </cell>
          <cell r="E1326" t="str">
            <v>F</v>
          </cell>
          <cell r="F1326" t="str">
            <v>10%MT</v>
          </cell>
          <cell r="G1326" t="str">
            <v>D</v>
          </cell>
          <cell r="H1326">
            <v>6179.52</v>
          </cell>
          <cell r="K1326" t="str">
            <v>WPS-TNHA-S11</v>
          </cell>
          <cell r="L1326" t="str">
            <v>ST-12</v>
          </cell>
          <cell r="Y1326" t="str">
            <v>NOT YET FITUP</v>
          </cell>
        </row>
        <row r="1327">
          <cell r="A1327" t="str">
            <v>9001-2211-DS-1004-05-WM31</v>
          </cell>
          <cell r="B1327" t="str">
            <v>9001-2211-DS-1004-05-WM</v>
          </cell>
          <cell r="C1327">
            <v>31</v>
          </cell>
          <cell r="D1327" t="str">
            <v>X1</v>
          </cell>
          <cell r="E1327" t="str">
            <v>SV</v>
          </cell>
          <cell r="F1327" t="str">
            <v>100%MT&amp;UT</v>
          </cell>
          <cell r="G1327" t="str">
            <v>L</v>
          </cell>
          <cell r="H1327">
            <v>800</v>
          </cell>
          <cell r="I1327">
            <v>20</v>
          </cell>
          <cell r="K1327" t="str">
            <v>WPS-TNHA-S11</v>
          </cell>
          <cell r="L1327" t="str">
            <v>ST-12</v>
          </cell>
          <cell r="M1327" t="str">
            <v>TUÂN</v>
          </cell>
          <cell r="N1327">
            <v>46008</v>
          </cell>
          <cell r="O1327" t="str">
            <v>F-137</v>
          </cell>
          <cell r="Y1327" t="str">
            <v>NOT YET VISUAL</v>
          </cell>
        </row>
        <row r="1328">
          <cell r="A1328" t="str">
            <v>9001-2211-DS-1004-05-WM32</v>
          </cell>
          <cell r="B1328" t="str">
            <v>9001-2211-DS-1004-05-WM</v>
          </cell>
          <cell r="C1328">
            <v>32</v>
          </cell>
          <cell r="D1328" t="str">
            <v>X2</v>
          </cell>
          <cell r="E1328" t="str">
            <v>F</v>
          </cell>
          <cell r="F1328" t="str">
            <v>10%MT</v>
          </cell>
          <cell r="G1328" t="str">
            <v>D</v>
          </cell>
          <cell r="H1328">
            <v>6179.52</v>
          </cell>
          <cell r="K1328" t="str">
            <v>WPS-TNHA-S11</v>
          </cell>
          <cell r="L1328" t="str">
            <v>ST-12</v>
          </cell>
          <cell r="M1328" t="str">
            <v>TUÂN</v>
          </cell>
          <cell r="N1328">
            <v>46008</v>
          </cell>
          <cell r="O1328" t="str">
            <v>F-137</v>
          </cell>
          <cell r="Y1328" t="str">
            <v>NOT YET VISUAL</v>
          </cell>
        </row>
        <row r="1329">
          <cell r="A1329" t="str">
            <v>9001-2211-DS-1004-05-WM33</v>
          </cell>
          <cell r="B1329" t="str">
            <v>9001-2211-DS-1004-05-WM</v>
          </cell>
          <cell r="C1329">
            <v>33</v>
          </cell>
          <cell r="D1329" t="str">
            <v>X1</v>
          </cell>
          <cell r="E1329" t="str">
            <v>SV</v>
          </cell>
          <cell r="F1329" t="str">
            <v>100%MT&amp;UT</v>
          </cell>
          <cell r="G1329" t="str">
            <v>L</v>
          </cell>
          <cell r="H1329">
            <v>800</v>
          </cell>
          <cell r="I1329">
            <v>20</v>
          </cell>
          <cell r="K1329" t="str">
            <v>WPS-TNHA-S11</v>
          </cell>
          <cell r="L1329" t="str">
            <v>ST-12</v>
          </cell>
          <cell r="M1329" t="str">
            <v>TUÂN</v>
          </cell>
          <cell r="N1329">
            <v>46008</v>
          </cell>
          <cell r="O1329" t="str">
            <v>F-137</v>
          </cell>
          <cell r="Y1329" t="str">
            <v>NOT YET VISUAL</v>
          </cell>
        </row>
        <row r="1330">
          <cell r="A1330" t="str">
            <v>9001-2211-DS-1004-05-WM34</v>
          </cell>
          <cell r="B1330" t="str">
            <v>9001-2211-DS-1004-05-WM</v>
          </cell>
          <cell r="C1330">
            <v>34</v>
          </cell>
          <cell r="D1330" t="str">
            <v>X2</v>
          </cell>
          <cell r="E1330" t="str">
            <v>F</v>
          </cell>
          <cell r="F1330" t="str">
            <v>10%MT</v>
          </cell>
          <cell r="G1330" t="str">
            <v>D</v>
          </cell>
          <cell r="H1330">
            <v>6179.52</v>
          </cell>
          <cell r="K1330" t="str">
            <v>WPS-TNHA-S11</v>
          </cell>
          <cell r="L1330" t="str">
            <v>ST-12</v>
          </cell>
          <cell r="M1330" t="str">
            <v>TUÂN</v>
          </cell>
          <cell r="N1330">
            <v>46008</v>
          </cell>
          <cell r="O1330" t="str">
            <v>F-137</v>
          </cell>
          <cell r="Y1330" t="str">
            <v>NOT YET VISUAL</v>
          </cell>
        </row>
        <row r="1331">
          <cell r="A1331" t="str">
            <v>9001-2211-DS-1004-05-WM35</v>
          </cell>
          <cell r="B1331" t="str">
            <v>9001-2211-DS-1004-05-WM</v>
          </cell>
          <cell r="C1331">
            <v>35</v>
          </cell>
          <cell r="D1331" t="str">
            <v>X1</v>
          </cell>
          <cell r="E1331" t="str">
            <v>SV</v>
          </cell>
          <cell r="F1331" t="str">
            <v>100%MT&amp;UT</v>
          </cell>
          <cell r="G1331" t="str">
            <v>L</v>
          </cell>
          <cell r="H1331">
            <v>800</v>
          </cell>
          <cell r="I1331">
            <v>20</v>
          </cell>
          <cell r="K1331" t="str">
            <v>WPS-TNHA-S11</v>
          </cell>
          <cell r="L1331" t="str">
            <v>ST-12</v>
          </cell>
          <cell r="M1331" t="str">
            <v>TUÂN</v>
          </cell>
          <cell r="N1331">
            <v>46008</v>
          </cell>
          <cell r="O1331" t="str">
            <v>F-137</v>
          </cell>
          <cell r="Y1331" t="str">
            <v>NOT YET VISUAL</v>
          </cell>
        </row>
        <row r="1332">
          <cell r="A1332" t="str">
            <v>9001-2211-DS-1004-05-WM36</v>
          </cell>
          <cell r="B1332" t="str">
            <v>9001-2211-DS-1004-05-WM</v>
          </cell>
          <cell r="C1332">
            <v>36</v>
          </cell>
          <cell r="D1332" t="str">
            <v>X2</v>
          </cell>
          <cell r="E1332" t="str">
            <v>F</v>
          </cell>
          <cell r="F1332" t="str">
            <v>10%MT</v>
          </cell>
          <cell r="G1332" t="str">
            <v>D</v>
          </cell>
          <cell r="H1332">
            <v>6179.52</v>
          </cell>
          <cell r="K1332" t="str">
            <v>WPS-TNHA-S11</v>
          </cell>
          <cell r="L1332" t="str">
            <v>ST-12</v>
          </cell>
          <cell r="M1332" t="str">
            <v>TUÂN</v>
          </cell>
          <cell r="N1332">
            <v>46008</v>
          </cell>
          <cell r="O1332" t="str">
            <v>F-137</v>
          </cell>
          <cell r="Y1332" t="str">
            <v>NOT YET VISUAL</v>
          </cell>
        </row>
        <row r="1333">
          <cell r="A1333" t="str">
            <v>9001-2211-DS-1004-05-WM37</v>
          </cell>
          <cell r="B1333" t="str">
            <v>9001-2211-DS-1004-05-WM</v>
          </cell>
          <cell r="C1333">
            <v>37</v>
          </cell>
          <cell r="D1333" t="str">
            <v>X1</v>
          </cell>
          <cell r="E1333" t="str">
            <v>SV</v>
          </cell>
          <cell r="F1333" t="str">
            <v>100%MT&amp;UT</v>
          </cell>
          <cell r="G1333" t="str">
            <v>L</v>
          </cell>
          <cell r="H1333">
            <v>800</v>
          </cell>
          <cell r="I1333">
            <v>20</v>
          </cell>
          <cell r="K1333" t="str">
            <v>WPS-TNHA-S11</v>
          </cell>
          <cell r="L1333" t="str">
            <v>ST-12</v>
          </cell>
          <cell r="M1333" t="str">
            <v>TUÂN</v>
          </cell>
          <cell r="N1333">
            <v>46005</v>
          </cell>
          <cell r="O1333" t="str">
            <v>F-133</v>
          </cell>
          <cell r="Y1333" t="str">
            <v>NOT YET VISUAL</v>
          </cell>
        </row>
        <row r="1334">
          <cell r="A1334" t="str">
            <v>9001-2211-DS-1004-05-WM38</v>
          </cell>
          <cell r="B1334" t="str">
            <v>9001-2211-DS-1004-05-WM</v>
          </cell>
          <cell r="C1334">
            <v>38</v>
          </cell>
          <cell r="D1334" t="str">
            <v>X2</v>
          </cell>
          <cell r="E1334" t="str">
            <v>F</v>
          </cell>
          <cell r="F1334" t="str">
            <v>10%MT</v>
          </cell>
          <cell r="G1334" t="str">
            <v>D</v>
          </cell>
          <cell r="H1334">
            <v>6179.52</v>
          </cell>
          <cell r="K1334" t="str">
            <v>WPS-TNHA-S11</v>
          </cell>
          <cell r="L1334" t="str">
            <v>ST-12</v>
          </cell>
          <cell r="M1334" t="str">
            <v>TUÂN</v>
          </cell>
          <cell r="N1334">
            <v>46005</v>
          </cell>
          <cell r="O1334" t="str">
            <v>F-133</v>
          </cell>
          <cell r="Y1334" t="str">
            <v>NOT YET VISUAL</v>
          </cell>
        </row>
        <row r="1335">
          <cell r="A1335" t="str">
            <v>9001-2211-DS-1004-05-WM39</v>
          </cell>
          <cell r="B1335" t="str">
            <v>9001-2211-DS-1004-05-WM</v>
          </cell>
          <cell r="C1335">
            <v>39</v>
          </cell>
          <cell r="D1335" t="str">
            <v>X1</v>
          </cell>
          <cell r="E1335" t="str">
            <v>SV</v>
          </cell>
          <cell r="F1335" t="str">
            <v>100%MT&amp;UT</v>
          </cell>
          <cell r="G1335" t="str">
            <v>L</v>
          </cell>
          <cell r="H1335">
            <v>800</v>
          </cell>
          <cell r="I1335">
            <v>20</v>
          </cell>
          <cell r="K1335" t="str">
            <v>WPS-TNHA-S11</v>
          </cell>
          <cell r="L1335" t="str">
            <v>ST-12</v>
          </cell>
          <cell r="M1335" t="str">
            <v>TUÂN</v>
          </cell>
          <cell r="N1335">
            <v>46005</v>
          </cell>
          <cell r="O1335" t="str">
            <v>F-133</v>
          </cell>
          <cell r="Y1335" t="str">
            <v>NOT YET VISUAL</v>
          </cell>
        </row>
        <row r="1336">
          <cell r="A1336" t="str">
            <v>9001-2211-DS-1004-05-WM40</v>
          </cell>
          <cell r="B1336" t="str">
            <v>9001-2211-DS-1004-05-WM</v>
          </cell>
          <cell r="C1336">
            <v>40</v>
          </cell>
          <cell r="D1336" t="str">
            <v>X2</v>
          </cell>
          <cell r="E1336" t="str">
            <v>F</v>
          </cell>
          <cell r="F1336" t="str">
            <v>10%MT</v>
          </cell>
          <cell r="G1336" t="str">
            <v>D</v>
          </cell>
          <cell r="H1336">
            <v>6179.52</v>
          </cell>
          <cell r="K1336" t="str">
            <v>WPS-TNHA-S11</v>
          </cell>
          <cell r="L1336" t="str">
            <v>ST-12</v>
          </cell>
          <cell r="M1336" t="str">
            <v>TUÂN</v>
          </cell>
          <cell r="N1336">
            <v>46005</v>
          </cell>
          <cell r="O1336" t="str">
            <v>F-133</v>
          </cell>
          <cell r="Y1336" t="str">
            <v>NOT YET VISUAL</v>
          </cell>
        </row>
        <row r="1337">
          <cell r="A1337" t="str">
            <v>9001-2211-DS-1004-05-WM41</v>
          </cell>
          <cell r="B1337" t="str">
            <v>9001-2211-DS-1004-05-WM</v>
          </cell>
          <cell r="C1337">
            <v>41</v>
          </cell>
          <cell r="D1337" t="str">
            <v>X1</v>
          </cell>
          <cell r="E1337" t="str">
            <v>SV</v>
          </cell>
          <cell r="F1337" t="str">
            <v>100%MT&amp;UT</v>
          </cell>
          <cell r="G1337" t="str">
            <v>L</v>
          </cell>
          <cell r="H1337">
            <v>800</v>
          </cell>
          <cell r="I1337">
            <v>20</v>
          </cell>
          <cell r="K1337" t="str">
            <v>WPS-TNHA-S11</v>
          </cell>
          <cell r="L1337" t="str">
            <v>ST-12</v>
          </cell>
          <cell r="M1337" t="str">
            <v>TUÂN</v>
          </cell>
          <cell r="N1337">
            <v>46005</v>
          </cell>
          <cell r="O1337" t="str">
            <v>F-133</v>
          </cell>
          <cell r="Y1337" t="str">
            <v>NOT YET VISUAL</v>
          </cell>
        </row>
        <row r="1338">
          <cell r="A1338" t="str">
            <v>9001-2211-DS-1004-05-WM42</v>
          </cell>
          <cell r="B1338" t="str">
            <v>9001-2211-DS-1004-05-WM</v>
          </cell>
          <cell r="C1338">
            <v>42</v>
          </cell>
          <cell r="D1338" t="str">
            <v>X2</v>
          </cell>
          <cell r="E1338" t="str">
            <v>F</v>
          </cell>
          <cell r="F1338" t="str">
            <v>10%MT</v>
          </cell>
          <cell r="G1338" t="str">
            <v>D</v>
          </cell>
          <cell r="H1338">
            <v>6179.52</v>
          </cell>
          <cell r="K1338" t="str">
            <v>WPS-TNHA-S11</v>
          </cell>
          <cell r="L1338" t="str">
            <v>ST-12</v>
          </cell>
          <cell r="M1338" t="str">
            <v>TUÂN</v>
          </cell>
          <cell r="N1338">
            <v>46005</v>
          </cell>
          <cell r="O1338" t="str">
            <v>F-133</v>
          </cell>
          <cell r="Y1338" t="str">
            <v>NOT YET VISUAL</v>
          </cell>
        </row>
        <row r="1339">
          <cell r="A1339" t="str">
            <v>9001-2211-DS-1004-05-WM43</v>
          </cell>
          <cell r="B1339" t="str">
            <v>9001-2211-DS-1004-05-WM</v>
          </cell>
          <cell r="C1339">
            <v>43</v>
          </cell>
          <cell r="D1339" t="str">
            <v>X1</v>
          </cell>
          <cell r="E1339" t="str">
            <v>SV</v>
          </cell>
          <cell r="F1339" t="str">
            <v>100%MT&amp;UT</v>
          </cell>
          <cell r="G1339" t="str">
            <v>L</v>
          </cell>
          <cell r="H1339">
            <v>1050</v>
          </cell>
          <cell r="I1339">
            <v>20</v>
          </cell>
          <cell r="K1339" t="str">
            <v>WPS-TNHA-S11</v>
          </cell>
          <cell r="L1339" t="str">
            <v>ST-12</v>
          </cell>
          <cell r="M1339" t="str">
            <v>TUÂN</v>
          </cell>
          <cell r="N1339">
            <v>46005</v>
          </cell>
          <cell r="O1339" t="str">
            <v>F-133</v>
          </cell>
          <cell r="Y1339" t="str">
            <v>NOT YET VISUAL</v>
          </cell>
        </row>
        <row r="1340">
          <cell r="A1340" t="str">
            <v>9001-2211-DS-1004-05-WM44</v>
          </cell>
          <cell r="B1340" t="str">
            <v>9001-2211-DS-1004-05-WM</v>
          </cell>
          <cell r="C1340">
            <v>44</v>
          </cell>
          <cell r="D1340" t="str">
            <v>X2</v>
          </cell>
          <cell r="E1340" t="str">
            <v>F</v>
          </cell>
          <cell r="F1340" t="str">
            <v>10%MT</v>
          </cell>
          <cell r="G1340" t="str">
            <v>D</v>
          </cell>
          <cell r="H1340">
            <v>3981.52</v>
          </cell>
          <cell r="K1340" t="str">
            <v>WPS-TNHA-S11</v>
          </cell>
          <cell r="L1340" t="str">
            <v>ST-12</v>
          </cell>
          <cell r="M1340" t="str">
            <v>TUÂN</v>
          </cell>
          <cell r="N1340">
            <v>46005</v>
          </cell>
          <cell r="O1340" t="str">
            <v>F-133</v>
          </cell>
          <cell r="Y1340" t="str">
            <v>NOT YET VISUAL</v>
          </cell>
        </row>
        <row r="1341">
          <cell r="A1341" t="str">
            <v>9001-2211-DS-1004-05-WM45</v>
          </cell>
          <cell r="B1341" t="str">
            <v>9001-2211-DS-1004-05-WM</v>
          </cell>
          <cell r="C1341">
            <v>45</v>
          </cell>
          <cell r="D1341" t="str">
            <v>X3</v>
          </cell>
          <cell r="E1341" t="str">
            <v>F</v>
          </cell>
          <cell r="F1341" t="str">
            <v>10%MT</v>
          </cell>
          <cell r="G1341" t="str">
            <v>D</v>
          </cell>
          <cell r="H1341">
            <v>6179.52</v>
          </cell>
          <cell r="K1341" t="str">
            <v>WPS-TNHA-S11</v>
          </cell>
          <cell r="L1341" t="str">
            <v>ST-12</v>
          </cell>
          <cell r="M1341" t="str">
            <v>TUÂN</v>
          </cell>
          <cell r="N1341">
            <v>46010</v>
          </cell>
          <cell r="O1341" t="str">
            <v>F-141</v>
          </cell>
          <cell r="Y1341" t="str">
            <v>NOT YET VISUAL</v>
          </cell>
        </row>
        <row r="1342">
          <cell r="A1342" t="str">
            <v>9001-2211-DS-1004-05-WM45A</v>
          </cell>
          <cell r="B1342" t="str">
            <v>9001-2211-DS-1004-05-WM</v>
          </cell>
          <cell r="C1342" t="str">
            <v>45A</v>
          </cell>
          <cell r="E1342" t="str">
            <v>SV</v>
          </cell>
          <cell r="F1342" t="str">
            <v>100%MT&amp;UT</v>
          </cell>
          <cell r="G1342" t="str">
            <v>L</v>
          </cell>
          <cell r="H1342">
            <v>200</v>
          </cell>
          <cell r="I1342">
            <v>20</v>
          </cell>
          <cell r="K1342" t="str">
            <v>WPS-TNHA-S11</v>
          </cell>
          <cell r="L1342" t="str">
            <v>ST-12</v>
          </cell>
          <cell r="M1342" t="str">
            <v>TUÂN</v>
          </cell>
          <cell r="N1342">
            <v>46010</v>
          </cell>
          <cell r="O1342" t="str">
            <v>F-141</v>
          </cell>
          <cell r="Y1342" t="str">
            <v>NOT YET VISUAL</v>
          </cell>
        </row>
        <row r="1343">
          <cell r="A1343" t="str">
            <v>9001-2211-DS-1004-05-WM46</v>
          </cell>
          <cell r="B1343" t="str">
            <v>9001-2211-DS-1004-05-WM</v>
          </cell>
          <cell r="C1343">
            <v>46</v>
          </cell>
          <cell r="D1343" t="str">
            <v>X1</v>
          </cell>
          <cell r="E1343" t="str">
            <v>SV</v>
          </cell>
          <cell r="F1343" t="str">
            <v>100%MT&amp;UT</v>
          </cell>
          <cell r="G1343" t="str">
            <v>L</v>
          </cell>
          <cell r="H1343">
            <v>1050</v>
          </cell>
          <cell r="I1343">
            <v>20</v>
          </cell>
          <cell r="K1343" t="str">
            <v>WPS-TNHA-S11</v>
          </cell>
          <cell r="L1343" t="str">
            <v>ST-12</v>
          </cell>
          <cell r="M1343" t="str">
            <v>TUÂN</v>
          </cell>
          <cell r="N1343">
            <v>46005</v>
          </cell>
          <cell r="O1343" t="str">
            <v>F-133</v>
          </cell>
          <cell r="Y1343" t="str">
            <v>NOT YET VISUAL</v>
          </cell>
        </row>
        <row r="1344">
          <cell r="A1344" t="str">
            <v>9001-2211-DS-1004-05-WM47</v>
          </cell>
          <cell r="B1344" t="str">
            <v>9001-2211-DS-1004-05-WM</v>
          </cell>
          <cell r="C1344">
            <v>47</v>
          </cell>
          <cell r="D1344" t="str">
            <v>X2</v>
          </cell>
          <cell r="E1344" t="str">
            <v>F</v>
          </cell>
          <cell r="F1344" t="str">
            <v>10%MT</v>
          </cell>
          <cell r="G1344" t="str">
            <v>D</v>
          </cell>
          <cell r="H1344">
            <v>3981.52</v>
          </cell>
          <cell r="K1344" t="str">
            <v>WPS-TNHA-S11</v>
          </cell>
          <cell r="L1344" t="str">
            <v>ST-12</v>
          </cell>
          <cell r="M1344" t="str">
            <v>TUÂN</v>
          </cell>
          <cell r="N1344">
            <v>46005</v>
          </cell>
          <cell r="O1344" t="str">
            <v>F-133</v>
          </cell>
          <cell r="Y1344" t="str">
            <v>NOT YET VISUAL</v>
          </cell>
        </row>
        <row r="1345">
          <cell r="A1345" t="str">
            <v>9001-2211-DS-1004-05-WM48</v>
          </cell>
          <cell r="B1345" t="str">
            <v>9001-2211-DS-1004-05-WM</v>
          </cell>
          <cell r="C1345">
            <v>48</v>
          </cell>
          <cell r="D1345" t="str">
            <v>X3</v>
          </cell>
          <cell r="E1345" t="str">
            <v>F</v>
          </cell>
          <cell r="F1345" t="str">
            <v>10%MT</v>
          </cell>
          <cell r="G1345" t="str">
            <v>D</v>
          </cell>
          <cell r="H1345">
            <v>6179.52</v>
          </cell>
          <cell r="K1345" t="str">
            <v>WPS-TNHA-S11</v>
          </cell>
          <cell r="L1345" t="str">
            <v>ST-12</v>
          </cell>
          <cell r="M1345" t="str">
            <v>TUÂN</v>
          </cell>
          <cell r="N1345">
            <v>46011</v>
          </cell>
          <cell r="O1345" t="str">
            <v>F-143</v>
          </cell>
          <cell r="Y1345" t="str">
            <v>NOT YET VISUAL</v>
          </cell>
        </row>
        <row r="1346">
          <cell r="A1346" t="str">
            <v>9001-2211-DS-1004-05-WM48A</v>
          </cell>
          <cell r="B1346" t="str">
            <v>9001-2211-DS-1004-05-WM</v>
          </cell>
          <cell r="C1346" t="str">
            <v>48A</v>
          </cell>
          <cell r="E1346" t="str">
            <v>SV</v>
          </cell>
          <cell r="F1346" t="str">
            <v>100%MT&amp;UT</v>
          </cell>
          <cell r="G1346" t="str">
            <v>L</v>
          </cell>
          <cell r="H1346">
            <v>200</v>
          </cell>
          <cell r="I1346">
            <v>20</v>
          </cell>
          <cell r="K1346" t="str">
            <v>WPS-TNHA-S11</v>
          </cell>
          <cell r="L1346" t="str">
            <v>ST-12</v>
          </cell>
          <cell r="M1346" t="str">
            <v>TUÂN</v>
          </cell>
          <cell r="N1346">
            <v>46011</v>
          </cell>
          <cell r="O1346" t="str">
            <v>F-143</v>
          </cell>
          <cell r="Y1346" t="str">
            <v>NOT YET VISUAL</v>
          </cell>
        </row>
        <row r="1347">
          <cell r="A1347" t="str">
            <v>9001-2211-DS-1004-05-WM49</v>
          </cell>
          <cell r="B1347" t="str">
            <v>9001-2211-DS-1004-05-WM</v>
          </cell>
          <cell r="C1347">
            <v>49</v>
          </cell>
          <cell r="D1347" t="str">
            <v>X1</v>
          </cell>
          <cell r="E1347" t="str">
            <v>SV</v>
          </cell>
          <cell r="F1347" t="str">
            <v>100%MT&amp;UT</v>
          </cell>
          <cell r="G1347" t="str">
            <v>L</v>
          </cell>
          <cell r="H1347">
            <v>800</v>
          </cell>
          <cell r="I1347">
            <v>20</v>
          </cell>
          <cell r="K1347" t="str">
            <v>WPS-TNHA-S11</v>
          </cell>
          <cell r="L1347" t="str">
            <v>ST-12</v>
          </cell>
          <cell r="Y1347" t="str">
            <v>NOT YET FITUP</v>
          </cell>
        </row>
        <row r="1348">
          <cell r="A1348" t="str">
            <v>9001-2211-DS-1004-05-WM50</v>
          </cell>
          <cell r="B1348" t="str">
            <v>9001-2211-DS-1004-05-WM</v>
          </cell>
          <cell r="C1348">
            <v>50</v>
          </cell>
          <cell r="D1348" t="str">
            <v>X2</v>
          </cell>
          <cell r="E1348" t="str">
            <v>F</v>
          </cell>
          <cell r="F1348" t="str">
            <v>10%MT</v>
          </cell>
          <cell r="G1348" t="str">
            <v>D</v>
          </cell>
          <cell r="H1348">
            <v>6179.52</v>
          </cell>
          <cell r="K1348" t="str">
            <v>WPS-TNHA-S11</v>
          </cell>
          <cell r="L1348" t="str">
            <v>ST-12</v>
          </cell>
          <cell r="Y1348" t="str">
            <v>NOT YET FITUP</v>
          </cell>
        </row>
        <row r="1349">
          <cell r="A1349" t="str">
            <v>9001-2211-DS-1004-05-WM51</v>
          </cell>
          <cell r="B1349" t="str">
            <v>9001-2211-DS-1004-05-WM</v>
          </cell>
          <cell r="C1349">
            <v>51</v>
          </cell>
          <cell r="D1349" t="str">
            <v>X1</v>
          </cell>
          <cell r="E1349" t="str">
            <v>SV</v>
          </cell>
          <cell r="F1349" t="str">
            <v>100%MT&amp;UT</v>
          </cell>
          <cell r="G1349" t="str">
            <v>L</v>
          </cell>
          <cell r="H1349">
            <v>1050</v>
          </cell>
          <cell r="I1349">
            <v>20</v>
          </cell>
          <cell r="K1349" t="str">
            <v>WPS-TNHA-S11</v>
          </cell>
          <cell r="L1349" t="str">
            <v>ST-12</v>
          </cell>
          <cell r="Y1349" t="str">
            <v>NOT YET FITUP</v>
          </cell>
        </row>
        <row r="1350">
          <cell r="A1350" t="str">
            <v>9001-2211-DS-1004-05-WM52</v>
          </cell>
          <cell r="B1350" t="str">
            <v>9001-2211-DS-1004-05-WM</v>
          </cell>
          <cell r="C1350">
            <v>52</v>
          </cell>
          <cell r="D1350" t="str">
            <v>X2</v>
          </cell>
          <cell r="E1350" t="str">
            <v>F</v>
          </cell>
          <cell r="F1350" t="str">
            <v>10%MT</v>
          </cell>
          <cell r="G1350" t="str">
            <v>D</v>
          </cell>
          <cell r="H1350">
            <v>3981.52</v>
          </cell>
          <cell r="K1350" t="str">
            <v>WPS-TNHA-S11</v>
          </cell>
          <cell r="L1350" t="str">
            <v>ST-12</v>
          </cell>
          <cell r="Y1350" t="str">
            <v>NOT YET FITUP</v>
          </cell>
        </row>
        <row r="1351">
          <cell r="A1351" t="str">
            <v>9001-2211-DS-1004-05-WM53</v>
          </cell>
          <cell r="B1351" t="str">
            <v>9001-2211-DS-1004-05-WM</v>
          </cell>
          <cell r="C1351">
            <v>53</v>
          </cell>
          <cell r="D1351" t="str">
            <v>X3</v>
          </cell>
          <cell r="E1351" t="str">
            <v>F</v>
          </cell>
          <cell r="F1351" t="str">
            <v>10%MT</v>
          </cell>
          <cell r="G1351" t="str">
            <v>D</v>
          </cell>
          <cell r="H1351">
            <v>6179.52</v>
          </cell>
          <cell r="K1351" t="str">
            <v>WPS-TNHA-S11</v>
          </cell>
          <cell r="L1351" t="str">
            <v>ST-12</v>
          </cell>
          <cell r="Y1351" t="str">
            <v>NOT YET FITUP</v>
          </cell>
        </row>
        <row r="1352">
          <cell r="A1352" t="str">
            <v>9001-2211-DS-1004-05-WM54</v>
          </cell>
          <cell r="B1352" t="str">
            <v>9001-2211-DS-1004-05-WM</v>
          </cell>
          <cell r="C1352">
            <v>54</v>
          </cell>
          <cell r="D1352" t="str">
            <v>X1</v>
          </cell>
          <cell r="E1352" t="str">
            <v>SV</v>
          </cell>
          <cell r="F1352" t="str">
            <v>100%MT&amp;UT</v>
          </cell>
          <cell r="G1352" t="str">
            <v>L</v>
          </cell>
          <cell r="H1352">
            <v>1050</v>
          </cell>
          <cell r="I1352">
            <v>20</v>
          </cell>
          <cell r="K1352" t="str">
            <v>WPS-TNHA-S11</v>
          </cell>
          <cell r="L1352" t="str">
            <v>ST-12</v>
          </cell>
          <cell r="Y1352" t="str">
            <v>NOT YET FITUP</v>
          </cell>
        </row>
        <row r="1353">
          <cell r="A1353" t="str">
            <v>9001-2211-DS-1004-05-WM55</v>
          </cell>
          <cell r="B1353" t="str">
            <v>9001-2211-DS-1004-05-WM</v>
          </cell>
          <cell r="C1353">
            <v>55</v>
          </cell>
          <cell r="D1353" t="str">
            <v>X2</v>
          </cell>
          <cell r="E1353" t="str">
            <v>F</v>
          </cell>
          <cell r="F1353" t="str">
            <v>10%MT</v>
          </cell>
          <cell r="G1353" t="str">
            <v>D</v>
          </cell>
          <cell r="H1353">
            <v>3981.52</v>
          </cell>
          <cell r="K1353" t="str">
            <v>WPS-TNHA-S11</v>
          </cell>
          <cell r="L1353" t="str">
            <v>ST-12</v>
          </cell>
          <cell r="Y1353" t="str">
            <v>NOT YET FITUP</v>
          </cell>
        </row>
        <row r="1354">
          <cell r="A1354" t="str">
            <v>9001-2211-DS-1004-05-WM56</v>
          </cell>
          <cell r="B1354" t="str">
            <v>9001-2211-DS-1004-05-WM</v>
          </cell>
          <cell r="C1354">
            <v>56</v>
          </cell>
          <cell r="D1354" t="str">
            <v>X3</v>
          </cell>
          <cell r="E1354" t="str">
            <v>F</v>
          </cell>
          <cell r="F1354" t="str">
            <v>10%MT</v>
          </cell>
          <cell r="G1354" t="str">
            <v>D</v>
          </cell>
          <cell r="H1354">
            <v>6179.52</v>
          </cell>
          <cell r="K1354" t="str">
            <v>WPS-TNHA-S11</v>
          </cell>
          <cell r="L1354" t="str">
            <v>ST-12</v>
          </cell>
          <cell r="Y1354" t="str">
            <v>NOT YET FITUP</v>
          </cell>
        </row>
        <row r="1355">
          <cell r="A1355" t="str">
            <v>9001-2211-DS-1004-05-WM57</v>
          </cell>
          <cell r="B1355" t="str">
            <v>9001-2211-DS-1004-05-WM</v>
          </cell>
          <cell r="C1355">
            <v>57</v>
          </cell>
          <cell r="D1355" t="str">
            <v>X1</v>
          </cell>
          <cell r="E1355" t="str">
            <v>SV</v>
          </cell>
          <cell r="F1355" t="str">
            <v>100%MT&amp;UT</v>
          </cell>
          <cell r="G1355" t="str">
            <v>L</v>
          </cell>
          <cell r="H1355">
            <v>800</v>
          </cell>
          <cell r="I1355">
            <v>20</v>
          </cell>
          <cell r="K1355" t="str">
            <v>WPS-TNHA-S11</v>
          </cell>
          <cell r="L1355" t="str">
            <v>ST-12</v>
          </cell>
          <cell r="Y1355" t="str">
            <v>NOT YET FITUP</v>
          </cell>
        </row>
        <row r="1356">
          <cell r="A1356" t="str">
            <v>9001-2211-DS-1004-05-WM58</v>
          </cell>
          <cell r="B1356" t="str">
            <v>9001-2211-DS-1004-05-WM</v>
          </cell>
          <cell r="C1356">
            <v>58</v>
          </cell>
          <cell r="D1356" t="str">
            <v>X2</v>
          </cell>
          <cell r="E1356" t="str">
            <v>F</v>
          </cell>
          <cell r="F1356" t="str">
            <v>10%MT</v>
          </cell>
          <cell r="G1356" t="str">
            <v>D</v>
          </cell>
          <cell r="H1356">
            <v>6179.52</v>
          </cell>
          <cell r="K1356" t="str">
            <v>WPS-TNHA-S11</v>
          </cell>
          <cell r="L1356" t="str">
            <v>ST-12</v>
          </cell>
          <cell r="Y1356" t="str">
            <v>NOT YET FITUP</v>
          </cell>
        </row>
        <row r="1357">
          <cell r="A1357" t="str">
            <v>9001-2211-DS-1004-05-WM59</v>
          </cell>
          <cell r="B1357" t="str">
            <v>9001-2211-DS-1004-05-WM</v>
          </cell>
          <cell r="C1357">
            <v>59</v>
          </cell>
          <cell r="D1357" t="str">
            <v>X1</v>
          </cell>
          <cell r="E1357" t="str">
            <v>SV</v>
          </cell>
          <cell r="F1357" t="str">
            <v>100%MT&amp;UT</v>
          </cell>
          <cell r="G1357" t="str">
            <v>L</v>
          </cell>
          <cell r="H1357">
            <v>800</v>
          </cell>
          <cell r="I1357">
            <v>20</v>
          </cell>
          <cell r="K1357" t="str">
            <v>WPS-TNHA-S11</v>
          </cell>
          <cell r="L1357" t="str">
            <v>ST-12</v>
          </cell>
          <cell r="Y1357" t="str">
            <v>NOT YET FITUP</v>
          </cell>
        </row>
        <row r="1358">
          <cell r="A1358" t="str">
            <v>9001-2211-DS-1004-05-WM60</v>
          </cell>
          <cell r="B1358" t="str">
            <v>9001-2211-DS-1004-05-WM</v>
          </cell>
          <cell r="C1358">
            <v>60</v>
          </cell>
          <cell r="D1358" t="str">
            <v>X2</v>
          </cell>
          <cell r="E1358" t="str">
            <v>F</v>
          </cell>
          <cell r="F1358" t="str">
            <v>10%MT</v>
          </cell>
          <cell r="G1358" t="str">
            <v>D</v>
          </cell>
          <cell r="H1358">
            <v>6179.52</v>
          </cell>
          <cell r="K1358" t="str">
            <v>WPS-TNHA-S11</v>
          </cell>
          <cell r="L1358" t="str">
            <v>ST-12</v>
          </cell>
          <cell r="Y1358" t="str">
            <v>NOT YET FITUP</v>
          </cell>
        </row>
        <row r="1359">
          <cell r="A1359" t="str">
            <v>9001-2211-DS-1004-05-WM61</v>
          </cell>
          <cell r="B1359" t="str">
            <v>9001-2211-DS-1004-05-WM</v>
          </cell>
          <cell r="C1359">
            <v>61</v>
          </cell>
          <cell r="D1359" t="str">
            <v>X1</v>
          </cell>
          <cell r="E1359" t="str">
            <v>SV</v>
          </cell>
          <cell r="F1359" t="str">
            <v>100%MT&amp;UT</v>
          </cell>
          <cell r="G1359" t="str">
            <v>L</v>
          </cell>
          <cell r="H1359">
            <v>800</v>
          </cell>
          <cell r="I1359">
            <v>20</v>
          </cell>
          <cell r="K1359" t="str">
            <v>WPS-TNHA-S11</v>
          </cell>
          <cell r="L1359" t="str">
            <v>ST-12</v>
          </cell>
          <cell r="Y1359" t="str">
            <v>NOT YET FITUP</v>
          </cell>
        </row>
        <row r="1360">
          <cell r="A1360" t="str">
            <v>9001-2211-DS-1004-05-WM62</v>
          </cell>
          <cell r="B1360" t="str">
            <v>9001-2211-DS-1004-05-WM</v>
          </cell>
          <cell r="C1360">
            <v>62</v>
          </cell>
          <cell r="D1360" t="str">
            <v>X2</v>
          </cell>
          <cell r="E1360" t="str">
            <v>F</v>
          </cell>
          <cell r="F1360" t="str">
            <v>10%MT</v>
          </cell>
          <cell r="G1360" t="str">
            <v>D</v>
          </cell>
          <cell r="H1360">
            <v>6179.52</v>
          </cell>
          <cell r="K1360" t="str">
            <v>WPS-TNHA-S11</v>
          </cell>
          <cell r="L1360" t="str">
            <v>ST-12</v>
          </cell>
          <cell r="Y1360" t="str">
            <v>NOT YET FITUP</v>
          </cell>
        </row>
        <row r="1361">
          <cell r="A1361" t="str">
            <v>9001-2211-DS-1004-05-WM63</v>
          </cell>
          <cell r="B1361" t="str">
            <v>9001-2211-DS-1004-05-WM</v>
          </cell>
          <cell r="C1361">
            <v>63</v>
          </cell>
          <cell r="D1361" t="str">
            <v>X1</v>
          </cell>
          <cell r="E1361" t="str">
            <v>SV</v>
          </cell>
          <cell r="F1361" t="str">
            <v>100%MT&amp;UT</v>
          </cell>
          <cell r="G1361" t="str">
            <v>L</v>
          </cell>
          <cell r="H1361">
            <v>800</v>
          </cell>
          <cell r="I1361">
            <v>20</v>
          </cell>
          <cell r="K1361" t="str">
            <v>WPS-TNHA-S11</v>
          </cell>
          <cell r="L1361" t="str">
            <v>ST-12</v>
          </cell>
          <cell r="Y1361" t="str">
            <v>NOT YET FITUP</v>
          </cell>
        </row>
        <row r="1362">
          <cell r="A1362" t="str">
            <v>9001-2211-DS-1004-05-WM64</v>
          </cell>
          <cell r="B1362" t="str">
            <v>9001-2211-DS-1004-05-WM</v>
          </cell>
          <cell r="C1362">
            <v>64</v>
          </cell>
          <cell r="D1362" t="str">
            <v>X2</v>
          </cell>
          <cell r="E1362" t="str">
            <v>F</v>
          </cell>
          <cell r="F1362" t="str">
            <v>10%MT</v>
          </cell>
          <cell r="G1362" t="str">
            <v>D</v>
          </cell>
          <cell r="H1362">
            <v>6179.52</v>
          </cell>
          <cell r="K1362" t="str">
            <v>WPS-TNHA-S11</v>
          </cell>
          <cell r="L1362" t="str">
            <v>ST-12</v>
          </cell>
          <cell r="Y1362" t="str">
            <v>NOT YET FITUP</v>
          </cell>
        </row>
        <row r="1363">
          <cell r="A1363" t="str">
            <v>9001-2211-DS-1004-05-WM65</v>
          </cell>
          <cell r="B1363" t="str">
            <v>9001-2211-DS-1004-05-WM</v>
          </cell>
          <cell r="C1363">
            <v>65</v>
          </cell>
          <cell r="D1363" t="str">
            <v>X1</v>
          </cell>
          <cell r="E1363" t="str">
            <v>SV</v>
          </cell>
          <cell r="F1363" t="str">
            <v>100%MT&amp;UT</v>
          </cell>
          <cell r="G1363" t="str">
            <v>L</v>
          </cell>
          <cell r="H1363">
            <v>800</v>
          </cell>
          <cell r="I1363">
            <v>20</v>
          </cell>
          <cell r="K1363" t="str">
            <v>WPS-TNHA-S11</v>
          </cell>
          <cell r="L1363" t="str">
            <v>ST-12</v>
          </cell>
          <cell r="Y1363" t="str">
            <v>NOT YET FITUP</v>
          </cell>
        </row>
        <row r="1364">
          <cell r="A1364" t="str">
            <v>9001-2211-DS-1004-05-WM66</v>
          </cell>
          <cell r="B1364" t="str">
            <v>9001-2211-DS-1004-05-WM</v>
          </cell>
          <cell r="C1364">
            <v>66</v>
          </cell>
          <cell r="D1364" t="str">
            <v>X2</v>
          </cell>
          <cell r="E1364" t="str">
            <v>F</v>
          </cell>
          <cell r="F1364" t="str">
            <v>10%MT</v>
          </cell>
          <cell r="G1364" t="str">
            <v>D</v>
          </cell>
          <cell r="H1364">
            <v>6179.52</v>
          </cell>
          <cell r="K1364" t="str">
            <v>WPS-TNHA-S11</v>
          </cell>
          <cell r="L1364" t="str">
            <v>ST-12</v>
          </cell>
          <cell r="Y1364" t="str">
            <v>NOT YET FITUP</v>
          </cell>
        </row>
        <row r="1365">
          <cell r="A1365" t="str">
            <v>9001-2211-DS-1004-05-WM67</v>
          </cell>
          <cell r="B1365" t="str">
            <v>9001-2211-DS-1004-05-WM</v>
          </cell>
          <cell r="C1365">
            <v>67</v>
          </cell>
          <cell r="D1365" t="str">
            <v>X1</v>
          </cell>
          <cell r="E1365" t="str">
            <v>SV</v>
          </cell>
          <cell r="F1365" t="str">
            <v>100%MT&amp;UT</v>
          </cell>
          <cell r="G1365" t="str">
            <v>L</v>
          </cell>
          <cell r="H1365">
            <v>800</v>
          </cell>
          <cell r="I1365">
            <v>20</v>
          </cell>
          <cell r="K1365" t="str">
            <v>WPS-TNHA-S11</v>
          </cell>
          <cell r="L1365" t="str">
            <v>ST-12</v>
          </cell>
          <cell r="Y1365" t="str">
            <v>NOT YET FITUP</v>
          </cell>
        </row>
        <row r="1366">
          <cell r="A1366" t="str">
            <v>9001-2211-DS-1004-05-WM68</v>
          </cell>
          <cell r="B1366" t="str">
            <v>9001-2211-DS-1004-05-WM</v>
          </cell>
          <cell r="C1366">
            <v>68</v>
          </cell>
          <cell r="D1366" t="str">
            <v>X2</v>
          </cell>
          <cell r="E1366" t="str">
            <v>F</v>
          </cell>
          <cell r="F1366" t="str">
            <v>10%MT</v>
          </cell>
          <cell r="G1366" t="str">
            <v>D</v>
          </cell>
          <cell r="H1366">
            <v>6179.52</v>
          </cell>
          <cell r="K1366" t="str">
            <v>WPS-TNHA-S11</v>
          </cell>
          <cell r="L1366" t="str">
            <v>ST-12</v>
          </cell>
          <cell r="Y1366" t="str">
            <v>NOT YET FITUP</v>
          </cell>
        </row>
        <row r="1367">
          <cell r="A1367" t="str">
            <v>9001-2211-DS-1004-05-WM69</v>
          </cell>
          <cell r="B1367" t="str">
            <v>9001-2211-DS-1004-05-WM</v>
          </cell>
          <cell r="C1367">
            <v>69</v>
          </cell>
          <cell r="D1367" t="str">
            <v>X1</v>
          </cell>
          <cell r="E1367" t="str">
            <v>SV</v>
          </cell>
          <cell r="F1367" t="str">
            <v>100%MT&amp;UT</v>
          </cell>
          <cell r="G1367" t="str">
            <v>L</v>
          </cell>
          <cell r="H1367">
            <v>800</v>
          </cell>
          <cell r="I1367">
            <v>20</v>
          </cell>
          <cell r="K1367" t="str">
            <v>WPS-TNHA-S11</v>
          </cell>
          <cell r="L1367" t="str">
            <v>ST-12</v>
          </cell>
          <cell r="Y1367" t="str">
            <v>NOT YET FITUP</v>
          </cell>
        </row>
        <row r="1368">
          <cell r="A1368" t="str">
            <v>9001-2211-DS-1004-05-WM70</v>
          </cell>
          <cell r="B1368" t="str">
            <v>9001-2211-DS-1004-05-WM</v>
          </cell>
          <cell r="C1368">
            <v>70</v>
          </cell>
          <cell r="D1368" t="str">
            <v>X2</v>
          </cell>
          <cell r="E1368" t="str">
            <v>F</v>
          </cell>
          <cell r="F1368" t="str">
            <v>10%MT</v>
          </cell>
          <cell r="G1368" t="str">
            <v>D</v>
          </cell>
          <cell r="H1368">
            <v>6179.52</v>
          </cell>
          <cell r="K1368" t="str">
            <v>WPS-TNHA-S11</v>
          </cell>
          <cell r="L1368" t="str">
            <v>ST-12</v>
          </cell>
          <cell r="Y1368" t="str">
            <v>NOT YET FITUP</v>
          </cell>
        </row>
        <row r="1369">
          <cell r="A1369" t="str">
            <v>9001-2211-DS-1004-05-WM71</v>
          </cell>
          <cell r="B1369" t="str">
            <v>9001-2211-DS-1004-05-WM</v>
          </cell>
          <cell r="C1369">
            <v>71</v>
          </cell>
          <cell r="D1369" t="str">
            <v>X1</v>
          </cell>
          <cell r="E1369" t="str">
            <v>SV</v>
          </cell>
          <cell r="F1369" t="str">
            <v>100%MT&amp;UT</v>
          </cell>
          <cell r="G1369" t="str">
            <v>L</v>
          </cell>
          <cell r="H1369">
            <v>800</v>
          </cell>
          <cell r="I1369">
            <v>20</v>
          </cell>
          <cell r="K1369" t="str">
            <v>WPS-TNHA-S11</v>
          </cell>
          <cell r="L1369" t="str">
            <v>ST-12</v>
          </cell>
          <cell r="Y1369" t="str">
            <v>NOT YET FITUP</v>
          </cell>
        </row>
        <row r="1370">
          <cell r="A1370" t="str">
            <v>9001-2211-DS-1004-05-WM72</v>
          </cell>
          <cell r="B1370" t="str">
            <v>9001-2211-DS-1004-05-WM</v>
          </cell>
          <cell r="C1370">
            <v>72</v>
          </cell>
          <cell r="D1370" t="str">
            <v>X2</v>
          </cell>
          <cell r="E1370" t="str">
            <v>F</v>
          </cell>
          <cell r="F1370" t="str">
            <v>10%MT</v>
          </cell>
          <cell r="G1370" t="str">
            <v>D</v>
          </cell>
          <cell r="H1370">
            <v>6179.52</v>
          </cell>
          <cell r="K1370" t="str">
            <v>WPS-TNHA-S11</v>
          </cell>
          <cell r="L1370" t="str">
            <v>ST-12</v>
          </cell>
          <cell r="Y1370" t="str">
            <v>NOT YET FITUP</v>
          </cell>
        </row>
        <row r="1371">
          <cell r="A1371" t="str">
            <v>9001-2211-DS-1004-05-WM73</v>
          </cell>
          <cell r="B1371" t="str">
            <v>9001-2211-DS-1004-05-WM</v>
          </cell>
          <cell r="C1371">
            <v>73</v>
          </cell>
          <cell r="D1371" t="str">
            <v>X1</v>
          </cell>
          <cell r="E1371" t="str">
            <v>SV</v>
          </cell>
          <cell r="F1371" t="str">
            <v>100%MT&amp;UT</v>
          </cell>
          <cell r="G1371" t="str">
            <v>L</v>
          </cell>
          <cell r="H1371">
            <v>800</v>
          </cell>
          <cell r="I1371">
            <v>20</v>
          </cell>
          <cell r="K1371" t="str">
            <v>WPS-TNHA-S11</v>
          </cell>
          <cell r="L1371" t="str">
            <v>ST-12</v>
          </cell>
          <cell r="Y1371" t="str">
            <v>NOT YET FITUP</v>
          </cell>
        </row>
        <row r="1372">
          <cell r="A1372" t="str">
            <v>9001-2211-DS-1004-05-WM74</v>
          </cell>
          <cell r="B1372" t="str">
            <v>9001-2211-DS-1004-05-WM</v>
          </cell>
          <cell r="C1372">
            <v>74</v>
          </cell>
          <cell r="D1372" t="str">
            <v>X2</v>
          </cell>
          <cell r="E1372" t="str">
            <v>F</v>
          </cell>
          <cell r="F1372" t="str">
            <v>10%MT</v>
          </cell>
          <cell r="G1372" t="str">
            <v>D</v>
          </cell>
          <cell r="H1372">
            <v>6179.52</v>
          </cell>
          <cell r="K1372" t="str">
            <v>WPS-TNHA-S11</v>
          </cell>
          <cell r="L1372" t="str">
            <v>ST-12</v>
          </cell>
          <cell r="Y1372" t="str">
            <v>NOT YET FITUP</v>
          </cell>
        </row>
        <row r="1373">
          <cell r="A1373" t="str">
            <v>9001-2211-DS-1004-05-WM75</v>
          </cell>
          <cell r="B1373" t="str">
            <v>9001-2211-DS-1004-05-WM</v>
          </cell>
          <cell r="C1373">
            <v>75</v>
          </cell>
          <cell r="D1373" t="str">
            <v>X1</v>
          </cell>
          <cell r="E1373" t="str">
            <v>SV</v>
          </cell>
          <cell r="F1373" t="str">
            <v>100%MT&amp;UT</v>
          </cell>
          <cell r="G1373" t="str">
            <v>L</v>
          </cell>
          <cell r="H1373">
            <v>1050</v>
          </cell>
          <cell r="I1373">
            <v>20</v>
          </cell>
          <cell r="K1373" t="str">
            <v>WPS-TNHA-S11</v>
          </cell>
          <cell r="L1373" t="str">
            <v>ST-12</v>
          </cell>
          <cell r="Y1373" t="str">
            <v>NOT YET FITUP</v>
          </cell>
        </row>
        <row r="1374">
          <cell r="A1374" t="str">
            <v>9001-2211-DS-1004-05-WM76</v>
          </cell>
          <cell r="B1374" t="str">
            <v>9001-2211-DS-1004-05-WM</v>
          </cell>
          <cell r="C1374">
            <v>76</v>
          </cell>
          <cell r="D1374" t="str">
            <v>X2</v>
          </cell>
          <cell r="E1374" t="str">
            <v>F</v>
          </cell>
          <cell r="F1374" t="str">
            <v>10%MT</v>
          </cell>
          <cell r="G1374" t="str">
            <v>D</v>
          </cell>
          <cell r="H1374">
            <v>3981.52</v>
          </cell>
          <cell r="K1374" t="str">
            <v>WPS-TNHA-S11</v>
          </cell>
          <cell r="L1374" t="str">
            <v>ST-12</v>
          </cell>
          <cell r="Y1374" t="str">
            <v>NOT YET FITUP</v>
          </cell>
        </row>
        <row r="1375">
          <cell r="A1375" t="str">
            <v>9001-2211-DS-1004-05-WM77</v>
          </cell>
          <cell r="B1375" t="str">
            <v>9001-2211-DS-1004-05-WM</v>
          </cell>
          <cell r="C1375">
            <v>77</v>
          </cell>
          <cell r="D1375" t="str">
            <v>X3</v>
          </cell>
          <cell r="E1375" t="str">
            <v>F</v>
          </cell>
          <cell r="F1375" t="str">
            <v>10%MT</v>
          </cell>
          <cell r="G1375" t="str">
            <v>D</v>
          </cell>
          <cell r="H1375">
            <v>6179.52</v>
          </cell>
          <cell r="K1375" t="str">
            <v>WPS-TNHA-S11</v>
          </cell>
          <cell r="L1375" t="str">
            <v>ST-12</v>
          </cell>
          <cell r="Y1375" t="str">
            <v>NOT YET FITUP</v>
          </cell>
        </row>
        <row r="1376">
          <cell r="A1376" t="str">
            <v>9001-2211-DS-1004-05-WM78</v>
          </cell>
          <cell r="B1376" t="str">
            <v>9001-2211-DS-1004-05-WM</v>
          </cell>
          <cell r="C1376">
            <v>78</v>
          </cell>
          <cell r="D1376" t="str">
            <v>X1</v>
          </cell>
          <cell r="E1376" t="str">
            <v>SV</v>
          </cell>
          <cell r="F1376" t="str">
            <v>100%MT&amp;UT</v>
          </cell>
          <cell r="G1376" t="str">
            <v>L</v>
          </cell>
          <cell r="H1376">
            <v>1050</v>
          </cell>
          <cell r="I1376">
            <v>20</v>
          </cell>
          <cell r="K1376" t="str">
            <v>WPS-TNHA-S11</v>
          </cell>
          <cell r="L1376" t="str">
            <v>ST-12</v>
          </cell>
          <cell r="Y1376" t="str">
            <v>NOT YET FITUP</v>
          </cell>
        </row>
        <row r="1377">
          <cell r="A1377" t="str">
            <v>9001-2211-DS-1004-05-WM79</v>
          </cell>
          <cell r="B1377" t="str">
            <v>9001-2211-DS-1004-05-WM</v>
          </cell>
          <cell r="C1377">
            <v>79</v>
          </cell>
          <cell r="D1377" t="str">
            <v>X2</v>
          </cell>
          <cell r="E1377" t="str">
            <v>F</v>
          </cell>
          <cell r="F1377" t="str">
            <v>10%MT</v>
          </cell>
          <cell r="G1377" t="str">
            <v>D</v>
          </cell>
          <cell r="H1377">
            <v>3981.52</v>
          </cell>
          <cell r="K1377" t="str">
            <v>WPS-TNHA-S11</v>
          </cell>
          <cell r="L1377" t="str">
            <v>ST-12</v>
          </cell>
          <cell r="Y1377" t="str">
            <v>NOT YET FITUP</v>
          </cell>
        </row>
        <row r="1378">
          <cell r="A1378" t="str">
            <v>9001-2211-DS-1004-05-WM80</v>
          </cell>
          <cell r="B1378" t="str">
            <v>9001-2211-DS-1004-05-WM</v>
          </cell>
          <cell r="C1378">
            <v>80</v>
          </cell>
          <cell r="D1378" t="str">
            <v>X3</v>
          </cell>
          <cell r="E1378" t="str">
            <v>F</v>
          </cell>
          <cell r="F1378" t="str">
            <v>10%MT</v>
          </cell>
          <cell r="G1378" t="str">
            <v>D</v>
          </cell>
          <cell r="H1378">
            <v>6179.52</v>
          </cell>
          <cell r="K1378" t="str">
            <v>WPS-TNHA-S11</v>
          </cell>
          <cell r="L1378" t="str">
            <v>ST-12</v>
          </cell>
          <cell r="Y1378" t="str">
            <v>NOT YET FITUP</v>
          </cell>
        </row>
        <row r="1379">
          <cell r="A1379" t="str">
            <v>9001-2211-DS-1004-05-WM81</v>
          </cell>
          <cell r="B1379" t="str">
            <v>9001-2211-DS-1004-05-WM</v>
          </cell>
          <cell r="C1379">
            <v>81</v>
          </cell>
          <cell r="D1379" t="str">
            <v>X1</v>
          </cell>
          <cell r="E1379" t="str">
            <v>SV</v>
          </cell>
          <cell r="F1379" t="str">
            <v>100%MT&amp;UT</v>
          </cell>
          <cell r="G1379" t="str">
            <v>L</v>
          </cell>
          <cell r="H1379">
            <v>800</v>
          </cell>
          <cell r="I1379">
            <v>20</v>
          </cell>
          <cell r="K1379" t="str">
            <v>WPS-TNHA-S11</v>
          </cell>
          <cell r="L1379" t="str">
            <v>ST-12</v>
          </cell>
          <cell r="Y1379" t="str">
            <v>NOT YET FITUP</v>
          </cell>
        </row>
        <row r="1380">
          <cell r="A1380" t="str">
            <v>9001-2211-DS-1004-05-WM82</v>
          </cell>
          <cell r="B1380" t="str">
            <v>9001-2211-DS-1004-05-WM</v>
          </cell>
          <cell r="C1380">
            <v>82</v>
          </cell>
          <cell r="D1380" t="str">
            <v>X2</v>
          </cell>
          <cell r="E1380" t="str">
            <v>F</v>
          </cell>
          <cell r="F1380" t="str">
            <v>10%MT</v>
          </cell>
          <cell r="G1380" t="str">
            <v>D</v>
          </cell>
          <cell r="H1380">
            <v>6179.52</v>
          </cell>
          <cell r="K1380" t="str">
            <v>WPS-TNHA-S11</v>
          </cell>
          <cell r="L1380" t="str">
            <v>ST-12</v>
          </cell>
          <cell r="Y1380" t="str">
            <v>NOT YET FITUP</v>
          </cell>
        </row>
        <row r="1381">
          <cell r="A1381" t="str">
            <v>9001-2211-DS-1004-05-WM83</v>
          </cell>
          <cell r="B1381" t="str">
            <v>9001-2211-DS-1004-05-WM</v>
          </cell>
          <cell r="C1381">
            <v>83</v>
          </cell>
          <cell r="D1381" t="str">
            <v>X3</v>
          </cell>
          <cell r="E1381" t="str">
            <v>F</v>
          </cell>
          <cell r="F1381" t="str">
            <v>10%MT</v>
          </cell>
          <cell r="G1381" t="str">
            <v>D</v>
          </cell>
          <cell r="H1381">
            <v>6179.52</v>
          </cell>
          <cell r="K1381" t="str">
            <v>WPS-TNHA-S11</v>
          </cell>
          <cell r="L1381" t="str">
            <v>ST-12</v>
          </cell>
          <cell r="Y1381" t="str">
            <v>NOT YET FITUP</v>
          </cell>
        </row>
        <row r="1382">
          <cell r="A1382" t="str">
            <v>9001-2211-DS-1004-05-WM84</v>
          </cell>
          <cell r="B1382" t="str">
            <v>9001-2211-DS-1004-05-WM</v>
          </cell>
          <cell r="C1382">
            <v>84</v>
          </cell>
          <cell r="D1382" t="str">
            <v>X1</v>
          </cell>
          <cell r="E1382" t="str">
            <v>SV</v>
          </cell>
          <cell r="F1382" t="str">
            <v>100%MT&amp;UT</v>
          </cell>
          <cell r="G1382" t="str">
            <v>L</v>
          </cell>
          <cell r="H1382">
            <v>1050</v>
          </cell>
          <cell r="I1382">
            <v>20</v>
          </cell>
          <cell r="K1382" t="str">
            <v>WPS-TNHA-S11</v>
          </cell>
          <cell r="L1382" t="str">
            <v>ST-12</v>
          </cell>
          <cell r="Y1382" t="str">
            <v>NOT YET FITUP</v>
          </cell>
        </row>
        <row r="1383">
          <cell r="A1383" t="str">
            <v>9001-2211-DS-1004-05-WM85</v>
          </cell>
          <cell r="B1383" t="str">
            <v>9001-2211-DS-1004-05-WM</v>
          </cell>
          <cell r="C1383">
            <v>85</v>
          </cell>
          <cell r="D1383" t="str">
            <v>X2</v>
          </cell>
          <cell r="E1383" t="str">
            <v>F</v>
          </cell>
          <cell r="F1383" t="str">
            <v>10%MT</v>
          </cell>
          <cell r="G1383" t="str">
            <v>D</v>
          </cell>
          <cell r="H1383">
            <v>3981.52</v>
          </cell>
          <cell r="K1383" t="str">
            <v>WPS-TNHA-S11</v>
          </cell>
          <cell r="L1383" t="str">
            <v>ST-12</v>
          </cell>
          <cell r="Y1383" t="str">
            <v>NOT YET FITUP</v>
          </cell>
        </row>
        <row r="1384">
          <cell r="A1384" t="str">
            <v>9001-2211-DS-1004-05-WM86</v>
          </cell>
          <cell r="B1384" t="str">
            <v>9001-2211-DS-1004-05-WM</v>
          </cell>
          <cell r="C1384">
            <v>86</v>
          </cell>
          <cell r="D1384" t="str">
            <v>X3</v>
          </cell>
          <cell r="E1384" t="str">
            <v>F</v>
          </cell>
          <cell r="F1384" t="str">
            <v>10%MT</v>
          </cell>
          <cell r="G1384" t="str">
            <v>D</v>
          </cell>
          <cell r="H1384">
            <v>6179.52</v>
          </cell>
          <cell r="K1384" t="str">
            <v>WPS-TNHA-S11</v>
          </cell>
          <cell r="L1384" t="str">
            <v>ST-12</v>
          </cell>
          <cell r="Y1384" t="str">
            <v>NOT YET FITUP</v>
          </cell>
        </row>
        <row r="1385">
          <cell r="A1385" t="str">
            <v>9001-2211-DS-1004-05-WM87</v>
          </cell>
          <cell r="B1385" t="str">
            <v>9001-2211-DS-1004-05-WM</v>
          </cell>
          <cell r="C1385">
            <v>87</v>
          </cell>
          <cell r="D1385" t="str">
            <v>X1</v>
          </cell>
          <cell r="E1385" t="str">
            <v>SV</v>
          </cell>
          <cell r="F1385" t="str">
            <v>100%MT&amp;UT</v>
          </cell>
          <cell r="G1385" t="str">
            <v>L</v>
          </cell>
          <cell r="H1385">
            <v>1050</v>
          </cell>
          <cell r="I1385">
            <v>20</v>
          </cell>
          <cell r="K1385" t="str">
            <v>WPS-TNHA-S11</v>
          </cell>
          <cell r="L1385" t="str">
            <v>ST-12</v>
          </cell>
          <cell r="Y1385" t="str">
            <v>NOT YET FITUP</v>
          </cell>
        </row>
        <row r="1386">
          <cell r="A1386" t="str">
            <v>9001-2211-DS-1004-05-WM88</v>
          </cell>
          <cell r="B1386" t="str">
            <v>9001-2211-DS-1004-05-WM</v>
          </cell>
          <cell r="C1386">
            <v>88</v>
          </cell>
          <cell r="D1386" t="str">
            <v>X2</v>
          </cell>
          <cell r="E1386" t="str">
            <v>F</v>
          </cell>
          <cell r="F1386" t="str">
            <v>10%MT</v>
          </cell>
          <cell r="G1386" t="str">
            <v>D</v>
          </cell>
          <cell r="H1386">
            <v>3981.52</v>
          </cell>
          <cell r="K1386" t="str">
            <v>WPS-TNHA-S11</v>
          </cell>
          <cell r="L1386" t="str">
            <v>ST-12</v>
          </cell>
          <cell r="Y1386" t="str">
            <v>NOT YET FITUP</v>
          </cell>
        </row>
        <row r="1387">
          <cell r="A1387" t="str">
            <v>9001-2211-DS-1004-05-WM89</v>
          </cell>
          <cell r="B1387" t="str">
            <v>9001-2211-DS-1004-05-WM</v>
          </cell>
          <cell r="C1387">
            <v>89</v>
          </cell>
          <cell r="D1387" t="str">
            <v>X1</v>
          </cell>
          <cell r="E1387" t="str">
            <v>SV</v>
          </cell>
          <cell r="F1387" t="str">
            <v>100%MT&amp;UT</v>
          </cell>
          <cell r="G1387" t="str">
            <v>L</v>
          </cell>
          <cell r="H1387">
            <v>800</v>
          </cell>
          <cell r="I1387">
            <v>20</v>
          </cell>
          <cell r="K1387" t="str">
            <v>WPS-TNHA-S11</v>
          </cell>
          <cell r="L1387" t="str">
            <v>ST-12</v>
          </cell>
          <cell r="Y1387" t="str">
            <v>NOT YET FITUP</v>
          </cell>
        </row>
        <row r="1388">
          <cell r="A1388" t="str">
            <v>9001-2211-DS-1004-05-WM90</v>
          </cell>
          <cell r="B1388" t="str">
            <v>9001-2211-DS-1004-05-WM</v>
          </cell>
          <cell r="C1388">
            <v>90</v>
          </cell>
          <cell r="D1388" t="str">
            <v>X2</v>
          </cell>
          <cell r="E1388" t="str">
            <v>F</v>
          </cell>
          <cell r="F1388" t="str">
            <v>10%MT</v>
          </cell>
          <cell r="G1388" t="str">
            <v>D</v>
          </cell>
          <cell r="H1388">
            <v>6179.52</v>
          </cell>
          <cell r="K1388" t="str">
            <v>WPS-TNHA-S11</v>
          </cell>
          <cell r="L1388" t="str">
            <v>ST-12</v>
          </cell>
          <cell r="Y1388" t="str">
            <v>NOT YET FITUP</v>
          </cell>
        </row>
        <row r="1389">
          <cell r="A1389" t="str">
            <v>9001-2211-DS-1004-05-WM91</v>
          </cell>
          <cell r="B1389" t="str">
            <v>9001-2211-DS-1004-05-WM</v>
          </cell>
          <cell r="C1389">
            <v>91</v>
          </cell>
          <cell r="D1389" t="str">
            <v>X1</v>
          </cell>
          <cell r="E1389" t="str">
            <v>SV</v>
          </cell>
          <cell r="F1389" t="str">
            <v>100%MT&amp;UT</v>
          </cell>
          <cell r="G1389" t="str">
            <v>L</v>
          </cell>
          <cell r="H1389">
            <v>800</v>
          </cell>
          <cell r="I1389">
            <v>20</v>
          </cell>
          <cell r="K1389" t="str">
            <v>WPS-TNHA-S11</v>
          </cell>
          <cell r="L1389" t="str">
            <v>ST-12</v>
          </cell>
          <cell r="Y1389" t="str">
            <v>NOT YET FITUP</v>
          </cell>
        </row>
        <row r="1390">
          <cell r="A1390" t="str">
            <v>9001-2211-DS-1004-05-WM92</v>
          </cell>
          <cell r="B1390" t="str">
            <v>9001-2211-DS-1004-05-WM</v>
          </cell>
          <cell r="C1390">
            <v>92</v>
          </cell>
          <cell r="D1390" t="str">
            <v>X2</v>
          </cell>
          <cell r="E1390" t="str">
            <v>F</v>
          </cell>
          <cell r="F1390" t="str">
            <v>10%MT</v>
          </cell>
          <cell r="G1390" t="str">
            <v>D</v>
          </cell>
          <cell r="H1390">
            <v>6179.52</v>
          </cell>
          <cell r="K1390" t="str">
            <v>WPS-TNHA-S11</v>
          </cell>
          <cell r="L1390" t="str">
            <v>ST-12</v>
          </cell>
          <cell r="Y1390" t="str">
            <v>NOT YET FITUP</v>
          </cell>
        </row>
        <row r="1391">
          <cell r="A1391" t="str">
            <v>9001-2211-DS-1004-05-WM93</v>
          </cell>
          <cell r="B1391" t="str">
            <v>9001-2211-DS-1004-05-WM</v>
          </cell>
          <cell r="C1391">
            <v>93</v>
          </cell>
          <cell r="D1391" t="str">
            <v>X1</v>
          </cell>
          <cell r="E1391" t="str">
            <v>SV</v>
          </cell>
          <cell r="F1391" t="str">
            <v>100%MT&amp;UT</v>
          </cell>
          <cell r="G1391" t="str">
            <v>L</v>
          </cell>
          <cell r="H1391">
            <v>800</v>
          </cell>
          <cell r="I1391">
            <v>20</v>
          </cell>
          <cell r="K1391" t="str">
            <v>WPS-TNHA-S11</v>
          </cell>
          <cell r="L1391" t="str">
            <v>ST-12</v>
          </cell>
          <cell r="Y1391" t="str">
            <v>NOT YET FITUP</v>
          </cell>
        </row>
        <row r="1392">
          <cell r="A1392" t="str">
            <v>9001-2211-DS-1004-05-WM94</v>
          </cell>
          <cell r="B1392" t="str">
            <v>9001-2211-DS-1004-05-WM</v>
          </cell>
          <cell r="C1392">
            <v>94</v>
          </cell>
          <cell r="D1392" t="str">
            <v>X2</v>
          </cell>
          <cell r="E1392" t="str">
            <v>F</v>
          </cell>
          <cell r="F1392" t="str">
            <v>10%MT</v>
          </cell>
          <cell r="G1392" t="str">
            <v>D</v>
          </cell>
          <cell r="H1392">
            <v>6179.52</v>
          </cell>
          <cell r="K1392" t="str">
            <v>WPS-TNHA-S11</v>
          </cell>
          <cell r="L1392" t="str">
            <v>ST-12</v>
          </cell>
          <cell r="Y1392" t="str">
            <v>NOT YET FITUP</v>
          </cell>
        </row>
        <row r="1393">
          <cell r="A1393" t="str">
            <v>9001-2211-DS-1004-05-WM95</v>
          </cell>
          <cell r="B1393" t="str">
            <v>9001-2211-DS-1004-05-WM</v>
          </cell>
          <cell r="C1393">
            <v>95</v>
          </cell>
          <cell r="D1393" t="str">
            <v>X1</v>
          </cell>
          <cell r="E1393" t="str">
            <v>SV</v>
          </cell>
          <cell r="F1393" t="str">
            <v>100%MT&amp;UT</v>
          </cell>
          <cell r="G1393" t="str">
            <v>L</v>
          </cell>
          <cell r="H1393">
            <v>800</v>
          </cell>
          <cell r="I1393">
            <v>20</v>
          </cell>
          <cell r="K1393" t="str">
            <v>WPS-TNHA-S11</v>
          </cell>
          <cell r="L1393" t="str">
            <v>ST-12</v>
          </cell>
          <cell r="Y1393" t="str">
            <v>NOT YET FITUP</v>
          </cell>
        </row>
        <row r="1394">
          <cell r="A1394" t="str">
            <v>9001-2211-DS-1004-05-WM96</v>
          </cell>
          <cell r="B1394" t="str">
            <v>9001-2211-DS-1004-05-WM</v>
          </cell>
          <cell r="C1394">
            <v>96</v>
          </cell>
          <cell r="D1394" t="str">
            <v>X2</v>
          </cell>
          <cell r="E1394" t="str">
            <v>F</v>
          </cell>
          <cell r="F1394" t="str">
            <v>10%MT</v>
          </cell>
          <cell r="G1394" t="str">
            <v>D</v>
          </cell>
          <cell r="H1394">
            <v>6179.52</v>
          </cell>
          <cell r="K1394" t="str">
            <v>WPS-TNHA-S11</v>
          </cell>
          <cell r="L1394" t="str">
            <v>ST-12</v>
          </cell>
          <cell r="Y1394" t="str">
            <v>NOT YET FITUP</v>
          </cell>
        </row>
        <row r="1395">
          <cell r="A1395" t="str">
            <v>9001-2211-DS-1004-05-WM97</v>
          </cell>
          <cell r="B1395" t="str">
            <v>9001-2211-DS-1004-05-WM</v>
          </cell>
          <cell r="C1395">
            <v>97</v>
          </cell>
          <cell r="D1395" t="str">
            <v>X1</v>
          </cell>
          <cell r="E1395" t="str">
            <v>SV</v>
          </cell>
          <cell r="F1395" t="str">
            <v>100%MT&amp;UT</v>
          </cell>
          <cell r="G1395" t="str">
            <v>L</v>
          </cell>
          <cell r="H1395">
            <v>800</v>
          </cell>
          <cell r="I1395">
            <v>20</v>
          </cell>
          <cell r="K1395" t="str">
            <v>WPS-TNHA-S11</v>
          </cell>
          <cell r="L1395" t="str">
            <v>ST-12</v>
          </cell>
          <cell r="Y1395" t="str">
            <v>NOT YET FITUP</v>
          </cell>
        </row>
        <row r="1396">
          <cell r="A1396" t="str">
            <v>9001-2211-DS-1004-05-WM98</v>
          </cell>
          <cell r="B1396" t="str">
            <v>9001-2211-DS-1004-05-WM</v>
          </cell>
          <cell r="C1396">
            <v>98</v>
          </cell>
          <cell r="D1396" t="str">
            <v>X2</v>
          </cell>
          <cell r="E1396" t="str">
            <v>F</v>
          </cell>
          <cell r="F1396" t="str">
            <v>10%MT</v>
          </cell>
          <cell r="G1396" t="str">
            <v>D</v>
          </cell>
          <cell r="H1396">
            <v>6179.52</v>
          </cell>
          <cell r="K1396" t="str">
            <v>WPS-TNHA-S11</v>
          </cell>
          <cell r="L1396" t="str">
            <v>ST-12</v>
          </cell>
          <cell r="Y1396" t="str">
            <v>NOT YET FITUP</v>
          </cell>
        </row>
        <row r="1397">
          <cell r="A1397" t="str">
            <v>9001-2211-DS-1004-05-WM99</v>
          </cell>
          <cell r="B1397" t="str">
            <v>9001-2211-DS-1004-05-WM</v>
          </cell>
          <cell r="C1397">
            <v>99</v>
          </cell>
          <cell r="D1397" t="str">
            <v>X1</v>
          </cell>
          <cell r="E1397" t="str">
            <v>SV</v>
          </cell>
          <cell r="F1397" t="str">
            <v>100%MT&amp;UT</v>
          </cell>
          <cell r="G1397" t="str">
            <v>L</v>
          </cell>
          <cell r="H1397">
            <v>800</v>
          </cell>
          <cell r="I1397">
            <v>20</v>
          </cell>
          <cell r="K1397" t="str">
            <v>WPS-TNHA-S11</v>
          </cell>
          <cell r="L1397" t="str">
            <v>ST-12</v>
          </cell>
          <cell r="Y1397" t="str">
            <v>NOT YET FITUP</v>
          </cell>
        </row>
        <row r="1398">
          <cell r="A1398" t="str">
            <v>9001-2211-DS-1004-05-WM100</v>
          </cell>
          <cell r="B1398" t="str">
            <v>9001-2211-DS-1004-05-WM</v>
          </cell>
          <cell r="C1398">
            <v>100</v>
          </cell>
          <cell r="D1398" t="str">
            <v>X2</v>
          </cell>
          <cell r="E1398" t="str">
            <v>F</v>
          </cell>
          <cell r="F1398" t="str">
            <v>10%MT</v>
          </cell>
          <cell r="G1398" t="str">
            <v>D</v>
          </cell>
          <cell r="H1398">
            <v>6179.52</v>
          </cell>
          <cell r="K1398" t="str">
            <v>WPS-TNHA-S11</v>
          </cell>
          <cell r="L1398" t="str">
            <v>ST-12</v>
          </cell>
          <cell r="Y1398" t="str">
            <v>NOT YET FITUP</v>
          </cell>
        </row>
        <row r="1399">
          <cell r="A1399" t="str">
            <v>9001-2211-DS-1004-05-WM101</v>
          </cell>
          <cell r="B1399" t="str">
            <v>9001-2211-DS-1004-05-WM</v>
          </cell>
          <cell r="C1399">
            <v>101</v>
          </cell>
          <cell r="D1399" t="str">
            <v>X1</v>
          </cell>
          <cell r="E1399" t="str">
            <v>SV</v>
          </cell>
          <cell r="F1399" t="str">
            <v>100%MT&amp;UT</v>
          </cell>
          <cell r="G1399" t="str">
            <v>L</v>
          </cell>
          <cell r="H1399">
            <v>800</v>
          </cell>
          <cell r="I1399">
            <v>20</v>
          </cell>
          <cell r="K1399" t="str">
            <v>WPS-TNHA-S11</v>
          </cell>
          <cell r="L1399" t="str">
            <v>ST-12</v>
          </cell>
          <cell r="Y1399" t="str">
            <v>NOT YET FITUP</v>
          </cell>
        </row>
        <row r="1400">
          <cell r="A1400" t="str">
            <v>9001-2211-DS-1004-05-WM102</v>
          </cell>
          <cell r="B1400" t="str">
            <v>9001-2211-DS-1004-05-WM</v>
          </cell>
          <cell r="C1400">
            <v>102</v>
          </cell>
          <cell r="D1400" t="str">
            <v>X2</v>
          </cell>
          <cell r="E1400" t="str">
            <v>F</v>
          </cell>
          <cell r="F1400" t="str">
            <v>10%MT</v>
          </cell>
          <cell r="G1400" t="str">
            <v>D</v>
          </cell>
          <cell r="H1400">
            <v>6179.52</v>
          </cell>
          <cell r="K1400" t="str">
            <v>WPS-TNHA-S11</v>
          </cell>
          <cell r="L1400" t="str">
            <v>ST-12</v>
          </cell>
          <cell r="Y1400" t="str">
            <v>NOT YET FITUP</v>
          </cell>
        </row>
        <row r="1401">
          <cell r="A1401" t="str">
            <v>9001-2211-DS-1004-05-WM103</v>
          </cell>
          <cell r="B1401" t="str">
            <v>9001-2211-DS-1004-05-WM</v>
          </cell>
          <cell r="C1401">
            <v>103</v>
          </cell>
          <cell r="D1401" t="str">
            <v>X1</v>
          </cell>
          <cell r="E1401" t="str">
            <v>SV</v>
          </cell>
          <cell r="F1401" t="str">
            <v>100%MT&amp;UT</v>
          </cell>
          <cell r="G1401" t="str">
            <v>L</v>
          </cell>
          <cell r="H1401">
            <v>800</v>
          </cell>
          <cell r="I1401">
            <v>20</v>
          </cell>
          <cell r="K1401" t="str">
            <v>WPS-TNHA-S11</v>
          </cell>
          <cell r="L1401" t="str">
            <v>ST-12</v>
          </cell>
          <cell r="Y1401" t="str">
            <v>NOT YET FITUP</v>
          </cell>
        </row>
        <row r="1402">
          <cell r="A1402" t="str">
            <v>9001-2211-DS-1004-05-WM104</v>
          </cell>
          <cell r="B1402" t="str">
            <v>9001-2211-DS-1004-05-WM</v>
          </cell>
          <cell r="C1402">
            <v>104</v>
          </cell>
          <cell r="D1402" t="str">
            <v>X2</v>
          </cell>
          <cell r="E1402" t="str">
            <v>F</v>
          </cell>
          <cell r="F1402" t="str">
            <v>10%MT</v>
          </cell>
          <cell r="G1402" t="str">
            <v>D</v>
          </cell>
          <cell r="H1402">
            <v>6179.52</v>
          </cell>
          <cell r="K1402" t="str">
            <v>WPS-TNHA-S11</v>
          </cell>
          <cell r="L1402" t="str">
            <v>ST-12</v>
          </cell>
          <cell r="Y1402" t="str">
            <v>NOT YET FITUP</v>
          </cell>
        </row>
        <row r="1403">
          <cell r="A1403" t="str">
            <v>9001-2211-DS-1004-05-WM105</v>
          </cell>
          <cell r="B1403" t="str">
            <v>9001-2211-DS-1004-05-WM</v>
          </cell>
          <cell r="C1403">
            <v>105</v>
          </cell>
          <cell r="D1403" t="str">
            <v>X1</v>
          </cell>
          <cell r="E1403" t="str">
            <v>SV</v>
          </cell>
          <cell r="F1403" t="str">
            <v>100%MT&amp;UT</v>
          </cell>
          <cell r="G1403" t="str">
            <v>L</v>
          </cell>
          <cell r="H1403">
            <v>800</v>
          </cell>
          <cell r="I1403">
            <v>20</v>
          </cell>
          <cell r="K1403" t="str">
            <v>WPS-TNHA-S11</v>
          </cell>
          <cell r="L1403" t="str">
            <v>ST-12</v>
          </cell>
          <cell r="Y1403" t="str">
            <v>NOT YET FITUP</v>
          </cell>
        </row>
        <row r="1404">
          <cell r="A1404" t="str">
            <v>9001-2211-DS-1004-05-WM106</v>
          </cell>
          <cell r="B1404" t="str">
            <v>9001-2211-DS-1004-05-WM</v>
          </cell>
          <cell r="C1404">
            <v>106</v>
          </cell>
          <cell r="D1404" t="str">
            <v>X2</v>
          </cell>
          <cell r="E1404" t="str">
            <v>F</v>
          </cell>
          <cell r="F1404" t="str">
            <v>10%MT</v>
          </cell>
          <cell r="G1404" t="str">
            <v>D</v>
          </cell>
          <cell r="H1404">
            <v>6179.52</v>
          </cell>
          <cell r="K1404" t="str">
            <v>WPS-TNHA-S11</v>
          </cell>
          <cell r="L1404" t="str">
            <v>ST-12</v>
          </cell>
          <cell r="Y1404" t="str">
            <v>NOT YET FITUP</v>
          </cell>
        </row>
        <row r="1405">
          <cell r="A1405" t="str">
            <v>9001-2211-DS-1004-05-WM107</v>
          </cell>
          <cell r="B1405" t="str">
            <v>9001-2211-DS-1004-05-WM</v>
          </cell>
          <cell r="C1405">
            <v>107</v>
          </cell>
          <cell r="D1405" t="str">
            <v>X1</v>
          </cell>
          <cell r="E1405" t="str">
            <v>SV</v>
          </cell>
          <cell r="F1405" t="str">
            <v>100%MT&amp;UT</v>
          </cell>
          <cell r="G1405" t="str">
            <v>L</v>
          </cell>
          <cell r="H1405">
            <v>1050</v>
          </cell>
          <cell r="I1405">
            <v>20</v>
          </cell>
          <cell r="K1405" t="str">
            <v>WPS-TNHA-S11</v>
          </cell>
          <cell r="L1405" t="str">
            <v>ST-12</v>
          </cell>
          <cell r="Y1405" t="str">
            <v>NOT YET FITUP</v>
          </cell>
        </row>
        <row r="1406">
          <cell r="A1406" t="str">
            <v>9001-2211-DS-1004-05-WM108</v>
          </cell>
          <cell r="B1406" t="str">
            <v>9001-2211-DS-1004-05-WM</v>
          </cell>
          <cell r="C1406">
            <v>108</v>
          </cell>
          <cell r="D1406" t="str">
            <v>X2</v>
          </cell>
          <cell r="E1406" t="str">
            <v>F</v>
          </cell>
          <cell r="F1406" t="str">
            <v>10%MT</v>
          </cell>
          <cell r="G1406" t="str">
            <v>D</v>
          </cell>
          <cell r="H1406">
            <v>3981.52</v>
          </cell>
          <cell r="K1406" t="str">
            <v>WPS-TNHA-S11</v>
          </cell>
          <cell r="L1406" t="str">
            <v>ST-12</v>
          </cell>
          <cell r="Y1406" t="str">
            <v>NOT YET FITUP</v>
          </cell>
        </row>
        <row r="1407">
          <cell r="A1407" t="str">
            <v>9001-2211-DS-1004-05-WM109</v>
          </cell>
          <cell r="B1407" t="str">
            <v>9001-2211-DS-1004-05-WM</v>
          </cell>
          <cell r="C1407">
            <v>109</v>
          </cell>
          <cell r="D1407" t="str">
            <v>X3</v>
          </cell>
          <cell r="E1407" t="str">
            <v>F</v>
          </cell>
          <cell r="F1407" t="str">
            <v>10%MT</v>
          </cell>
          <cell r="G1407" t="str">
            <v>D</v>
          </cell>
          <cell r="H1407">
            <v>6179.52</v>
          </cell>
          <cell r="K1407" t="str">
            <v>WPS-TNHA-S11</v>
          </cell>
          <cell r="L1407" t="str">
            <v>ST-12</v>
          </cell>
          <cell r="Y1407" t="str">
            <v>NOT YET FITUP</v>
          </cell>
        </row>
        <row r="1408">
          <cell r="A1408" t="str">
            <v>9001-2211-DS-1004-05-WM110</v>
          </cell>
          <cell r="B1408" t="str">
            <v>9001-2211-DS-1004-05-WM</v>
          </cell>
          <cell r="C1408">
            <v>110</v>
          </cell>
          <cell r="D1408" t="str">
            <v>X1</v>
          </cell>
          <cell r="E1408" t="str">
            <v>SV</v>
          </cell>
          <cell r="F1408" t="str">
            <v>100%MT&amp;UT</v>
          </cell>
          <cell r="G1408" t="str">
            <v>L</v>
          </cell>
          <cell r="H1408">
            <v>1050</v>
          </cell>
          <cell r="I1408">
            <v>20</v>
          </cell>
          <cell r="K1408" t="str">
            <v>WPS-TNHA-S11</v>
          </cell>
          <cell r="L1408" t="str">
            <v>ST-12</v>
          </cell>
          <cell r="Y1408" t="str">
            <v>NOT YET FITUP</v>
          </cell>
        </row>
        <row r="1409">
          <cell r="A1409" t="str">
            <v>9001-2211-DS-1004-05-WM111</v>
          </cell>
          <cell r="B1409" t="str">
            <v>9001-2211-DS-1004-05-WM</v>
          </cell>
          <cell r="C1409">
            <v>111</v>
          </cell>
          <cell r="D1409" t="str">
            <v>X2</v>
          </cell>
          <cell r="E1409" t="str">
            <v>F</v>
          </cell>
          <cell r="F1409" t="str">
            <v>10%MT</v>
          </cell>
          <cell r="G1409" t="str">
            <v>D</v>
          </cell>
          <cell r="H1409">
            <v>3981.52</v>
          </cell>
          <cell r="K1409" t="str">
            <v>WPS-TNHA-S11</v>
          </cell>
          <cell r="L1409" t="str">
            <v>ST-12</v>
          </cell>
          <cell r="Y1409" t="str">
            <v>NOT YET FITUP</v>
          </cell>
        </row>
        <row r="1410">
          <cell r="A1410" t="str">
            <v>9001-2211-DS-1004-05-WM112</v>
          </cell>
          <cell r="B1410" t="str">
            <v>9001-2211-DS-1004-05-WM</v>
          </cell>
          <cell r="C1410">
            <v>112</v>
          </cell>
          <cell r="D1410" t="str">
            <v>X3</v>
          </cell>
          <cell r="E1410" t="str">
            <v>F</v>
          </cell>
          <cell r="F1410" t="str">
            <v>10%MT</v>
          </cell>
          <cell r="G1410" t="str">
            <v>D</v>
          </cell>
          <cell r="H1410">
            <v>6179.52</v>
          </cell>
          <cell r="K1410" t="str">
            <v>WPS-TNHA-S11</v>
          </cell>
          <cell r="L1410" t="str">
            <v>ST-12</v>
          </cell>
          <cell r="Y1410" t="str">
            <v>NOT YET FITUP</v>
          </cell>
        </row>
        <row r="1411">
          <cell r="A1411" t="str">
            <v>9001-2211-DS-1004-05-WM113</v>
          </cell>
          <cell r="B1411" t="str">
            <v>9001-2211-DS-1004-05-WM</v>
          </cell>
          <cell r="C1411">
            <v>113</v>
          </cell>
          <cell r="D1411" t="str">
            <v>X1</v>
          </cell>
          <cell r="E1411" t="str">
            <v>SV</v>
          </cell>
          <cell r="F1411" t="str">
            <v>100%MT&amp;UT</v>
          </cell>
          <cell r="G1411" t="str">
            <v>L</v>
          </cell>
          <cell r="H1411">
            <v>800</v>
          </cell>
          <cell r="I1411">
            <v>20</v>
          </cell>
          <cell r="K1411" t="str">
            <v>WPS-TNHA-S11</v>
          </cell>
          <cell r="L1411" t="str">
            <v>ST-12</v>
          </cell>
          <cell r="Y1411" t="str">
            <v>NOT YET FITUP</v>
          </cell>
        </row>
        <row r="1412">
          <cell r="A1412" t="str">
            <v>9001-2211-DS-1004-05-WM114</v>
          </cell>
          <cell r="B1412" t="str">
            <v>9001-2211-DS-1004-05-WM</v>
          </cell>
          <cell r="C1412">
            <v>114</v>
          </cell>
          <cell r="D1412" t="str">
            <v>X2</v>
          </cell>
          <cell r="E1412" t="str">
            <v>F</v>
          </cell>
          <cell r="F1412" t="str">
            <v>10%MT</v>
          </cell>
          <cell r="G1412" t="str">
            <v>D</v>
          </cell>
          <cell r="H1412">
            <v>6179.52</v>
          </cell>
          <cell r="K1412" t="str">
            <v>WPS-TNHA-S11</v>
          </cell>
          <cell r="L1412" t="str">
            <v>ST-12</v>
          </cell>
          <cell r="Y1412" t="str">
            <v>NOT YET FITUP</v>
          </cell>
        </row>
        <row r="1413">
          <cell r="A1413" t="str">
            <v>9001-2211-DS-1004-05-WM115</v>
          </cell>
          <cell r="B1413" t="str">
            <v>9001-2211-DS-1004-05-WM</v>
          </cell>
          <cell r="C1413">
            <v>115</v>
          </cell>
          <cell r="D1413" t="str">
            <v>X1</v>
          </cell>
          <cell r="E1413" t="str">
            <v>SV</v>
          </cell>
          <cell r="F1413" t="str">
            <v>100%MT&amp;UT</v>
          </cell>
          <cell r="G1413" t="str">
            <v>L</v>
          </cell>
          <cell r="H1413">
            <v>1050</v>
          </cell>
          <cell r="I1413">
            <v>20</v>
          </cell>
          <cell r="K1413" t="str">
            <v>WPS-TNHA-S11</v>
          </cell>
          <cell r="L1413" t="str">
            <v>ST-12</v>
          </cell>
          <cell r="Y1413" t="str">
            <v>NOT YET FITUP</v>
          </cell>
        </row>
        <row r="1414">
          <cell r="A1414" t="str">
            <v>9001-2211-DS-1004-05-WM116</v>
          </cell>
          <cell r="B1414" t="str">
            <v>9001-2211-DS-1004-05-WM</v>
          </cell>
          <cell r="C1414">
            <v>116</v>
          </cell>
          <cell r="D1414" t="str">
            <v>X2</v>
          </cell>
          <cell r="E1414" t="str">
            <v>F</v>
          </cell>
          <cell r="F1414" t="str">
            <v>10%MT</v>
          </cell>
          <cell r="G1414" t="str">
            <v>D</v>
          </cell>
          <cell r="H1414">
            <v>3981.52</v>
          </cell>
          <cell r="K1414" t="str">
            <v>WPS-TNHA-S11</v>
          </cell>
          <cell r="L1414" t="str">
            <v>ST-12</v>
          </cell>
          <cell r="Y1414" t="str">
            <v>NOT YET FITUP</v>
          </cell>
        </row>
        <row r="1415">
          <cell r="A1415" t="str">
            <v>9001-2211-DS-1004-05-WM117</v>
          </cell>
          <cell r="B1415" t="str">
            <v>9001-2211-DS-1004-05-WM</v>
          </cell>
          <cell r="C1415">
            <v>117</v>
          </cell>
          <cell r="D1415" t="str">
            <v>X3</v>
          </cell>
          <cell r="E1415" t="str">
            <v>F</v>
          </cell>
          <cell r="F1415" t="str">
            <v>10%MT</v>
          </cell>
          <cell r="G1415" t="str">
            <v>D</v>
          </cell>
          <cell r="H1415">
            <v>6179.52</v>
          </cell>
          <cell r="K1415" t="str">
            <v>WPS-TNHA-S11</v>
          </cell>
          <cell r="L1415" t="str">
            <v>ST-12</v>
          </cell>
          <cell r="Y1415" t="str">
            <v>NOT YET FITUP</v>
          </cell>
        </row>
        <row r="1416">
          <cell r="A1416" t="str">
            <v>9001-2211-DS-1004-05-WM118</v>
          </cell>
          <cell r="B1416" t="str">
            <v>9001-2211-DS-1004-05-WM</v>
          </cell>
          <cell r="C1416">
            <v>118</v>
          </cell>
          <cell r="D1416" t="str">
            <v>X1</v>
          </cell>
          <cell r="E1416" t="str">
            <v>SV</v>
          </cell>
          <cell r="F1416" t="str">
            <v>100%MT&amp;UT</v>
          </cell>
          <cell r="G1416" t="str">
            <v>L</v>
          </cell>
          <cell r="H1416">
            <v>1050</v>
          </cell>
          <cell r="I1416">
            <v>20</v>
          </cell>
          <cell r="K1416" t="str">
            <v>WPS-TNHA-S11</v>
          </cell>
          <cell r="L1416" t="str">
            <v>ST-12</v>
          </cell>
          <cell r="Y1416" t="str">
            <v>NOT YET FITUP</v>
          </cell>
        </row>
        <row r="1417">
          <cell r="A1417" t="str">
            <v>9001-2211-DS-1004-05-WM119</v>
          </cell>
          <cell r="B1417" t="str">
            <v>9001-2211-DS-1004-05-WM</v>
          </cell>
          <cell r="C1417">
            <v>119</v>
          </cell>
          <cell r="D1417" t="str">
            <v>X2</v>
          </cell>
          <cell r="E1417" t="str">
            <v>F</v>
          </cell>
          <cell r="F1417" t="str">
            <v>10%MT</v>
          </cell>
          <cell r="G1417" t="str">
            <v>D</v>
          </cell>
          <cell r="H1417">
            <v>3981.52</v>
          </cell>
          <cell r="K1417" t="str">
            <v>WPS-TNHA-S11</v>
          </cell>
          <cell r="L1417" t="str">
            <v>ST-12</v>
          </cell>
          <cell r="Y1417" t="str">
            <v>NOT YET FITUP</v>
          </cell>
        </row>
        <row r="1418">
          <cell r="A1418" t="str">
            <v>9001-2211-DS-1004-05-WM120</v>
          </cell>
          <cell r="B1418" t="str">
            <v>9001-2211-DS-1004-05-WM</v>
          </cell>
          <cell r="C1418">
            <v>120</v>
          </cell>
          <cell r="D1418" t="str">
            <v>X3</v>
          </cell>
          <cell r="E1418" t="str">
            <v>F</v>
          </cell>
          <cell r="F1418" t="str">
            <v>10%MT</v>
          </cell>
          <cell r="G1418" t="str">
            <v>D</v>
          </cell>
          <cell r="H1418">
            <v>6179.52</v>
          </cell>
          <cell r="K1418" t="str">
            <v>WPS-TNHA-S11</v>
          </cell>
          <cell r="L1418" t="str">
            <v>ST-12</v>
          </cell>
          <cell r="Y1418" t="str">
            <v>NOT YET FITUP</v>
          </cell>
        </row>
        <row r="1419">
          <cell r="A1419" t="str">
            <v>9001-2211-DS-1004-05-WM121</v>
          </cell>
          <cell r="B1419" t="str">
            <v>9001-2211-DS-1004-05-WM</v>
          </cell>
          <cell r="C1419">
            <v>121</v>
          </cell>
          <cell r="D1419" t="str">
            <v>X1</v>
          </cell>
          <cell r="E1419" t="str">
            <v>SV</v>
          </cell>
          <cell r="F1419" t="str">
            <v>100%MT&amp;UT</v>
          </cell>
          <cell r="G1419" t="str">
            <v>L</v>
          </cell>
          <cell r="H1419">
            <v>800</v>
          </cell>
          <cell r="I1419">
            <v>20</v>
          </cell>
          <cell r="K1419" t="str">
            <v>WPS-TNHA-S11</v>
          </cell>
          <cell r="L1419" t="str">
            <v>ST-12</v>
          </cell>
          <cell r="Y1419" t="str">
            <v>NOT YET FITUP</v>
          </cell>
        </row>
        <row r="1420">
          <cell r="A1420" t="str">
            <v>9001-2211-DS-1004-05-WM122</v>
          </cell>
          <cell r="B1420" t="str">
            <v>9001-2211-DS-1004-05-WM</v>
          </cell>
          <cell r="C1420">
            <v>122</v>
          </cell>
          <cell r="D1420" t="str">
            <v>X2</v>
          </cell>
          <cell r="E1420" t="str">
            <v>F</v>
          </cell>
          <cell r="F1420" t="str">
            <v>10%MT</v>
          </cell>
          <cell r="G1420" t="str">
            <v>D</v>
          </cell>
          <cell r="H1420">
            <v>6179.52</v>
          </cell>
          <cell r="K1420" t="str">
            <v>WPS-TNHA-S11</v>
          </cell>
          <cell r="L1420" t="str">
            <v>ST-12</v>
          </cell>
          <cell r="Y1420" t="str">
            <v>NOT YET FITUP</v>
          </cell>
        </row>
        <row r="1421">
          <cell r="A1421" t="str">
            <v>9001-2211-DS-1004-05-WM123</v>
          </cell>
          <cell r="B1421" t="str">
            <v>9001-2211-DS-1004-05-WM</v>
          </cell>
          <cell r="C1421">
            <v>123</v>
          </cell>
          <cell r="D1421" t="str">
            <v>X1</v>
          </cell>
          <cell r="E1421" t="str">
            <v>SV</v>
          </cell>
          <cell r="F1421" t="str">
            <v>100%MT&amp;UT</v>
          </cell>
          <cell r="G1421" t="str">
            <v>L</v>
          </cell>
          <cell r="H1421">
            <v>800</v>
          </cell>
          <cell r="I1421">
            <v>20</v>
          </cell>
          <cell r="K1421" t="str">
            <v>WPS-TNHA-S11</v>
          </cell>
          <cell r="L1421" t="str">
            <v>ST-12</v>
          </cell>
          <cell r="Y1421" t="str">
            <v>NOT YET FITUP</v>
          </cell>
        </row>
        <row r="1422">
          <cell r="A1422" t="str">
            <v>9001-2211-DS-1004-05-WM124</v>
          </cell>
          <cell r="B1422" t="str">
            <v>9001-2211-DS-1004-05-WM</v>
          </cell>
          <cell r="C1422">
            <v>124</v>
          </cell>
          <cell r="D1422" t="str">
            <v>X2</v>
          </cell>
          <cell r="E1422" t="str">
            <v>F</v>
          </cell>
          <cell r="F1422" t="str">
            <v>10%MT</v>
          </cell>
          <cell r="G1422" t="str">
            <v>D</v>
          </cell>
          <cell r="H1422">
            <v>6179.52</v>
          </cell>
          <cell r="K1422" t="str">
            <v>WPS-TNHA-S11</v>
          </cell>
          <cell r="L1422" t="str">
            <v>ST-12</v>
          </cell>
          <cell r="Y1422" t="str">
            <v>NOT YET FITUP</v>
          </cell>
        </row>
        <row r="1423">
          <cell r="A1423" t="str">
            <v>9001-2211-DS-1004-05-WM125</v>
          </cell>
          <cell r="B1423" t="str">
            <v>9001-2211-DS-1004-05-WM</v>
          </cell>
          <cell r="C1423">
            <v>125</v>
          </cell>
          <cell r="D1423" t="str">
            <v>X1</v>
          </cell>
          <cell r="E1423" t="str">
            <v>SV</v>
          </cell>
          <cell r="F1423" t="str">
            <v>100%MT&amp;UT</v>
          </cell>
          <cell r="G1423" t="str">
            <v>L</v>
          </cell>
          <cell r="H1423">
            <v>800</v>
          </cell>
          <cell r="I1423">
            <v>20</v>
          </cell>
          <cell r="K1423" t="str">
            <v>WPS-TNHA-S11</v>
          </cell>
          <cell r="L1423" t="str">
            <v>ST-12</v>
          </cell>
          <cell r="Y1423" t="str">
            <v>NOT YET FITUP</v>
          </cell>
        </row>
        <row r="1424">
          <cell r="A1424" t="str">
            <v>9001-2211-DS-1004-05-WM126</v>
          </cell>
          <cell r="B1424" t="str">
            <v>9001-2211-DS-1004-05-WM</v>
          </cell>
          <cell r="C1424">
            <v>126</v>
          </cell>
          <cell r="D1424" t="str">
            <v>X2</v>
          </cell>
          <cell r="E1424" t="str">
            <v>F</v>
          </cell>
          <cell r="F1424" t="str">
            <v>10%MT</v>
          </cell>
          <cell r="G1424" t="str">
            <v>D</v>
          </cell>
          <cell r="H1424">
            <v>6179.52</v>
          </cell>
          <cell r="K1424" t="str">
            <v>WPS-TNHA-S11</v>
          </cell>
          <cell r="L1424" t="str">
            <v>ST-12</v>
          </cell>
          <cell r="Y1424" t="str">
            <v>NOT YET FITUP</v>
          </cell>
        </row>
        <row r="1425">
          <cell r="A1425" t="str">
            <v>9001-2211-DS-1004-05-WM127</v>
          </cell>
          <cell r="B1425" t="str">
            <v>9001-2211-DS-1004-05-WM</v>
          </cell>
          <cell r="C1425">
            <v>127</v>
          </cell>
          <cell r="D1425" t="str">
            <v>X1</v>
          </cell>
          <cell r="E1425" t="str">
            <v>SV</v>
          </cell>
          <cell r="F1425" t="str">
            <v>100%MT&amp;UT</v>
          </cell>
          <cell r="G1425" t="str">
            <v>L</v>
          </cell>
          <cell r="H1425">
            <v>800</v>
          </cell>
          <cell r="I1425">
            <v>20</v>
          </cell>
          <cell r="K1425" t="str">
            <v>WPS-TNHA-S11</v>
          </cell>
          <cell r="L1425" t="str">
            <v>ST-12</v>
          </cell>
          <cell r="Y1425" t="str">
            <v>NOT YET FITUP</v>
          </cell>
        </row>
        <row r="1426">
          <cell r="A1426" t="str">
            <v>9001-2211-DS-1004-05-WM128</v>
          </cell>
          <cell r="B1426" t="str">
            <v>9001-2211-DS-1004-05-WM</v>
          </cell>
          <cell r="C1426">
            <v>128</v>
          </cell>
          <cell r="D1426" t="str">
            <v>X2</v>
          </cell>
          <cell r="E1426" t="str">
            <v>F</v>
          </cell>
          <cell r="F1426" t="str">
            <v>10%MT</v>
          </cell>
          <cell r="G1426" t="str">
            <v>D</v>
          </cell>
          <cell r="H1426">
            <v>6179.52</v>
          </cell>
          <cell r="K1426" t="str">
            <v>WPS-TNHA-S11</v>
          </cell>
          <cell r="L1426" t="str">
            <v>ST-12</v>
          </cell>
          <cell r="Y1426" t="str">
            <v>NOT YET FITUP</v>
          </cell>
        </row>
        <row r="1427">
          <cell r="A1427" t="str">
            <v>9001-2211-DS-1004-05-WM129</v>
          </cell>
          <cell r="B1427" t="str">
            <v>9001-2211-DS-1004-05-WM</v>
          </cell>
          <cell r="C1427">
            <v>129</v>
          </cell>
          <cell r="D1427" t="str">
            <v>X1</v>
          </cell>
          <cell r="E1427" t="str">
            <v>SV</v>
          </cell>
          <cell r="F1427" t="str">
            <v>100%MT&amp;UT</v>
          </cell>
          <cell r="G1427" t="str">
            <v>L</v>
          </cell>
          <cell r="H1427">
            <v>800</v>
          </cell>
          <cell r="I1427">
            <v>20</v>
          </cell>
          <cell r="K1427" t="str">
            <v>WPS-TNHA-S11</v>
          </cell>
          <cell r="L1427" t="str">
            <v>ST-12</v>
          </cell>
          <cell r="Y1427" t="str">
            <v>NOT YET FITUP</v>
          </cell>
        </row>
        <row r="1428">
          <cell r="A1428" t="str">
            <v>9001-2211-DS-1004-05-WM130</v>
          </cell>
          <cell r="B1428" t="str">
            <v>9001-2211-DS-1004-05-WM</v>
          </cell>
          <cell r="C1428">
            <v>130</v>
          </cell>
          <cell r="D1428" t="str">
            <v>X2</v>
          </cell>
          <cell r="E1428" t="str">
            <v>F</v>
          </cell>
          <cell r="F1428" t="str">
            <v>10%MT</v>
          </cell>
          <cell r="G1428" t="str">
            <v>D</v>
          </cell>
          <cell r="H1428">
            <v>6179.52</v>
          </cell>
          <cell r="K1428" t="str">
            <v>WPS-TNHA-S11</v>
          </cell>
          <cell r="L1428" t="str">
            <v>ST-12</v>
          </cell>
          <cell r="Y1428" t="str">
            <v>NOT YET FITUP</v>
          </cell>
        </row>
        <row r="1429">
          <cell r="A1429" t="str">
            <v>9001-2211-DS-1004-05-WM131</v>
          </cell>
          <cell r="B1429" t="str">
            <v>9001-2211-DS-1004-05-WM</v>
          </cell>
          <cell r="C1429">
            <v>131</v>
          </cell>
          <cell r="D1429" t="str">
            <v>X1</v>
          </cell>
          <cell r="E1429" t="str">
            <v>SV</v>
          </cell>
          <cell r="F1429" t="str">
            <v>100%MT&amp;UT</v>
          </cell>
          <cell r="G1429" t="str">
            <v>L</v>
          </cell>
          <cell r="H1429">
            <v>800</v>
          </cell>
          <cell r="I1429">
            <v>20</v>
          </cell>
          <cell r="K1429" t="str">
            <v>WPS-TNHA-S11</v>
          </cell>
          <cell r="L1429" t="str">
            <v>ST-12</v>
          </cell>
          <cell r="Y1429" t="str">
            <v>NOT YET FITUP</v>
          </cell>
        </row>
        <row r="1430">
          <cell r="A1430" t="str">
            <v>9001-2211-DS-1004-05-WM132</v>
          </cell>
          <cell r="B1430" t="str">
            <v>9001-2211-DS-1004-05-WM</v>
          </cell>
          <cell r="C1430">
            <v>132</v>
          </cell>
          <cell r="D1430" t="str">
            <v>X2</v>
          </cell>
          <cell r="E1430" t="str">
            <v>F</v>
          </cell>
          <cell r="F1430" t="str">
            <v>10%MT</v>
          </cell>
          <cell r="G1430" t="str">
            <v>D</v>
          </cell>
          <cell r="H1430">
            <v>6179.52</v>
          </cell>
          <cell r="K1430" t="str">
            <v>WPS-TNHA-S11</v>
          </cell>
          <cell r="L1430" t="str">
            <v>ST-12</v>
          </cell>
          <cell r="Y1430" t="str">
            <v>NOT YET FITUP</v>
          </cell>
        </row>
        <row r="1431">
          <cell r="A1431" t="str">
            <v>9001-2211-DS-1004-05-WM133</v>
          </cell>
          <cell r="B1431" t="str">
            <v>9001-2211-DS-1004-05-WM</v>
          </cell>
          <cell r="C1431">
            <v>133</v>
          </cell>
          <cell r="D1431" t="str">
            <v>X1</v>
          </cell>
          <cell r="E1431" t="str">
            <v>SV</v>
          </cell>
          <cell r="F1431" t="str">
            <v>100%MT&amp;UT</v>
          </cell>
          <cell r="G1431" t="str">
            <v>L</v>
          </cell>
          <cell r="H1431">
            <v>800</v>
          </cell>
          <cell r="I1431">
            <v>20</v>
          </cell>
          <cell r="K1431" t="str">
            <v>WPS-TNHA-S11</v>
          </cell>
          <cell r="L1431" t="str">
            <v>ST-12</v>
          </cell>
          <cell r="Y1431" t="str">
            <v>NOT YET FITUP</v>
          </cell>
        </row>
        <row r="1432">
          <cell r="A1432" t="str">
            <v>9001-2211-DS-1004-05-WM134</v>
          </cell>
          <cell r="B1432" t="str">
            <v>9001-2211-DS-1004-05-WM</v>
          </cell>
          <cell r="C1432">
            <v>134</v>
          </cell>
          <cell r="D1432" t="str">
            <v>X2</v>
          </cell>
          <cell r="E1432" t="str">
            <v>F</v>
          </cell>
          <cell r="F1432" t="str">
            <v>10%MT</v>
          </cell>
          <cell r="G1432" t="str">
            <v>D</v>
          </cell>
          <cell r="H1432">
            <v>6179.52</v>
          </cell>
          <cell r="K1432" t="str">
            <v>WPS-TNHA-S11</v>
          </cell>
          <cell r="L1432" t="str">
            <v>ST-12</v>
          </cell>
          <cell r="Y1432" t="str">
            <v>NOT YET FITUP</v>
          </cell>
        </row>
        <row r="1433">
          <cell r="A1433" t="str">
            <v>9001-2211-DS-1004-05-WM135</v>
          </cell>
          <cell r="B1433" t="str">
            <v>9001-2211-DS-1004-05-WM</v>
          </cell>
          <cell r="C1433">
            <v>135</v>
          </cell>
          <cell r="D1433" t="str">
            <v>X1</v>
          </cell>
          <cell r="E1433" t="str">
            <v>SV</v>
          </cell>
          <cell r="F1433" t="str">
            <v>100%MT&amp;UT</v>
          </cell>
          <cell r="G1433" t="str">
            <v>L</v>
          </cell>
          <cell r="H1433">
            <v>800</v>
          </cell>
          <cell r="I1433">
            <v>20</v>
          </cell>
          <cell r="K1433" t="str">
            <v>WPS-TNHA-S11</v>
          </cell>
          <cell r="L1433" t="str">
            <v>ST-12</v>
          </cell>
          <cell r="Y1433" t="str">
            <v>NOT YET FITUP</v>
          </cell>
        </row>
        <row r="1434">
          <cell r="A1434" t="str">
            <v>9001-2211-DS-1004-05-WM136</v>
          </cell>
          <cell r="B1434" t="str">
            <v>9001-2211-DS-1004-05-WM</v>
          </cell>
          <cell r="C1434">
            <v>136</v>
          </cell>
          <cell r="D1434" t="str">
            <v>X2</v>
          </cell>
          <cell r="E1434" t="str">
            <v>F</v>
          </cell>
          <cell r="F1434" t="str">
            <v>10%MT</v>
          </cell>
          <cell r="G1434" t="str">
            <v>D</v>
          </cell>
          <cell r="H1434">
            <v>6179.52</v>
          </cell>
          <cell r="K1434" t="str">
            <v>WPS-TNHA-S11</v>
          </cell>
          <cell r="L1434" t="str">
            <v>ST-12</v>
          </cell>
          <cell r="Y1434" t="str">
            <v>NOT YET FITUP</v>
          </cell>
        </row>
        <row r="1435">
          <cell r="A1435" t="str">
            <v>9001-2211-DS-1004-05-WM137</v>
          </cell>
          <cell r="B1435" t="str">
            <v>9001-2211-DS-1004-05-WM</v>
          </cell>
          <cell r="C1435">
            <v>137</v>
          </cell>
          <cell r="D1435" t="str">
            <v>X1</v>
          </cell>
          <cell r="E1435" t="str">
            <v>SV</v>
          </cell>
          <cell r="F1435" t="str">
            <v>100%MT&amp;UT</v>
          </cell>
          <cell r="G1435" t="str">
            <v>L</v>
          </cell>
          <cell r="H1435">
            <v>800</v>
          </cell>
          <cell r="I1435">
            <v>20</v>
          </cell>
          <cell r="K1435" t="str">
            <v>WPS-TNHA-S11</v>
          </cell>
          <cell r="L1435" t="str">
            <v>ST-12</v>
          </cell>
          <cell r="Y1435" t="str">
            <v>NOT YET FITUP</v>
          </cell>
        </row>
        <row r="1436">
          <cell r="A1436" t="str">
            <v>9001-2211-DS-1004-05-WM138</v>
          </cell>
          <cell r="B1436" t="str">
            <v>9001-2211-DS-1004-05-WM</v>
          </cell>
          <cell r="C1436">
            <v>138</v>
          </cell>
          <cell r="D1436" t="str">
            <v>X2</v>
          </cell>
          <cell r="E1436" t="str">
            <v>F</v>
          </cell>
          <cell r="F1436" t="str">
            <v>10%MT</v>
          </cell>
          <cell r="G1436" t="str">
            <v>D</v>
          </cell>
          <cell r="H1436">
            <v>6179.52</v>
          </cell>
          <cell r="K1436" t="str">
            <v>WPS-TNHA-S11</v>
          </cell>
          <cell r="L1436" t="str">
            <v>ST-12</v>
          </cell>
          <cell r="Y1436" t="str">
            <v>NOT YET FITUP</v>
          </cell>
        </row>
        <row r="1437">
          <cell r="A1437" t="str">
            <v>9001-2211-DS-1004-05-WM139</v>
          </cell>
          <cell r="B1437" t="str">
            <v>9001-2211-DS-1004-05-WM</v>
          </cell>
          <cell r="C1437">
            <v>139</v>
          </cell>
          <cell r="D1437" t="str">
            <v>X1</v>
          </cell>
          <cell r="E1437" t="str">
            <v>SV</v>
          </cell>
          <cell r="F1437" t="str">
            <v>100%MT&amp;UT</v>
          </cell>
          <cell r="G1437" t="str">
            <v>L</v>
          </cell>
          <cell r="H1437">
            <v>1050</v>
          </cell>
          <cell r="I1437">
            <v>20</v>
          </cell>
          <cell r="K1437" t="str">
            <v>WPS-TNHA-S11</v>
          </cell>
          <cell r="L1437" t="str">
            <v>ST-12</v>
          </cell>
          <cell r="Y1437" t="str">
            <v>NOT YET FITUP</v>
          </cell>
        </row>
        <row r="1438">
          <cell r="A1438" t="str">
            <v>9001-2211-DS-1004-05-WM140</v>
          </cell>
          <cell r="B1438" t="str">
            <v>9001-2211-DS-1004-05-WM</v>
          </cell>
          <cell r="C1438">
            <v>140</v>
          </cell>
          <cell r="D1438" t="str">
            <v>X2</v>
          </cell>
          <cell r="E1438" t="str">
            <v>F</v>
          </cell>
          <cell r="F1438" t="str">
            <v>10%MT</v>
          </cell>
          <cell r="G1438" t="str">
            <v>D</v>
          </cell>
          <cell r="H1438">
            <v>3981.52</v>
          </cell>
          <cell r="K1438" t="str">
            <v>WPS-TNHA-S11</v>
          </cell>
          <cell r="L1438" t="str">
            <v>ST-12</v>
          </cell>
          <cell r="Y1438" t="str">
            <v>NOT YET FITUP</v>
          </cell>
        </row>
        <row r="1439">
          <cell r="A1439" t="str">
            <v>9001-2211-DS-1004-05-WM141</v>
          </cell>
          <cell r="B1439" t="str">
            <v>9001-2211-DS-1004-05-WM</v>
          </cell>
          <cell r="C1439">
            <v>141</v>
          </cell>
          <cell r="D1439" t="str">
            <v>X3</v>
          </cell>
          <cell r="E1439" t="str">
            <v>F</v>
          </cell>
          <cell r="F1439" t="str">
            <v>10%MT</v>
          </cell>
          <cell r="G1439" t="str">
            <v>D</v>
          </cell>
          <cell r="H1439">
            <v>6179.52</v>
          </cell>
          <cell r="K1439" t="str">
            <v>WPS-TNHA-S11</v>
          </cell>
          <cell r="L1439" t="str">
            <v>ST-12</v>
          </cell>
          <cell r="Y1439" t="str">
            <v>NOT YET FITUP</v>
          </cell>
        </row>
        <row r="1440">
          <cell r="A1440" t="str">
            <v>9001-2211-DS-1004-05-WM142</v>
          </cell>
          <cell r="B1440" t="str">
            <v>9001-2211-DS-1004-05-WM</v>
          </cell>
          <cell r="C1440">
            <v>142</v>
          </cell>
          <cell r="D1440" t="str">
            <v>X1</v>
          </cell>
          <cell r="E1440" t="str">
            <v>SV</v>
          </cell>
          <cell r="F1440" t="str">
            <v>100%MT&amp;UT</v>
          </cell>
          <cell r="G1440" t="str">
            <v>L</v>
          </cell>
          <cell r="H1440">
            <v>1050</v>
          </cell>
          <cell r="I1440">
            <v>20</v>
          </cell>
          <cell r="K1440" t="str">
            <v>WPS-TNHA-S11</v>
          </cell>
          <cell r="L1440" t="str">
            <v>ST-12</v>
          </cell>
          <cell r="Y1440" t="str">
            <v>NOT YET FITUP</v>
          </cell>
        </row>
        <row r="1441">
          <cell r="A1441" t="str">
            <v>9001-2211-DS-1004-05-WM143</v>
          </cell>
          <cell r="B1441" t="str">
            <v>9001-2211-DS-1004-05-WM</v>
          </cell>
          <cell r="C1441">
            <v>143</v>
          </cell>
          <cell r="D1441" t="str">
            <v>X2</v>
          </cell>
          <cell r="E1441" t="str">
            <v>F</v>
          </cell>
          <cell r="F1441" t="str">
            <v>10%MT</v>
          </cell>
          <cell r="G1441" t="str">
            <v>D</v>
          </cell>
          <cell r="H1441">
            <v>3981.52</v>
          </cell>
          <cell r="K1441" t="str">
            <v>WPS-TNHA-S11</v>
          </cell>
          <cell r="L1441" t="str">
            <v>ST-12</v>
          </cell>
          <cell r="Y1441" t="str">
            <v>NOT YET FITUP</v>
          </cell>
        </row>
        <row r="1442">
          <cell r="A1442" t="str">
            <v>9001-2211-DS-1004-05-WM144</v>
          </cell>
          <cell r="B1442" t="str">
            <v>9001-2211-DS-1004-05-WM</v>
          </cell>
          <cell r="C1442">
            <v>144</v>
          </cell>
          <cell r="D1442" t="str">
            <v>X3</v>
          </cell>
          <cell r="E1442" t="str">
            <v>F</v>
          </cell>
          <cell r="F1442" t="str">
            <v>10%MT</v>
          </cell>
          <cell r="G1442" t="str">
            <v>D</v>
          </cell>
          <cell r="H1442">
            <v>6179.52</v>
          </cell>
          <cell r="K1442" t="str">
            <v>WPS-TNHA-S11</v>
          </cell>
          <cell r="Y1442" t="str">
            <v>NOT YET FITUP</v>
          </cell>
        </row>
        <row r="1443">
          <cell r="A1443" t="str">
            <v>9001-2211-DS-0029-01-WM1</v>
          </cell>
          <cell r="B1443" t="str">
            <v>9001-2211-DS-0029-01-WM</v>
          </cell>
          <cell r="C1443">
            <v>1</v>
          </cell>
          <cell r="Y1443" t="str">
            <v>NOT YET FITUP</v>
          </cell>
        </row>
        <row r="1444">
          <cell r="A1444" t="str">
            <v>9001-2211-DS-0029-01-WM2</v>
          </cell>
          <cell r="B1444" t="str">
            <v>9001-2211-DS-0029-01-WM</v>
          </cell>
          <cell r="C1444">
            <v>2</v>
          </cell>
          <cell r="Y1444" t="str">
            <v>NOT YET FITUP</v>
          </cell>
        </row>
        <row r="1445">
          <cell r="A1445" t="str">
            <v>9001-2211-DS-0029-01-WM3</v>
          </cell>
          <cell r="B1445" t="str">
            <v>9001-2211-DS-0029-01-WM</v>
          </cell>
          <cell r="C1445">
            <v>3</v>
          </cell>
          <cell r="Y1445" t="str">
            <v>NOT YET FITUP</v>
          </cell>
        </row>
        <row r="1446">
          <cell r="A1446" t="str">
            <v>9001-2211-DS-0029-01-WM4</v>
          </cell>
          <cell r="B1446" t="str">
            <v>9001-2211-DS-0029-01-WM</v>
          </cell>
          <cell r="C1446">
            <v>4</v>
          </cell>
          <cell r="Y1446" t="str">
            <v>NOT YET FITUP</v>
          </cell>
        </row>
        <row r="1447">
          <cell r="A1447" t="str">
            <v>9001-2211-DS-0029-01-WM5</v>
          </cell>
          <cell r="B1447" t="str">
            <v>9001-2211-DS-0029-01-WM</v>
          </cell>
          <cell r="C1447">
            <v>5</v>
          </cell>
          <cell r="Y1447" t="str">
            <v>NOT YET FITUP</v>
          </cell>
        </row>
        <row r="1448">
          <cell r="A1448" t="str">
            <v>9001-2211-DS-0029-01-WM6</v>
          </cell>
          <cell r="B1448" t="str">
            <v>9001-2211-DS-0029-01-WM</v>
          </cell>
          <cell r="C1448">
            <v>6</v>
          </cell>
          <cell r="Y1448" t="str">
            <v>NOT YET FITUP</v>
          </cell>
        </row>
        <row r="1449">
          <cell r="A1449" t="str">
            <v>9001-2211-DS-0029-01-WM7</v>
          </cell>
          <cell r="B1449" t="str">
            <v>9001-2211-DS-0029-01-WM</v>
          </cell>
          <cell r="C1449">
            <v>7</v>
          </cell>
          <cell r="Y1449" t="str">
            <v>NOT YET FITUP</v>
          </cell>
        </row>
        <row r="1450">
          <cell r="A1450" t="str">
            <v>9001-2211-DS-0029-01-WM8</v>
          </cell>
          <cell r="B1450" t="str">
            <v>9001-2211-DS-0029-01-WM</v>
          </cell>
          <cell r="C1450">
            <v>8</v>
          </cell>
          <cell r="Y1450" t="str">
            <v>NOT YET FITUP</v>
          </cell>
        </row>
        <row r="1451">
          <cell r="A1451" t="str">
            <v>9001-2211-DS-0029-01-WM9</v>
          </cell>
          <cell r="B1451" t="str">
            <v>9001-2211-DS-0029-01-WM</v>
          </cell>
          <cell r="C1451">
            <v>9</v>
          </cell>
          <cell r="Y1451" t="str">
            <v>NOT YET FITUP</v>
          </cell>
        </row>
        <row r="1452">
          <cell r="A1452" t="str">
            <v>9001-2211-DS-0029-01-WM10</v>
          </cell>
          <cell r="B1452" t="str">
            <v>9001-2211-DS-0029-01-WM</v>
          </cell>
          <cell r="C1452">
            <v>10</v>
          </cell>
          <cell r="Y1452" t="str">
            <v>NOT YET FITUP</v>
          </cell>
        </row>
        <row r="1453">
          <cell r="A1453" t="str">
            <v>9001-2211-DS-0029-01-WM11</v>
          </cell>
          <cell r="B1453" t="str">
            <v>9001-2211-DS-0029-01-WM</v>
          </cell>
          <cell r="C1453">
            <v>11</v>
          </cell>
          <cell r="Y1453" t="str">
            <v>NOT YET FITUP</v>
          </cell>
        </row>
        <row r="1454">
          <cell r="A1454" t="str">
            <v>9001-2211-DS-0029-01-WM12</v>
          </cell>
          <cell r="B1454" t="str">
            <v>9001-2211-DS-0029-01-WM</v>
          </cell>
          <cell r="C1454">
            <v>12</v>
          </cell>
          <cell r="Y1454" t="str">
            <v>NOT YET FITUP</v>
          </cell>
        </row>
        <row r="1455">
          <cell r="A1455" t="str">
            <v>9001-2211-DS-0029-01-WM13</v>
          </cell>
          <cell r="B1455" t="str">
            <v>9001-2211-DS-0029-01-WM</v>
          </cell>
          <cell r="C1455">
            <v>13</v>
          </cell>
          <cell r="Y1455" t="str">
            <v>NOT YET FITUP</v>
          </cell>
        </row>
        <row r="1456">
          <cell r="A1456" t="str">
            <v>9001-2211-DS-0029-01-WM14</v>
          </cell>
          <cell r="B1456" t="str">
            <v>9001-2211-DS-0029-01-WM</v>
          </cell>
          <cell r="C1456">
            <v>14</v>
          </cell>
          <cell r="Y1456" t="str">
            <v>NOT YET FITUP</v>
          </cell>
        </row>
        <row r="1457">
          <cell r="A1457" t="str">
            <v>9001-2211-DS-0029-01-WM15</v>
          </cell>
          <cell r="B1457" t="str">
            <v>9001-2211-DS-0029-01-WM</v>
          </cell>
          <cell r="C1457">
            <v>15</v>
          </cell>
          <cell r="Y1457" t="str">
            <v>NOT YET FITUP</v>
          </cell>
        </row>
        <row r="1458">
          <cell r="A1458" t="str">
            <v>9001-2211-DS-0029-01-WM16</v>
          </cell>
          <cell r="B1458" t="str">
            <v>9001-2211-DS-0029-01-WM</v>
          </cell>
          <cell r="C1458">
            <v>16</v>
          </cell>
          <cell r="Y1458" t="str">
            <v>NOT YET FITUP</v>
          </cell>
        </row>
        <row r="1459">
          <cell r="A1459" t="str">
            <v>9001-2211-DS-0029-01-WM17</v>
          </cell>
          <cell r="B1459" t="str">
            <v>9001-2211-DS-0029-01-WM</v>
          </cell>
          <cell r="C1459">
            <v>17</v>
          </cell>
          <cell r="Y1459" t="str">
            <v>NOT YET FITUP</v>
          </cell>
        </row>
        <row r="1460">
          <cell r="A1460" t="str">
            <v>9001-2211-DS-0029-01-WM18</v>
          </cell>
          <cell r="B1460" t="str">
            <v>9001-2211-DS-0029-01-WM</v>
          </cell>
          <cell r="C1460">
            <v>18</v>
          </cell>
          <cell r="Y1460" t="str">
            <v>NOT YET FITUP</v>
          </cell>
        </row>
        <row r="1461">
          <cell r="A1461" t="str">
            <v>9001-2211-DS-0029-01-WM19</v>
          </cell>
          <cell r="B1461" t="str">
            <v>9001-2211-DS-0029-01-WM</v>
          </cell>
          <cell r="C1461">
            <v>19</v>
          </cell>
          <cell r="Y1461" t="str">
            <v>NOT YET FITUP</v>
          </cell>
        </row>
        <row r="1462">
          <cell r="A1462" t="str">
            <v>9001-2211-DS-0029-01-WM20</v>
          </cell>
          <cell r="B1462" t="str">
            <v>9001-2211-DS-0029-01-WM</v>
          </cell>
          <cell r="C1462">
            <v>20</v>
          </cell>
          <cell r="Y1462" t="str">
            <v>NOT YET FITUP</v>
          </cell>
        </row>
        <row r="1463">
          <cell r="A1463" t="str">
            <v>9001-2211-DS-1012-05-WM1</v>
          </cell>
          <cell r="B1463" t="str">
            <v>9001-2211-DS-1012-05-WM</v>
          </cell>
          <cell r="C1463">
            <v>1</v>
          </cell>
          <cell r="Y1463" t="str">
            <v>NOT YET FITUP</v>
          </cell>
        </row>
        <row r="1464">
          <cell r="A1464" t="str">
            <v>9001-2211-DS-1012-05-WM2</v>
          </cell>
          <cell r="B1464" t="str">
            <v>9001-2211-DS-1012-05-WM</v>
          </cell>
          <cell r="C1464">
            <v>2</v>
          </cell>
          <cell r="Y1464" t="str">
            <v>NOT YET FITUP</v>
          </cell>
        </row>
        <row r="1465">
          <cell r="A1465" t="str">
            <v>9001-2211-DS-1012-05-WM3</v>
          </cell>
          <cell r="B1465" t="str">
            <v>9001-2211-DS-1012-05-WM</v>
          </cell>
          <cell r="C1465">
            <v>3</v>
          </cell>
          <cell r="Y1465" t="str">
            <v>NOT YET FITUP</v>
          </cell>
        </row>
        <row r="1466">
          <cell r="A1466" t="str">
            <v>9001-2211-DS-1012-05-WM4</v>
          </cell>
          <cell r="B1466" t="str">
            <v>9001-2211-DS-1012-05-WM</v>
          </cell>
          <cell r="C1466">
            <v>4</v>
          </cell>
          <cell r="Y1466" t="str">
            <v>NOT YET FITUP</v>
          </cell>
        </row>
        <row r="1467">
          <cell r="A1467" t="str">
            <v>9001-2211-DS-1012-05-WM5</v>
          </cell>
          <cell r="B1467" t="str">
            <v>9001-2211-DS-1012-05-WM</v>
          </cell>
          <cell r="C1467">
            <v>5</v>
          </cell>
          <cell r="Y1467" t="str">
            <v>NOT YET FITUP</v>
          </cell>
        </row>
        <row r="1468">
          <cell r="A1468" t="str">
            <v>9001-2211-DS-1012-05-WM6</v>
          </cell>
          <cell r="B1468" t="str">
            <v>9001-2211-DS-1012-05-WM</v>
          </cell>
          <cell r="C1468">
            <v>6</v>
          </cell>
          <cell r="Y1468" t="str">
            <v>NOT YET FITUP</v>
          </cell>
        </row>
        <row r="1469">
          <cell r="A1469" t="str">
            <v>9001-2211-DS-1012-05-WM7</v>
          </cell>
          <cell r="B1469" t="str">
            <v>9001-2211-DS-1012-05-WM</v>
          </cell>
          <cell r="C1469">
            <v>7</v>
          </cell>
          <cell r="Y1469" t="str">
            <v>NOT YET FITUP</v>
          </cell>
        </row>
        <row r="1470">
          <cell r="A1470" t="str">
            <v>9001-2211-DS-1012-05-WM8</v>
          </cell>
          <cell r="B1470" t="str">
            <v>9001-2211-DS-1012-05-WM</v>
          </cell>
          <cell r="C1470">
            <v>8</v>
          </cell>
          <cell r="Y1470" t="str">
            <v>NOT YET FITUP</v>
          </cell>
        </row>
        <row r="1471">
          <cell r="A1471" t="str">
            <v>9001-2211-DS-1012-05-WM9</v>
          </cell>
          <cell r="B1471" t="str">
            <v>9001-2211-DS-1012-05-WM</v>
          </cell>
          <cell r="C1471">
            <v>9</v>
          </cell>
          <cell r="Y1471" t="str">
            <v>NOT YET FITUP</v>
          </cell>
        </row>
        <row r="1472">
          <cell r="A1472" t="str">
            <v>9001-2211-DS-1012-05-WM10</v>
          </cell>
          <cell r="B1472" t="str">
            <v>9001-2211-DS-1012-05-WM</v>
          </cell>
          <cell r="C1472">
            <v>10</v>
          </cell>
          <cell r="Y1472" t="str">
            <v>NOT YET FITUP</v>
          </cell>
        </row>
        <row r="1473">
          <cell r="A1473" t="str">
            <v>9001-2211-DS-1012-05-WM11</v>
          </cell>
          <cell r="B1473" t="str">
            <v>9001-2211-DS-1012-05-WM</v>
          </cell>
          <cell r="C1473">
            <v>11</v>
          </cell>
          <cell r="Y1473" t="str">
            <v>NOT YET FITUP</v>
          </cell>
        </row>
        <row r="1474">
          <cell r="A1474" t="str">
            <v>9001-2211-DS-1012-05-WM12</v>
          </cell>
          <cell r="B1474" t="str">
            <v>9001-2211-DS-1012-05-WM</v>
          </cell>
          <cell r="C1474">
            <v>12</v>
          </cell>
          <cell r="Y1474" t="str">
            <v>NOT YET FITUP</v>
          </cell>
        </row>
        <row r="1475">
          <cell r="A1475" t="str">
            <v>9001-2211-DS-1012-05-WM13</v>
          </cell>
          <cell r="B1475" t="str">
            <v>9001-2211-DS-1012-05-WM</v>
          </cell>
          <cell r="C1475">
            <v>13</v>
          </cell>
          <cell r="Y1475" t="str">
            <v>NOT YET FITUP</v>
          </cell>
        </row>
        <row r="1476">
          <cell r="A1476" t="str">
            <v>9001-2211-DS-1012-05-WM14</v>
          </cell>
          <cell r="B1476" t="str">
            <v>9001-2211-DS-1012-05-WM</v>
          </cell>
          <cell r="C1476">
            <v>14</v>
          </cell>
          <cell r="Y1476" t="str">
            <v>NOT YET FITUP</v>
          </cell>
        </row>
        <row r="1477">
          <cell r="A1477" t="str">
            <v>9001-2211-DS-1012-05-WM15</v>
          </cell>
          <cell r="B1477" t="str">
            <v>9001-2211-DS-1012-05-WM</v>
          </cell>
          <cell r="C1477">
            <v>15</v>
          </cell>
          <cell r="Y1477" t="str">
            <v>NOT YET FITUP</v>
          </cell>
        </row>
        <row r="1478">
          <cell r="A1478" t="str">
            <v>9001-2211-DS-1012-05-WM16</v>
          </cell>
          <cell r="B1478" t="str">
            <v>9001-2211-DS-1012-05-WM</v>
          </cell>
          <cell r="C1478">
            <v>16</v>
          </cell>
          <cell r="Y1478" t="str">
            <v>NOT YET FITUP</v>
          </cell>
        </row>
        <row r="1479">
          <cell r="A1479" t="str">
            <v>9001-2211-DS-0020-02-WM1</v>
          </cell>
          <cell r="B1479" t="str">
            <v>9001-2211-DS-0020-02-WM</v>
          </cell>
          <cell r="C1479">
            <v>1</v>
          </cell>
          <cell r="E1479" t="str">
            <v>SB</v>
          </cell>
          <cell r="F1479" t="str">
            <v>10%MT&amp;UT</v>
          </cell>
          <cell r="G1479" t="str">
            <v>L</v>
          </cell>
          <cell r="I1479">
            <v>12</v>
          </cell>
          <cell r="K1479" t="str">
            <v>WPS-TNHA-S06</v>
          </cell>
          <cell r="L1479" t="str">
            <v>ST-09</v>
          </cell>
          <cell r="M1479" t="str">
            <v>TUÂN</v>
          </cell>
          <cell r="N1479">
            <v>46011</v>
          </cell>
          <cell r="O1479" t="str">
            <v>F-144</v>
          </cell>
          <cell r="Y1479" t="str">
            <v>NOT YET VISUAL</v>
          </cell>
        </row>
        <row r="1480">
          <cell r="A1480" t="str">
            <v>9001-2211-DS-0020-02-WM2</v>
          </cell>
          <cell r="B1480" t="str">
            <v>9001-2211-DS-0020-02-WM</v>
          </cell>
          <cell r="C1480">
            <v>2</v>
          </cell>
          <cell r="E1480" t="str">
            <v>SB</v>
          </cell>
          <cell r="F1480" t="str">
            <v>10%MT&amp;UT</v>
          </cell>
          <cell r="G1480" t="str">
            <v>L</v>
          </cell>
          <cell r="I1480">
            <v>12</v>
          </cell>
          <cell r="K1480" t="str">
            <v>WPS-TNHA-S06</v>
          </cell>
          <cell r="L1480" t="str">
            <v>ST-09</v>
          </cell>
          <cell r="M1480" t="str">
            <v>TUÂN</v>
          </cell>
          <cell r="N1480">
            <v>46011</v>
          </cell>
          <cell r="O1480" t="str">
            <v>F-144</v>
          </cell>
          <cell r="Y1480" t="str">
            <v>NOT YET VISUAL</v>
          </cell>
        </row>
        <row r="1481">
          <cell r="A1481" t="str">
            <v>9001-2211-DS-0020-02-WM3</v>
          </cell>
          <cell r="B1481" t="str">
            <v>9001-2211-DS-0020-02-WM</v>
          </cell>
          <cell r="C1481">
            <v>3</v>
          </cell>
          <cell r="E1481" t="str">
            <v>SB</v>
          </cell>
          <cell r="F1481" t="str">
            <v>10%MT&amp;UT</v>
          </cell>
          <cell r="G1481" t="str">
            <v>L</v>
          </cell>
          <cell r="I1481">
            <v>12</v>
          </cell>
          <cell r="K1481" t="str">
            <v>WPS-TNHA-S06</v>
          </cell>
          <cell r="L1481" t="str">
            <v>ST-09</v>
          </cell>
          <cell r="M1481" t="str">
            <v>TUÂN</v>
          </cell>
          <cell r="N1481">
            <v>46011</v>
          </cell>
          <cell r="O1481" t="str">
            <v>F-144</v>
          </cell>
          <cell r="Y1481" t="str">
            <v>NOT YET VISUAL</v>
          </cell>
        </row>
        <row r="1482">
          <cell r="A1482" t="str">
            <v>9001-2211-DS-1004-02-WM1</v>
          </cell>
          <cell r="B1482" t="str">
            <v>9001-2211-DS-1004-02-WM</v>
          </cell>
          <cell r="C1482">
            <v>1</v>
          </cell>
        </row>
        <row r="1483">
          <cell r="A1483" t="str">
            <v>9001-2211-DS-1004-02-WM2</v>
          </cell>
          <cell r="B1483" t="str">
            <v>9001-2211-DS-1004-02-WM</v>
          </cell>
          <cell r="C1483">
            <v>2</v>
          </cell>
        </row>
        <row r="1484">
          <cell r="A1484" t="str">
            <v>9001-2211-DS-1004-02-WM3</v>
          </cell>
          <cell r="B1484" t="str">
            <v>9001-2211-DS-1004-02-WM</v>
          </cell>
          <cell r="C1484">
            <v>3</v>
          </cell>
        </row>
        <row r="1485">
          <cell r="A1485" t="str">
            <v>9001-2211-DS-1004-02-WM4</v>
          </cell>
          <cell r="B1485" t="str">
            <v>9001-2211-DS-1004-02-WM</v>
          </cell>
          <cell r="C1485">
            <v>4</v>
          </cell>
        </row>
        <row r="1486">
          <cell r="A1486" t="str">
            <v>9001-2211-DS-1004-02-WM5</v>
          </cell>
          <cell r="B1486" t="str">
            <v>9001-2211-DS-1004-02-WM</v>
          </cell>
          <cell r="C1486">
            <v>5</v>
          </cell>
        </row>
        <row r="1487">
          <cell r="A1487" t="str">
            <v>9001-2211-DS-1004-02-WM6</v>
          </cell>
          <cell r="B1487" t="str">
            <v>9001-2211-DS-1004-02-WM</v>
          </cell>
          <cell r="C1487">
            <v>6</v>
          </cell>
        </row>
        <row r="1488">
          <cell r="A1488" t="str">
            <v>9001-2211-DS-1004-02-WM7</v>
          </cell>
          <cell r="B1488" t="str">
            <v>9001-2211-DS-1004-02-WM</v>
          </cell>
          <cell r="C1488">
            <v>7</v>
          </cell>
        </row>
        <row r="1489">
          <cell r="A1489" t="str">
            <v>9001-2211-DS-1004-02-WM8</v>
          </cell>
          <cell r="B1489" t="str">
            <v>9001-2211-DS-1004-02-WM</v>
          </cell>
          <cell r="C1489">
            <v>8</v>
          </cell>
        </row>
        <row r="1490">
          <cell r="A1490" t="str">
            <v>9001-2211-DS-1004-02-WM9</v>
          </cell>
          <cell r="B1490" t="str">
            <v>9001-2211-DS-1004-02-WM</v>
          </cell>
          <cell r="C1490">
            <v>9</v>
          </cell>
        </row>
        <row r="1491">
          <cell r="A1491" t="str">
            <v>9001-2211-DS-1004-02-WM10</v>
          </cell>
          <cell r="B1491" t="str">
            <v>9001-2211-DS-1004-02-WM</v>
          </cell>
          <cell r="C1491">
            <v>10</v>
          </cell>
        </row>
        <row r="1492">
          <cell r="A1492" t="str">
            <v>9001-2211-DS-1004-02-WM11</v>
          </cell>
          <cell r="B1492" t="str">
            <v>9001-2211-DS-1004-02-WM</v>
          </cell>
          <cell r="C1492">
            <v>11</v>
          </cell>
        </row>
        <row r="1493">
          <cell r="A1493" t="str">
            <v>9001-2211-DS-1004-02-WM12</v>
          </cell>
          <cell r="B1493" t="str">
            <v>9001-2211-DS-1004-02-WM</v>
          </cell>
          <cell r="C1493">
            <v>12</v>
          </cell>
        </row>
        <row r="1494">
          <cell r="A1494" t="str">
            <v>9001-2211-DS-1004-02-WM13</v>
          </cell>
          <cell r="B1494" t="str">
            <v>9001-2211-DS-1004-02-WM</v>
          </cell>
          <cell r="C1494">
            <v>13</v>
          </cell>
        </row>
        <row r="1495">
          <cell r="A1495" t="str">
            <v>9001-2211-DS-1004-02-WM14</v>
          </cell>
          <cell r="B1495" t="str">
            <v>9001-2211-DS-1004-02-WM</v>
          </cell>
          <cell r="C1495">
            <v>14</v>
          </cell>
        </row>
        <row r="1496">
          <cell r="A1496" t="str">
            <v>9001-2211-DS-1004-02-WM15</v>
          </cell>
          <cell r="B1496" t="str">
            <v>9001-2211-DS-1004-02-WM</v>
          </cell>
          <cell r="C1496">
            <v>15</v>
          </cell>
        </row>
        <row r="1497">
          <cell r="A1497" t="str">
            <v>9001-2211-DS-1004-02-WM16</v>
          </cell>
          <cell r="B1497" t="str">
            <v>9001-2211-DS-1004-02-WM</v>
          </cell>
          <cell r="C1497">
            <v>16</v>
          </cell>
        </row>
        <row r="1498">
          <cell r="A1498" t="str">
            <v>9001-2211-DS-1004-02-WM17</v>
          </cell>
          <cell r="B1498" t="str">
            <v>9001-2211-DS-1004-02-WM</v>
          </cell>
          <cell r="C1498">
            <v>17</v>
          </cell>
        </row>
        <row r="1499">
          <cell r="A1499" t="str">
            <v>9001-2211-DS-1004-02-WM18</v>
          </cell>
          <cell r="B1499" t="str">
            <v>9001-2211-DS-1004-02-WM</v>
          </cell>
          <cell r="C1499">
            <v>18</v>
          </cell>
        </row>
        <row r="1500">
          <cell r="A1500" t="str">
            <v>9001-2211-DS-1004-02-WM19</v>
          </cell>
          <cell r="B1500" t="str">
            <v>9001-2211-DS-1004-02-WM</v>
          </cell>
          <cell r="C1500">
            <v>19</v>
          </cell>
        </row>
        <row r="1501">
          <cell r="A1501" t="str">
            <v>9001-2211-DS-1004-02-WM20</v>
          </cell>
          <cell r="B1501" t="str">
            <v>9001-2211-DS-1004-02-WM</v>
          </cell>
          <cell r="C1501">
            <v>20</v>
          </cell>
        </row>
        <row r="1502">
          <cell r="A1502" t="str">
            <v>9001-2211-DS-1004-02-WM21</v>
          </cell>
          <cell r="B1502" t="str">
            <v>9001-2211-DS-1004-02-WM</v>
          </cell>
          <cell r="C1502">
            <v>21</v>
          </cell>
        </row>
        <row r="1503">
          <cell r="A1503" t="str">
            <v>9001-2211-DS-1004-02-WM22</v>
          </cell>
          <cell r="B1503" t="str">
            <v>9001-2211-DS-1004-02-WM</v>
          </cell>
          <cell r="C1503">
            <v>22</v>
          </cell>
        </row>
        <row r="1504">
          <cell r="A1504" t="str">
            <v>9001-2211-DS-1004-02-WM23</v>
          </cell>
          <cell r="B1504" t="str">
            <v>9001-2211-DS-1004-02-WM</v>
          </cell>
          <cell r="C1504">
            <v>23</v>
          </cell>
        </row>
        <row r="1505">
          <cell r="A1505" t="str">
            <v>9001-2211-DS-1004-02-WM24</v>
          </cell>
          <cell r="B1505" t="str">
            <v>9001-2211-DS-1004-02-WM</v>
          </cell>
          <cell r="C1505">
            <v>24</v>
          </cell>
        </row>
        <row r="1506">
          <cell r="A1506" t="str">
            <v>9001-2211-DS-1004-02-WM25</v>
          </cell>
          <cell r="B1506" t="str">
            <v>9001-2211-DS-1004-02-WM</v>
          </cell>
          <cell r="C1506">
            <v>25</v>
          </cell>
        </row>
        <row r="1507">
          <cell r="A1507" t="str">
            <v>9001-2211-DS-1004-02-WM26</v>
          </cell>
          <cell r="B1507" t="str">
            <v>9001-2211-DS-1004-02-WM</v>
          </cell>
          <cell r="C1507">
            <v>26</v>
          </cell>
        </row>
        <row r="1508">
          <cell r="A1508" t="str">
            <v>9001-2211-DS-1004-02-WM27</v>
          </cell>
          <cell r="B1508" t="str">
            <v>9001-2211-DS-1004-02-WM</v>
          </cell>
          <cell r="C1508">
            <v>27</v>
          </cell>
        </row>
        <row r="1509">
          <cell r="A1509" t="str">
            <v>9001-2211-DS-1004-02-WM28</v>
          </cell>
          <cell r="B1509" t="str">
            <v>9001-2211-DS-1004-02-WM</v>
          </cell>
          <cell r="C1509">
            <v>28</v>
          </cell>
        </row>
        <row r="1510">
          <cell r="A1510" t="str">
            <v>9001-2211-DS-1004-02-WM29</v>
          </cell>
          <cell r="B1510" t="str">
            <v>9001-2211-DS-1004-02-WM</v>
          </cell>
          <cell r="C1510">
            <v>29</v>
          </cell>
        </row>
        <row r="1511">
          <cell r="A1511" t="str">
            <v>9001-2211-DS-1004-02-WM30</v>
          </cell>
          <cell r="B1511" t="str">
            <v>9001-2211-DS-1004-02-WM</v>
          </cell>
          <cell r="C1511">
            <v>30</v>
          </cell>
        </row>
        <row r="1512">
          <cell r="A1512" t="str">
            <v>9001-2211-DS-1004-02-WM31</v>
          </cell>
          <cell r="B1512" t="str">
            <v>9001-2211-DS-1004-02-WM</v>
          </cell>
          <cell r="C1512">
            <v>31</v>
          </cell>
        </row>
        <row r="1513">
          <cell r="A1513" t="str">
            <v>9001-2211-DS-1004-02-WM32</v>
          </cell>
          <cell r="B1513" t="str">
            <v>9001-2211-DS-1004-02-WM</v>
          </cell>
          <cell r="C1513">
            <v>32</v>
          </cell>
        </row>
        <row r="1514">
          <cell r="A1514" t="str">
            <v>9001-2211-DS-1004-02-WM33</v>
          </cell>
          <cell r="B1514" t="str">
            <v>9001-2211-DS-1004-02-WM</v>
          </cell>
          <cell r="C1514">
            <v>33</v>
          </cell>
        </row>
        <row r="1515">
          <cell r="A1515" t="str">
            <v>9001-2211-DS-1004-02-WM34</v>
          </cell>
          <cell r="B1515" t="str">
            <v>9001-2211-DS-1004-02-WM</v>
          </cell>
          <cell r="C1515">
            <v>34</v>
          </cell>
        </row>
        <row r="1516">
          <cell r="A1516" t="str">
            <v>9001-2211-DS-1004-02-WM35</v>
          </cell>
          <cell r="B1516" t="str">
            <v>9001-2211-DS-1004-02-WM</v>
          </cell>
          <cell r="C1516">
            <v>35</v>
          </cell>
        </row>
        <row r="1517">
          <cell r="A1517" t="str">
            <v>9001-2211-DS-1004-02-WM36</v>
          </cell>
          <cell r="B1517" t="str">
            <v>9001-2211-DS-1004-02-WM</v>
          </cell>
          <cell r="C1517">
            <v>36</v>
          </cell>
        </row>
        <row r="1518">
          <cell r="A1518" t="str">
            <v>9001-2211-DS-1004-02-WM37</v>
          </cell>
          <cell r="B1518" t="str">
            <v>9001-2211-DS-1004-02-WM</v>
          </cell>
          <cell r="C1518">
            <v>37</v>
          </cell>
        </row>
        <row r="1519">
          <cell r="A1519" t="str">
            <v>9001-2211-DS-1004-02-WM38</v>
          </cell>
          <cell r="B1519" t="str">
            <v>9001-2211-DS-1004-02-WM</v>
          </cell>
          <cell r="C1519">
            <v>38</v>
          </cell>
        </row>
        <row r="1520">
          <cell r="A1520" t="str">
            <v>9001-2211-DS-1004-02-WM39</v>
          </cell>
          <cell r="B1520" t="str">
            <v>9001-2211-DS-1004-02-WM</v>
          </cell>
          <cell r="C1520">
            <v>39</v>
          </cell>
        </row>
        <row r="1521">
          <cell r="A1521" t="str">
            <v>9001-2211-DS-1004-02-WM40</v>
          </cell>
          <cell r="B1521" t="str">
            <v>9001-2211-DS-1004-02-WM</v>
          </cell>
          <cell r="C1521">
            <v>40</v>
          </cell>
        </row>
        <row r="1522">
          <cell r="A1522" t="str">
            <v>9001-2211-DS-1004-02-WM41</v>
          </cell>
          <cell r="B1522" t="str">
            <v>9001-2211-DS-1004-02-WM</v>
          </cell>
          <cell r="C1522">
            <v>41</v>
          </cell>
        </row>
        <row r="1523">
          <cell r="A1523" t="str">
            <v>9001-2211-DS-1004-02-WM42</v>
          </cell>
          <cell r="B1523" t="str">
            <v>9001-2211-DS-1004-02-WM</v>
          </cell>
          <cell r="C1523">
            <v>42</v>
          </cell>
        </row>
        <row r="1524">
          <cell r="A1524" t="str">
            <v>9001-2211-DS-1004-02-WM43</v>
          </cell>
          <cell r="B1524" t="str">
            <v>9001-2211-DS-1004-02-WM</v>
          </cell>
          <cell r="C1524">
            <v>43</v>
          </cell>
        </row>
        <row r="1525">
          <cell r="A1525" t="str">
            <v>9001-2211-DS-1004-02-WM44</v>
          </cell>
          <cell r="B1525" t="str">
            <v>9001-2211-DS-1004-02-WM</v>
          </cell>
          <cell r="C1525">
            <v>44</v>
          </cell>
        </row>
        <row r="1526">
          <cell r="A1526" t="str">
            <v>9001-2211-DS-1004-02-WM45</v>
          </cell>
          <cell r="B1526" t="str">
            <v>9001-2211-DS-1004-02-WM</v>
          </cell>
          <cell r="C1526">
            <v>45</v>
          </cell>
        </row>
        <row r="1527">
          <cell r="A1527" t="str">
            <v>9001-2211-DS-1004-02-WM46</v>
          </cell>
          <cell r="B1527" t="str">
            <v>9001-2211-DS-1004-02-WM</v>
          </cell>
          <cell r="C1527">
            <v>46</v>
          </cell>
        </row>
        <row r="1528">
          <cell r="A1528" t="str">
            <v>9001-2211-DS-1004-02-WM47</v>
          </cell>
          <cell r="B1528" t="str">
            <v>9001-2211-DS-1004-02-WM</v>
          </cell>
          <cell r="C1528">
            <v>47</v>
          </cell>
        </row>
        <row r="1529">
          <cell r="A1529" t="str">
            <v>9001-2211-DS-1004-02-WM48</v>
          </cell>
          <cell r="B1529" t="str">
            <v>9001-2211-DS-1004-02-WM</v>
          </cell>
          <cell r="C1529">
            <v>48</v>
          </cell>
        </row>
        <row r="1530">
          <cell r="A1530" t="str">
            <v>9001-2211-DS-1004-02-WM49</v>
          </cell>
          <cell r="B1530" t="str">
            <v>9001-2211-DS-1004-02-WM</v>
          </cell>
          <cell r="C1530">
            <v>49</v>
          </cell>
        </row>
        <row r="1531">
          <cell r="A1531" t="str">
            <v>9001-2211-DS-1004-02-WM50</v>
          </cell>
          <cell r="B1531" t="str">
            <v>9001-2211-DS-1004-02-WM</v>
          </cell>
          <cell r="C1531">
            <v>50</v>
          </cell>
        </row>
        <row r="1532">
          <cell r="A1532" t="str">
            <v>9001-2211-DS-1004-02-WM51</v>
          </cell>
          <cell r="B1532" t="str">
            <v>9001-2211-DS-1004-02-WM</v>
          </cell>
          <cell r="C1532">
            <v>51</v>
          </cell>
        </row>
        <row r="1533">
          <cell r="A1533" t="str">
            <v>9001-2211-DS-1004-02-WM52</v>
          </cell>
          <cell r="B1533" t="str">
            <v>9001-2211-DS-1004-02-WM</v>
          </cell>
          <cell r="C1533">
            <v>52</v>
          </cell>
        </row>
        <row r="1534">
          <cell r="A1534" t="str">
            <v>9001-2211-DS-1004-02-WM53</v>
          </cell>
          <cell r="B1534" t="str">
            <v>9001-2211-DS-1004-02-WM</v>
          </cell>
          <cell r="C1534">
            <v>53</v>
          </cell>
        </row>
        <row r="1535">
          <cell r="A1535" t="str">
            <v>9001-2211-DS-1004-02-WM54</v>
          </cell>
          <cell r="B1535" t="str">
            <v>9001-2211-DS-1004-02-WM</v>
          </cell>
          <cell r="C1535">
            <v>54</v>
          </cell>
        </row>
        <row r="1536">
          <cell r="A1536" t="str">
            <v>9001-2211-DS-1004-02-WM55</v>
          </cell>
          <cell r="B1536" t="str">
            <v>9001-2211-DS-1004-02-WM</v>
          </cell>
          <cell r="C1536">
            <v>55</v>
          </cell>
        </row>
        <row r="1537">
          <cell r="A1537" t="str">
            <v>9001-2211-DS-1004-02-WM56</v>
          </cell>
          <cell r="B1537" t="str">
            <v>9001-2211-DS-1004-02-WM</v>
          </cell>
          <cell r="C1537">
            <v>56</v>
          </cell>
        </row>
        <row r="1538">
          <cell r="A1538" t="str">
            <v>9001-2211-DS-1004-03-WM1</v>
          </cell>
          <cell r="B1538" t="str">
            <v>9001-2211-DS-1004-03-WM</v>
          </cell>
          <cell r="C1538">
            <v>1</v>
          </cell>
        </row>
        <row r="1539">
          <cell r="A1539" t="str">
            <v>9001-2211-DS-1004-03-WM2</v>
          </cell>
          <cell r="B1539" t="str">
            <v>9001-2211-DS-1004-03-WM</v>
          </cell>
          <cell r="C1539">
            <v>2</v>
          </cell>
        </row>
        <row r="1540">
          <cell r="A1540" t="str">
            <v>9001-2211-DS-1004-03-WM3</v>
          </cell>
          <cell r="B1540" t="str">
            <v>9001-2211-DS-1004-03-WM</v>
          </cell>
          <cell r="C1540">
            <v>3</v>
          </cell>
        </row>
        <row r="1541">
          <cell r="A1541" t="str">
            <v>9001-2211-DS-1004-03-WM4</v>
          </cell>
          <cell r="B1541" t="str">
            <v>9001-2211-DS-1004-03-WM</v>
          </cell>
          <cell r="C1541">
            <v>4</v>
          </cell>
        </row>
        <row r="1542">
          <cell r="A1542" t="str">
            <v>9001-2211-DS-1004-03-WM5</v>
          </cell>
          <cell r="B1542" t="str">
            <v>9001-2211-DS-1004-03-WM</v>
          </cell>
          <cell r="C1542">
            <v>5</v>
          </cell>
        </row>
        <row r="1543">
          <cell r="A1543" t="str">
            <v>9001-2211-DS-1004-03-WM6</v>
          </cell>
          <cell r="B1543" t="str">
            <v>9001-2211-DS-1004-03-WM</v>
          </cell>
          <cell r="C1543">
            <v>6</v>
          </cell>
        </row>
        <row r="1544">
          <cell r="A1544" t="str">
            <v>9001-2211-DS-1004-03-WM7</v>
          </cell>
          <cell r="B1544" t="str">
            <v>9001-2211-DS-1004-03-WM</v>
          </cell>
          <cell r="C1544">
            <v>7</v>
          </cell>
        </row>
        <row r="1545">
          <cell r="A1545" t="str">
            <v>9001-2211-DS-1004-03-WM8</v>
          </cell>
          <cell r="B1545" t="str">
            <v>9001-2211-DS-1004-03-WM</v>
          </cell>
          <cell r="C1545">
            <v>8</v>
          </cell>
        </row>
        <row r="1546">
          <cell r="A1546" t="str">
            <v>9001-2211-DS-1004-03-WM9</v>
          </cell>
          <cell r="B1546" t="str">
            <v>9001-2211-DS-1004-03-WM</v>
          </cell>
          <cell r="C1546">
            <v>9</v>
          </cell>
        </row>
        <row r="1547">
          <cell r="A1547" t="str">
            <v>9001-2211-DS-1004-03-WM10</v>
          </cell>
          <cell r="B1547" t="str">
            <v>9001-2211-DS-1004-03-WM</v>
          </cell>
          <cell r="C1547">
            <v>10</v>
          </cell>
        </row>
        <row r="1548">
          <cell r="A1548" t="str">
            <v>9001-2211-DS-1004-03-WM11</v>
          </cell>
          <cell r="B1548" t="str">
            <v>9001-2211-DS-1004-03-WM</v>
          </cell>
          <cell r="C1548">
            <v>11</v>
          </cell>
        </row>
        <row r="1549">
          <cell r="A1549" t="str">
            <v>9001-2211-DS-1004-03-WM12</v>
          </cell>
          <cell r="B1549" t="str">
            <v>9001-2211-DS-1004-03-WM</v>
          </cell>
          <cell r="C1549">
            <v>12</v>
          </cell>
        </row>
        <row r="1550">
          <cell r="A1550" t="str">
            <v>9001-2211-DS-1004-03-WM13</v>
          </cell>
          <cell r="B1550" t="str">
            <v>9001-2211-DS-1004-03-WM</v>
          </cell>
          <cell r="C1550">
            <v>13</v>
          </cell>
        </row>
        <row r="1551">
          <cell r="A1551" t="str">
            <v>9001-2211-DS-1004-03-WM14</v>
          </cell>
          <cell r="B1551" t="str">
            <v>9001-2211-DS-1004-03-WM</v>
          </cell>
          <cell r="C1551">
            <v>14</v>
          </cell>
        </row>
        <row r="1552">
          <cell r="A1552" t="str">
            <v>9001-2211-DS-1004-03-WM15</v>
          </cell>
          <cell r="B1552" t="str">
            <v>9001-2211-DS-1004-03-WM</v>
          </cell>
          <cell r="C1552">
            <v>15</v>
          </cell>
        </row>
        <row r="1553">
          <cell r="A1553" t="str">
            <v>9001-2211-DS-1004-03-WM16</v>
          </cell>
          <cell r="B1553" t="str">
            <v>9001-2211-DS-1004-03-WM</v>
          </cell>
          <cell r="C1553">
            <v>16</v>
          </cell>
        </row>
        <row r="1554">
          <cell r="A1554" t="str">
            <v>9001-2211-DS-1004-03-WM17</v>
          </cell>
          <cell r="B1554" t="str">
            <v>9001-2211-DS-1004-03-WM</v>
          </cell>
          <cell r="C1554">
            <v>17</v>
          </cell>
        </row>
        <row r="1555">
          <cell r="A1555" t="str">
            <v>9001-2211-DS-1004-03-WM18</v>
          </cell>
          <cell r="B1555" t="str">
            <v>9001-2211-DS-1004-03-WM</v>
          </cell>
          <cell r="C1555">
            <v>18</v>
          </cell>
        </row>
        <row r="1556">
          <cell r="A1556" t="str">
            <v>9001-2211-DS-1004-03-WM19</v>
          </cell>
          <cell r="B1556" t="str">
            <v>9001-2211-DS-1004-03-WM</v>
          </cell>
          <cell r="C1556">
            <v>19</v>
          </cell>
        </row>
        <row r="1557">
          <cell r="A1557" t="str">
            <v>9001-2211-DS-1004-03-WM20</v>
          </cell>
          <cell r="B1557" t="str">
            <v>9001-2211-DS-1004-03-WM</v>
          </cell>
          <cell r="C1557">
            <v>20</v>
          </cell>
        </row>
        <row r="1558">
          <cell r="A1558" t="str">
            <v>9001-2211-DS-1004-03-WM21</v>
          </cell>
          <cell r="B1558" t="str">
            <v>9001-2211-DS-1004-03-WM</v>
          </cell>
          <cell r="C1558">
            <v>21</v>
          </cell>
        </row>
        <row r="1559">
          <cell r="A1559" t="str">
            <v>9001-2211-DS-1004-03-WM22</v>
          </cell>
          <cell r="B1559" t="str">
            <v>9001-2211-DS-1004-03-WM</v>
          </cell>
          <cell r="C1559">
            <v>22</v>
          </cell>
        </row>
        <row r="1560">
          <cell r="A1560" t="str">
            <v>9001-2211-DS-1004-03-WM23</v>
          </cell>
          <cell r="B1560" t="str">
            <v>9001-2211-DS-1004-03-WM</v>
          </cell>
          <cell r="C1560">
            <v>23</v>
          </cell>
        </row>
        <row r="1561">
          <cell r="A1561" t="str">
            <v>9001-2211-DS-1004-03-WM24</v>
          </cell>
          <cell r="B1561" t="str">
            <v>9001-2211-DS-1004-03-WM</v>
          </cell>
          <cell r="C1561">
            <v>24</v>
          </cell>
        </row>
        <row r="1562">
          <cell r="A1562" t="str">
            <v>9001-2211-DS-1004-03-WM25</v>
          </cell>
          <cell r="B1562" t="str">
            <v>9001-2211-DS-1004-03-WM</v>
          </cell>
          <cell r="C1562">
            <v>25</v>
          </cell>
        </row>
        <row r="1563">
          <cell r="A1563" t="str">
            <v>9001-2211-DS-1004-03-WM26</v>
          </cell>
          <cell r="B1563" t="str">
            <v>9001-2211-DS-1004-03-WM</v>
          </cell>
          <cell r="C1563">
            <v>26</v>
          </cell>
        </row>
        <row r="1564">
          <cell r="A1564" t="str">
            <v>9001-2211-DS-1004-03-WM27</v>
          </cell>
          <cell r="B1564" t="str">
            <v>9001-2211-DS-1004-03-WM</v>
          </cell>
          <cell r="C1564">
            <v>27</v>
          </cell>
        </row>
        <row r="1565">
          <cell r="A1565" t="str">
            <v>9001-2211-DS-1004-03-WM28</v>
          </cell>
          <cell r="B1565" t="str">
            <v>9001-2211-DS-1004-03-WM</v>
          </cell>
          <cell r="C1565">
            <v>28</v>
          </cell>
        </row>
        <row r="1566">
          <cell r="A1566" t="str">
            <v>9001-2211-DS-1004-03-WM29</v>
          </cell>
          <cell r="B1566" t="str">
            <v>9001-2211-DS-1004-03-WM</v>
          </cell>
          <cell r="C1566">
            <v>29</v>
          </cell>
        </row>
        <row r="1567">
          <cell r="A1567" t="str">
            <v>9001-2211-DS-1004-03-WM30</v>
          </cell>
          <cell r="B1567" t="str">
            <v>9001-2211-DS-1004-03-WM</v>
          </cell>
          <cell r="C1567">
            <v>30</v>
          </cell>
        </row>
        <row r="1568">
          <cell r="A1568" t="str">
            <v>9001-2211-DS-1004-03-WM31</v>
          </cell>
          <cell r="B1568" t="str">
            <v>9001-2211-DS-1004-03-WM</v>
          </cell>
          <cell r="C1568">
            <v>31</v>
          </cell>
        </row>
        <row r="1569">
          <cell r="A1569" t="str">
            <v>9001-2211-DS-1004-03-WM32</v>
          </cell>
          <cell r="B1569" t="str">
            <v>9001-2211-DS-1004-03-WM</v>
          </cell>
          <cell r="C1569">
            <v>32</v>
          </cell>
        </row>
        <row r="1570">
          <cell r="A1570" t="str">
            <v>9001-2211-DS-1004-03-WM33</v>
          </cell>
          <cell r="B1570" t="str">
            <v>9001-2211-DS-1004-03-WM</v>
          </cell>
          <cell r="C1570">
            <v>33</v>
          </cell>
        </row>
        <row r="1571">
          <cell r="A1571" t="str">
            <v>9001-2211-DS-1004-03-WM34</v>
          </cell>
          <cell r="B1571" t="str">
            <v>9001-2211-DS-1004-03-WM</v>
          </cell>
          <cell r="C1571">
            <v>34</v>
          </cell>
        </row>
        <row r="1572">
          <cell r="A1572" t="str">
            <v>9001-2211-DS-1004-03-WM35</v>
          </cell>
          <cell r="B1572" t="str">
            <v>9001-2211-DS-1004-03-WM</v>
          </cell>
          <cell r="C1572">
            <v>35</v>
          </cell>
        </row>
        <row r="1573">
          <cell r="A1573" t="str">
            <v>9001-2211-DS-1004-03-WM36</v>
          </cell>
          <cell r="B1573" t="str">
            <v>9001-2211-DS-1004-03-WM</v>
          </cell>
          <cell r="C1573">
            <v>36</v>
          </cell>
        </row>
        <row r="1574">
          <cell r="A1574" t="str">
            <v>9001-2211-DS-1004-03-WM37</v>
          </cell>
          <cell r="B1574" t="str">
            <v>9001-2211-DS-1004-03-WM</v>
          </cell>
          <cell r="C1574">
            <v>37</v>
          </cell>
        </row>
        <row r="1575">
          <cell r="A1575" t="str">
            <v>9001-2211-DS-1004-03-WM38</v>
          </cell>
          <cell r="B1575" t="str">
            <v>9001-2211-DS-1004-03-WM</v>
          </cell>
          <cell r="C1575">
            <v>38</v>
          </cell>
        </row>
        <row r="1576">
          <cell r="A1576" t="str">
            <v>9001-2211-DS-1004-03-WM39</v>
          </cell>
          <cell r="B1576" t="str">
            <v>9001-2211-DS-1004-03-WM</v>
          </cell>
          <cell r="C1576">
            <v>39</v>
          </cell>
        </row>
        <row r="1577">
          <cell r="A1577" t="str">
            <v>9001-2211-DS-1004-03-WM40</v>
          </cell>
          <cell r="B1577" t="str">
            <v>9001-2211-DS-1004-03-WM</v>
          </cell>
          <cell r="C1577">
            <v>40</v>
          </cell>
        </row>
        <row r="1578">
          <cell r="A1578" t="str">
            <v>9001-2211-DS-1004-03-WM41</v>
          </cell>
          <cell r="B1578" t="str">
            <v>9001-2211-DS-1004-03-WM</v>
          </cell>
          <cell r="C1578">
            <v>41</v>
          </cell>
        </row>
        <row r="1579">
          <cell r="A1579" t="str">
            <v>9001-2211-DS-1004-03-WM42</v>
          </cell>
          <cell r="B1579" t="str">
            <v>9001-2211-DS-1004-03-WM</v>
          </cell>
          <cell r="C1579">
            <v>42</v>
          </cell>
        </row>
        <row r="1580">
          <cell r="A1580" t="str">
            <v>9001-2211-DS-1004-03-WM43</v>
          </cell>
          <cell r="B1580" t="str">
            <v>9001-2211-DS-1004-03-WM</v>
          </cell>
          <cell r="C1580">
            <v>43</v>
          </cell>
        </row>
        <row r="1581">
          <cell r="A1581" t="str">
            <v>9001-2211-DS-1004-03-WM44</v>
          </cell>
          <cell r="B1581" t="str">
            <v>9001-2211-DS-1004-03-WM</v>
          </cell>
          <cell r="C1581">
            <v>44</v>
          </cell>
        </row>
        <row r="1582">
          <cell r="A1582" t="str">
            <v>9001-2211-DS-1004-03-WM45</v>
          </cell>
          <cell r="B1582" t="str">
            <v>9001-2211-DS-1004-03-WM</v>
          </cell>
          <cell r="C1582">
            <v>45</v>
          </cell>
        </row>
        <row r="1583">
          <cell r="A1583" t="str">
            <v>9001-2211-DS-1004-03-WM46</v>
          </cell>
          <cell r="B1583" t="str">
            <v>9001-2211-DS-1004-03-WM</v>
          </cell>
          <cell r="C1583">
            <v>46</v>
          </cell>
        </row>
        <row r="1584">
          <cell r="A1584" t="str">
            <v>9001-2211-DS-1004-03-WM47</v>
          </cell>
          <cell r="B1584" t="str">
            <v>9001-2211-DS-1004-03-WM</v>
          </cell>
          <cell r="C1584">
            <v>47</v>
          </cell>
        </row>
        <row r="1585">
          <cell r="A1585" t="str">
            <v>9001-2211-DS-1004-03-WM48</v>
          </cell>
          <cell r="B1585" t="str">
            <v>9001-2211-DS-1004-03-WM</v>
          </cell>
          <cell r="C1585">
            <v>48</v>
          </cell>
        </row>
        <row r="1586">
          <cell r="A1586" t="str">
            <v>9001-2211-DS-1004-03-WM49</v>
          </cell>
          <cell r="B1586" t="str">
            <v>9001-2211-DS-1004-03-WM</v>
          </cell>
          <cell r="C1586">
            <v>49</v>
          </cell>
        </row>
        <row r="1587">
          <cell r="A1587" t="str">
            <v>9001-2211-DS-1004-03-WM50</v>
          </cell>
          <cell r="B1587" t="str">
            <v>9001-2211-DS-1004-03-WM</v>
          </cell>
          <cell r="C1587">
            <v>50</v>
          </cell>
        </row>
        <row r="1588">
          <cell r="A1588" t="str">
            <v>9001-2211-DS-1004-03-WM51</v>
          </cell>
          <cell r="B1588" t="str">
            <v>9001-2211-DS-1004-03-WM</v>
          </cell>
          <cell r="C1588">
            <v>51</v>
          </cell>
        </row>
        <row r="1589">
          <cell r="A1589" t="str">
            <v>9001-2211-DS-1004-03-WM52</v>
          </cell>
          <cell r="B1589" t="str">
            <v>9001-2211-DS-1004-03-WM</v>
          </cell>
          <cell r="C1589">
            <v>52</v>
          </cell>
        </row>
        <row r="1590">
          <cell r="A1590" t="str">
            <v>9001-2211-DS-1004-03-WM53</v>
          </cell>
          <cell r="B1590" t="str">
            <v>9001-2211-DS-1004-03-WM</v>
          </cell>
          <cell r="C1590">
            <v>53</v>
          </cell>
        </row>
        <row r="1591">
          <cell r="A1591" t="str">
            <v>9001-2211-DS-1004-03-WM54</v>
          </cell>
          <cell r="B1591" t="str">
            <v>9001-2211-DS-1004-03-WM</v>
          </cell>
          <cell r="C1591">
            <v>54</v>
          </cell>
        </row>
        <row r="1592">
          <cell r="A1592" t="str">
            <v>9001-2211-DS-1004-03-WM55</v>
          </cell>
          <cell r="B1592" t="str">
            <v>9001-2211-DS-1004-03-WM</v>
          </cell>
          <cell r="C1592">
            <v>55</v>
          </cell>
        </row>
        <row r="1593">
          <cell r="A1593" t="str">
            <v>9001-2211-DS-1004-03-WM56</v>
          </cell>
          <cell r="B1593" t="str">
            <v>9001-2211-DS-1004-03-WM</v>
          </cell>
          <cell r="C1593">
            <v>56</v>
          </cell>
        </row>
        <row r="1594">
          <cell r="A1594" t="str">
            <v>9001-2211-DS-1004-03-WM57</v>
          </cell>
          <cell r="B1594" t="str">
            <v>9001-2211-DS-1004-03-WM</v>
          </cell>
          <cell r="C1594">
            <v>57</v>
          </cell>
        </row>
        <row r="1595">
          <cell r="A1595" t="str">
            <v>9001-2211-DS-1004-03-WM58</v>
          </cell>
          <cell r="B1595" t="str">
            <v>9001-2211-DS-1004-03-WM</v>
          </cell>
          <cell r="C1595">
            <v>58</v>
          </cell>
        </row>
        <row r="1596">
          <cell r="A1596" t="str">
            <v>9001-2211-DS-1004-03-WM59</v>
          </cell>
          <cell r="B1596" t="str">
            <v>9001-2211-DS-1004-03-WM</v>
          </cell>
          <cell r="C1596">
            <v>59</v>
          </cell>
        </row>
        <row r="1597">
          <cell r="A1597" t="str">
            <v>9001-2211-DS-1004-03-WM60</v>
          </cell>
          <cell r="B1597" t="str">
            <v>9001-2211-DS-1004-03-WM</v>
          </cell>
          <cell r="C1597">
            <v>60</v>
          </cell>
        </row>
        <row r="1598">
          <cell r="A1598" t="str">
            <v>9001-2211-DS-1004-03-WM61</v>
          </cell>
          <cell r="B1598" t="str">
            <v>9001-2211-DS-1004-03-WM</v>
          </cell>
          <cell r="C1598">
            <v>61</v>
          </cell>
        </row>
        <row r="1599">
          <cell r="A1599" t="str">
            <v>9001-2211-DS-1004-03-WM62</v>
          </cell>
          <cell r="B1599" t="str">
            <v>9001-2211-DS-1004-03-WM</v>
          </cell>
          <cell r="C1599">
            <v>62</v>
          </cell>
        </row>
        <row r="1600">
          <cell r="A1600" t="str">
            <v>9001-2211-DS-1004-03-WM63</v>
          </cell>
          <cell r="B1600" t="str">
            <v>9001-2211-DS-1004-03-WM</v>
          </cell>
          <cell r="C1600">
            <v>63</v>
          </cell>
        </row>
        <row r="1601">
          <cell r="A1601" t="str">
            <v>9001-2211-DS-1004-03-WM64</v>
          </cell>
          <cell r="B1601" t="str">
            <v>9001-2211-DS-1004-03-WM</v>
          </cell>
          <cell r="C1601">
            <v>64</v>
          </cell>
        </row>
        <row r="1602">
          <cell r="A1602" t="str">
            <v>9001-2211-DS-1004-03-WM65</v>
          </cell>
          <cell r="B1602" t="str">
            <v>9001-2211-DS-1004-03-WM</v>
          </cell>
          <cell r="C1602">
            <v>65</v>
          </cell>
        </row>
        <row r="1603">
          <cell r="A1603" t="str">
            <v>9001-2211-DS-1004-03-WM66</v>
          </cell>
          <cell r="B1603" t="str">
            <v>9001-2211-DS-1004-03-WM</v>
          </cell>
          <cell r="C1603">
            <v>66</v>
          </cell>
        </row>
        <row r="1604">
          <cell r="A1604" t="str">
            <v>9001-2211-DS-1004-03-WM67</v>
          </cell>
          <cell r="B1604" t="str">
            <v>9001-2211-DS-1004-03-WM</v>
          </cell>
          <cell r="C1604">
            <v>67</v>
          </cell>
        </row>
        <row r="1605">
          <cell r="A1605" t="str">
            <v>9001-2211-DS-1004-03-WM68</v>
          </cell>
          <cell r="B1605" t="str">
            <v>9001-2211-DS-1004-03-WM</v>
          </cell>
          <cell r="C1605">
            <v>68</v>
          </cell>
        </row>
        <row r="1606">
          <cell r="A1606" t="str">
            <v>9001-2211-DS-1004-03-WM69</v>
          </cell>
          <cell r="B1606" t="str">
            <v>9001-2211-DS-1004-03-WM</v>
          </cell>
          <cell r="C1606">
            <v>69</v>
          </cell>
        </row>
        <row r="1607">
          <cell r="A1607" t="str">
            <v>9001-2211-DS-1004-03-WM70</v>
          </cell>
          <cell r="B1607" t="str">
            <v>9001-2211-DS-1004-03-WM</v>
          </cell>
          <cell r="C1607">
            <v>70</v>
          </cell>
        </row>
        <row r="1608">
          <cell r="A1608" t="str">
            <v>9001-2211-DS-1004-03-WM71</v>
          </cell>
          <cell r="B1608" t="str">
            <v>9001-2211-DS-1004-03-WM</v>
          </cell>
          <cell r="C1608">
            <v>71</v>
          </cell>
        </row>
        <row r="1609">
          <cell r="A1609" t="str">
            <v>9001-2211-DS-1004-03-WM72</v>
          </cell>
          <cell r="B1609" t="str">
            <v>9001-2211-DS-1004-03-WM</v>
          </cell>
          <cell r="C1609">
            <v>72</v>
          </cell>
        </row>
        <row r="1610">
          <cell r="A1610" t="str">
            <v>9001-2211-DS-1004-03-WM73</v>
          </cell>
          <cell r="B1610" t="str">
            <v>9001-2211-DS-1004-03-WM</v>
          </cell>
          <cell r="C1610">
            <v>73</v>
          </cell>
        </row>
        <row r="1611">
          <cell r="A1611" t="str">
            <v>9001-2211-DS-1004-03-WM74</v>
          </cell>
          <cell r="B1611" t="str">
            <v>9001-2211-DS-1004-03-WM</v>
          </cell>
          <cell r="C1611">
            <v>74</v>
          </cell>
        </row>
        <row r="1612">
          <cell r="A1612" t="str">
            <v>9001-2211-DS-1004-03-WM75</v>
          </cell>
          <cell r="B1612" t="str">
            <v>9001-2211-DS-1004-03-WM</v>
          </cell>
          <cell r="C1612">
            <v>75</v>
          </cell>
        </row>
        <row r="1613">
          <cell r="A1613" t="str">
            <v>9001-2211-DS-1004-03-WM76</v>
          </cell>
          <cell r="B1613" t="str">
            <v>9001-2211-DS-1004-03-WM</v>
          </cell>
          <cell r="C1613">
            <v>76</v>
          </cell>
        </row>
        <row r="1614">
          <cell r="A1614" t="str">
            <v>9001-2211-DS-1004-03-WM77</v>
          </cell>
          <cell r="B1614" t="str">
            <v>9001-2211-DS-1004-03-WM</v>
          </cell>
          <cell r="C1614">
            <v>77</v>
          </cell>
        </row>
        <row r="1615">
          <cell r="A1615" t="str">
            <v>9001-2211-DS-1004-03-WM78</v>
          </cell>
          <cell r="B1615" t="str">
            <v>9001-2211-DS-1004-03-WM</v>
          </cell>
          <cell r="C1615">
            <v>78</v>
          </cell>
        </row>
        <row r="1616">
          <cell r="A1616" t="str">
            <v>9001-2211-DS-1004-03-WM79</v>
          </cell>
          <cell r="B1616" t="str">
            <v>9001-2211-DS-1004-03-WM</v>
          </cell>
          <cell r="C1616">
            <v>79</v>
          </cell>
        </row>
        <row r="1617">
          <cell r="A1617" t="str">
            <v>9001-2211-DS-1004-03-WM80</v>
          </cell>
          <cell r="B1617" t="str">
            <v>9001-2211-DS-1004-03-WM</v>
          </cell>
          <cell r="C1617">
            <v>80</v>
          </cell>
        </row>
        <row r="1618">
          <cell r="A1618" t="str">
            <v>9001-2211-DS-1004-03-WM81</v>
          </cell>
          <cell r="B1618" t="str">
            <v>9001-2211-DS-1004-03-WM</v>
          </cell>
          <cell r="C1618">
            <v>81</v>
          </cell>
        </row>
        <row r="1619">
          <cell r="A1619" t="str">
            <v>9001-2211-DS-1004-03-WM82</v>
          </cell>
          <cell r="B1619" t="str">
            <v>9001-2211-DS-1004-03-WM</v>
          </cell>
          <cell r="C1619">
            <v>82</v>
          </cell>
        </row>
        <row r="1620">
          <cell r="A1620" t="str">
            <v>9001-2211-DS-1004-03-WM83</v>
          </cell>
          <cell r="B1620" t="str">
            <v>9001-2211-DS-1004-03-WM</v>
          </cell>
          <cell r="C1620">
            <v>83</v>
          </cell>
        </row>
        <row r="1621">
          <cell r="A1621" t="str">
            <v>9001-2211-DS-1004-03-WM84</v>
          </cell>
          <cell r="B1621" t="str">
            <v>9001-2211-DS-1004-03-WM</v>
          </cell>
          <cell r="C1621">
            <v>84</v>
          </cell>
        </row>
        <row r="1622">
          <cell r="A1622" t="str">
            <v>9001-2211-DS-1004-03-WM85</v>
          </cell>
          <cell r="B1622" t="str">
            <v>9001-2211-DS-1004-03-WM</v>
          </cell>
          <cell r="C1622">
            <v>85</v>
          </cell>
        </row>
        <row r="1623">
          <cell r="A1623" t="str">
            <v>9001-2211-DS-1004-03-WM86</v>
          </cell>
          <cell r="B1623" t="str">
            <v>9001-2211-DS-1004-03-WM</v>
          </cell>
          <cell r="C1623">
            <v>86</v>
          </cell>
        </row>
        <row r="1624">
          <cell r="A1624" t="str">
            <v>9001-2211-DS-1004-03-WM87</v>
          </cell>
          <cell r="B1624" t="str">
            <v>9001-2211-DS-1004-03-WM</v>
          </cell>
          <cell r="C1624">
            <v>87</v>
          </cell>
        </row>
        <row r="1625">
          <cell r="A1625" t="str">
            <v>9001-2211-DS-1004-03-WM88</v>
          </cell>
          <cell r="B1625" t="str">
            <v>9001-2211-DS-1004-03-WM</v>
          </cell>
          <cell r="C1625">
            <v>88</v>
          </cell>
        </row>
        <row r="1626">
          <cell r="A1626" t="str">
            <v>9001-2211-DS-1004-03-WM89</v>
          </cell>
          <cell r="B1626" t="str">
            <v>9001-2211-DS-1004-03-WM</v>
          </cell>
          <cell r="C1626">
            <v>89</v>
          </cell>
        </row>
        <row r="1627">
          <cell r="A1627" t="str">
            <v>9001-2211-DS-1004-03-WM90</v>
          </cell>
          <cell r="B1627" t="str">
            <v>9001-2211-DS-1004-03-WM</v>
          </cell>
          <cell r="C1627">
            <v>90</v>
          </cell>
        </row>
        <row r="1628">
          <cell r="A1628" t="str">
            <v>9001-2211-DS-1004-03-WM91</v>
          </cell>
          <cell r="B1628" t="str">
            <v>9001-2211-DS-1004-03-WM</v>
          </cell>
          <cell r="C1628">
            <v>91</v>
          </cell>
        </row>
        <row r="1629">
          <cell r="A1629" t="str">
            <v>9001-2211-DS-1004-03-WM92</v>
          </cell>
          <cell r="B1629" t="str">
            <v>9001-2211-DS-1004-03-WM</v>
          </cell>
          <cell r="C1629">
            <v>92</v>
          </cell>
        </row>
        <row r="1630">
          <cell r="A1630" t="str">
            <v>9001-2211-DS-1004-03-WM93</v>
          </cell>
          <cell r="B1630" t="str">
            <v>9001-2211-DS-1004-03-WM</v>
          </cell>
          <cell r="C1630">
            <v>93</v>
          </cell>
        </row>
        <row r="1631">
          <cell r="A1631" t="str">
            <v>9001-2211-DS-1004-03-WM94</v>
          </cell>
          <cell r="B1631" t="str">
            <v>9001-2211-DS-1004-03-WM</v>
          </cell>
          <cell r="C1631">
            <v>94</v>
          </cell>
        </row>
        <row r="1632">
          <cell r="A1632" t="str">
            <v>9001-2211-DS-1004-03-WM95</v>
          </cell>
          <cell r="B1632" t="str">
            <v>9001-2211-DS-1004-03-WM</v>
          </cell>
          <cell r="C1632">
            <v>95</v>
          </cell>
        </row>
        <row r="1633">
          <cell r="A1633" t="str">
            <v>9001-2211-DS-1004-03-WM96</v>
          </cell>
          <cell r="B1633" t="str">
            <v>9001-2211-DS-1004-03-WM</v>
          </cell>
          <cell r="C1633">
            <v>96</v>
          </cell>
        </row>
        <row r="1634">
          <cell r="A1634" t="str">
            <v>9001-2211-DS-1004-03-WM97</v>
          </cell>
          <cell r="B1634" t="str">
            <v>9001-2211-DS-1004-03-WM</v>
          </cell>
          <cell r="C1634">
            <v>97</v>
          </cell>
        </row>
        <row r="1635">
          <cell r="A1635" t="str">
            <v>9001-2211-DS-1004-03-WM98</v>
          </cell>
          <cell r="B1635" t="str">
            <v>9001-2211-DS-1004-03-WM</v>
          </cell>
          <cell r="C1635">
            <v>98</v>
          </cell>
        </row>
        <row r="1636">
          <cell r="A1636" t="str">
            <v>9001-2211-DS-1004-03-WM99</v>
          </cell>
          <cell r="B1636" t="str">
            <v>9001-2211-DS-1004-03-WM</v>
          </cell>
          <cell r="C1636">
            <v>99</v>
          </cell>
        </row>
        <row r="1637">
          <cell r="A1637" t="str">
            <v>9001-2211-DS-1004-03-WM100</v>
          </cell>
          <cell r="B1637" t="str">
            <v>9001-2211-DS-1004-03-WM</v>
          </cell>
          <cell r="C1637">
            <v>100</v>
          </cell>
        </row>
        <row r="1638">
          <cell r="A1638" t="str">
            <v>9001-2211-DS-1004-03-WM101</v>
          </cell>
          <cell r="B1638" t="str">
            <v>9001-2211-DS-1004-03-WM</v>
          </cell>
          <cell r="C1638">
            <v>101</v>
          </cell>
        </row>
        <row r="1639">
          <cell r="A1639" t="str">
            <v>9001-2211-DS-1004-03-WM102</v>
          </cell>
          <cell r="B1639" t="str">
            <v>9001-2211-DS-1004-03-WM</v>
          </cell>
          <cell r="C1639">
            <v>102</v>
          </cell>
        </row>
        <row r="1640">
          <cell r="A1640" t="str">
            <v>9001-2211-DS-1004-03-WM103</v>
          </cell>
          <cell r="B1640" t="str">
            <v>9001-2211-DS-1004-03-WM</v>
          </cell>
          <cell r="C1640">
            <v>103</v>
          </cell>
        </row>
        <row r="1641">
          <cell r="A1641" t="str">
            <v>9001-2211-DS-1004-03-WM104</v>
          </cell>
          <cell r="B1641" t="str">
            <v>9001-2211-DS-1004-03-WM</v>
          </cell>
          <cell r="C1641">
            <v>104</v>
          </cell>
        </row>
        <row r="1642">
          <cell r="A1642" t="str">
            <v>9001-2211-DS-1004-03-WM105</v>
          </cell>
          <cell r="B1642" t="str">
            <v>9001-2211-DS-1004-03-WM</v>
          </cell>
          <cell r="C1642">
            <v>105</v>
          </cell>
        </row>
        <row r="1643">
          <cell r="A1643" t="str">
            <v>9001-2211-DS-1004-03-WM106</v>
          </cell>
          <cell r="B1643" t="str">
            <v>9001-2211-DS-1004-03-WM</v>
          </cell>
          <cell r="C1643">
            <v>106</v>
          </cell>
        </row>
        <row r="1644">
          <cell r="A1644" t="str">
            <v>9001-2211-DS-1004-03-WM107</v>
          </cell>
          <cell r="B1644" t="str">
            <v>9001-2211-DS-1004-03-WM</v>
          </cell>
          <cell r="C1644">
            <v>107</v>
          </cell>
        </row>
        <row r="1645">
          <cell r="A1645" t="str">
            <v>9001-2211-DS-1004-03-WM108</v>
          </cell>
          <cell r="B1645" t="str">
            <v>9001-2211-DS-1004-03-WM</v>
          </cell>
          <cell r="C1645">
            <v>108</v>
          </cell>
        </row>
        <row r="1646">
          <cell r="A1646" t="str">
            <v>9001-2211-DS-1004-03-WM109</v>
          </cell>
          <cell r="B1646" t="str">
            <v>9001-2211-DS-1004-03-WM</v>
          </cell>
          <cell r="C1646">
            <v>109</v>
          </cell>
        </row>
        <row r="1647">
          <cell r="A1647" t="str">
            <v>9001-2211-DS-1004-03-WM110</v>
          </cell>
          <cell r="B1647" t="str">
            <v>9001-2211-DS-1004-03-WM</v>
          </cell>
          <cell r="C1647">
            <v>110</v>
          </cell>
        </row>
        <row r="1648">
          <cell r="A1648" t="str">
            <v>9001-2211-DS-1004-03-WM111</v>
          </cell>
          <cell r="B1648" t="str">
            <v>9001-2211-DS-1004-03-WM</v>
          </cell>
          <cell r="C1648">
            <v>111</v>
          </cell>
        </row>
        <row r="1649">
          <cell r="A1649" t="str">
            <v>9001-2211-DS-1004-03-WM112</v>
          </cell>
          <cell r="B1649" t="str">
            <v>9001-2211-DS-1004-03-WM</v>
          </cell>
          <cell r="C1649">
            <v>112</v>
          </cell>
        </row>
        <row r="1650">
          <cell r="A1650" t="str">
            <v>9001-2211-DS-1004-03-WM113</v>
          </cell>
          <cell r="B1650" t="str">
            <v>9001-2211-DS-1004-03-WM</v>
          </cell>
          <cell r="C1650">
            <v>113</v>
          </cell>
        </row>
        <row r="1651">
          <cell r="A1651" t="str">
            <v>9001-2211-DS-1004-03-WM114</v>
          </cell>
          <cell r="B1651" t="str">
            <v>9001-2211-DS-1004-03-WM</v>
          </cell>
          <cell r="C1651">
            <v>114</v>
          </cell>
        </row>
        <row r="1652">
          <cell r="A1652" t="str">
            <v>9001-2211-DS-1004-03-WM115</v>
          </cell>
          <cell r="B1652" t="str">
            <v>9001-2211-DS-1004-03-WM</v>
          </cell>
          <cell r="C1652">
            <v>115</v>
          </cell>
        </row>
        <row r="1653">
          <cell r="A1653" t="str">
            <v>9001-2211-DS-1004-03-WM116</v>
          </cell>
          <cell r="B1653" t="str">
            <v>9001-2211-DS-1004-03-WM</v>
          </cell>
          <cell r="C1653">
            <v>116</v>
          </cell>
        </row>
        <row r="1654">
          <cell r="A1654" t="str">
            <v>9001-2211-DS-1004-03-WM117</v>
          </cell>
          <cell r="B1654" t="str">
            <v>9001-2211-DS-1004-03-WM</v>
          </cell>
          <cell r="C1654">
            <v>117</v>
          </cell>
        </row>
        <row r="1655">
          <cell r="A1655" t="str">
            <v>9001-2211-DS-1004-03-WM118</v>
          </cell>
          <cell r="B1655" t="str">
            <v>9001-2211-DS-1004-03-WM</v>
          </cell>
          <cell r="C1655">
            <v>118</v>
          </cell>
        </row>
        <row r="1656">
          <cell r="A1656" t="str">
            <v>9001-2211-DS-1004-03-WM119</v>
          </cell>
          <cell r="B1656" t="str">
            <v>9001-2211-DS-1004-03-WM</v>
          </cell>
          <cell r="C1656">
            <v>119</v>
          </cell>
        </row>
        <row r="1657">
          <cell r="A1657" t="str">
            <v>9001-2211-DS-1004-03-WM120</v>
          </cell>
          <cell r="B1657" t="str">
            <v>9001-2211-DS-1004-03-WM</v>
          </cell>
          <cell r="C1657">
            <v>120</v>
          </cell>
        </row>
        <row r="1658">
          <cell r="A1658" t="str">
            <v>9001-2211-DS-1004-03-WM121</v>
          </cell>
          <cell r="B1658" t="str">
            <v>9001-2211-DS-1004-03-WM</v>
          </cell>
          <cell r="C1658">
            <v>121</v>
          </cell>
        </row>
        <row r="1659">
          <cell r="A1659" t="str">
            <v>9001-2211-DS-1004-03-WM122</v>
          </cell>
          <cell r="B1659" t="str">
            <v>9001-2211-DS-1004-03-WM</v>
          </cell>
          <cell r="C1659">
            <v>122</v>
          </cell>
        </row>
        <row r="1660">
          <cell r="A1660" t="str">
            <v>9001-2211-DS-1004-03-WM123</v>
          </cell>
          <cell r="B1660" t="str">
            <v>9001-2211-DS-1004-03-WM</v>
          </cell>
          <cell r="C1660">
            <v>123</v>
          </cell>
        </row>
        <row r="1661">
          <cell r="A1661" t="str">
            <v>9001-2211-DS-1004-03-WM124</v>
          </cell>
          <cell r="B1661" t="str">
            <v>9001-2211-DS-1004-03-WM</v>
          </cell>
          <cell r="C1661">
            <v>124</v>
          </cell>
        </row>
        <row r="1662">
          <cell r="A1662" t="str">
            <v>9001-2211-DS-1004-03-WM125</v>
          </cell>
          <cell r="B1662" t="str">
            <v>9001-2211-DS-1004-03-WM</v>
          </cell>
          <cell r="C1662">
            <v>125</v>
          </cell>
        </row>
        <row r="1663">
          <cell r="A1663" t="str">
            <v>9001-2211-DS-1004-03-WM126</v>
          </cell>
          <cell r="B1663" t="str">
            <v>9001-2211-DS-1004-03-WM</v>
          </cell>
          <cell r="C1663">
            <v>126</v>
          </cell>
        </row>
        <row r="1664">
          <cell r="A1664" t="str">
            <v>9001-2211-DS-1004-03-WM127</v>
          </cell>
          <cell r="B1664" t="str">
            <v>9001-2211-DS-1004-03-WM</v>
          </cell>
          <cell r="C1664">
            <v>127</v>
          </cell>
        </row>
        <row r="1665">
          <cell r="A1665" t="str">
            <v>9001-2211-DS-1004-03-WM128</v>
          </cell>
          <cell r="B1665" t="str">
            <v>9001-2211-DS-1004-03-WM</v>
          </cell>
          <cell r="C1665">
            <v>128</v>
          </cell>
        </row>
        <row r="1666">
          <cell r="A1666" t="str">
            <v>9001-2211-DS-1004-03-WM129</v>
          </cell>
          <cell r="B1666" t="str">
            <v>9001-2211-DS-1004-03-WM</v>
          </cell>
          <cell r="C1666">
            <v>129</v>
          </cell>
        </row>
        <row r="1667">
          <cell r="A1667" t="str">
            <v>9001-2211-DS-1004-03-WM130</v>
          </cell>
          <cell r="B1667" t="str">
            <v>9001-2211-DS-1004-03-WM</v>
          </cell>
          <cell r="C1667">
            <v>130</v>
          </cell>
        </row>
        <row r="1668">
          <cell r="A1668" t="str">
            <v>9001-2211-DS-1004-03-WM131</v>
          </cell>
          <cell r="B1668" t="str">
            <v>9001-2211-DS-1004-03-WM</v>
          </cell>
          <cell r="C1668">
            <v>131</v>
          </cell>
        </row>
        <row r="1669">
          <cell r="A1669" t="str">
            <v>9001-2211-DS-1004-03-WM132</v>
          </cell>
          <cell r="B1669" t="str">
            <v>9001-2211-DS-1004-03-WM</v>
          </cell>
          <cell r="C1669">
            <v>132</v>
          </cell>
        </row>
        <row r="1670">
          <cell r="A1670" t="str">
            <v>9001-2211-DS-1004-03-WM133</v>
          </cell>
          <cell r="B1670" t="str">
            <v>9001-2211-DS-1004-03-WM</v>
          </cell>
          <cell r="C1670">
            <v>133</v>
          </cell>
        </row>
        <row r="1671">
          <cell r="A1671" t="str">
            <v>9001-2211-DS-1004-03-WM134</v>
          </cell>
          <cell r="B1671" t="str">
            <v>9001-2211-DS-1004-03-WM</v>
          </cell>
          <cell r="C1671">
            <v>134</v>
          </cell>
        </row>
        <row r="1672">
          <cell r="A1672" t="str">
            <v>9001-2211-DS-1004-03-WM135</v>
          </cell>
          <cell r="B1672" t="str">
            <v>9001-2211-DS-1004-03-WM</v>
          </cell>
          <cell r="C1672">
            <v>135</v>
          </cell>
        </row>
        <row r="1673">
          <cell r="A1673" t="str">
            <v>9001-2211-DS-1004-03-WM136</v>
          </cell>
          <cell r="B1673" t="str">
            <v>9001-2211-DS-1004-03-WM</v>
          </cell>
          <cell r="C1673">
            <v>136</v>
          </cell>
        </row>
        <row r="1674">
          <cell r="A1674" t="str">
            <v>9001-2211-DS-1004-03-WM137</v>
          </cell>
          <cell r="B1674" t="str">
            <v>9001-2211-DS-1004-03-WM</v>
          </cell>
          <cell r="C1674">
            <v>137</v>
          </cell>
        </row>
        <row r="1675">
          <cell r="A1675" t="str">
            <v>9001-2211-DS-1004-03-WM138</v>
          </cell>
          <cell r="B1675" t="str">
            <v>9001-2211-DS-1004-03-WM</v>
          </cell>
          <cell r="C1675">
            <v>138</v>
          </cell>
        </row>
        <row r="1676">
          <cell r="A1676" t="str">
            <v>9001-2211-DS-1004-03-WM139</v>
          </cell>
          <cell r="B1676" t="str">
            <v>9001-2211-DS-1004-03-WM</v>
          </cell>
          <cell r="C1676">
            <v>139</v>
          </cell>
        </row>
        <row r="1677">
          <cell r="A1677" t="str">
            <v>9001-2211-DS-1004-03-WM140</v>
          </cell>
          <cell r="B1677" t="str">
            <v>9001-2211-DS-1004-03-WM</v>
          </cell>
          <cell r="C1677">
            <v>140</v>
          </cell>
        </row>
        <row r="1678">
          <cell r="A1678" t="str">
            <v>9001-2211-DS-1004-03-WM141</v>
          </cell>
          <cell r="B1678" t="str">
            <v>9001-2211-DS-1004-03-WM</v>
          </cell>
          <cell r="C1678">
            <v>141</v>
          </cell>
        </row>
        <row r="1679">
          <cell r="A1679" t="str">
            <v>9001-2211-DS-1004-03-WM142</v>
          </cell>
          <cell r="B1679" t="str">
            <v>9001-2211-DS-1004-03-WM</v>
          </cell>
          <cell r="C1679">
            <v>142</v>
          </cell>
        </row>
        <row r="1680">
          <cell r="A1680" t="str">
            <v>9001-2211-DS-1004-03-WM143</v>
          </cell>
          <cell r="B1680" t="str">
            <v>9001-2211-DS-1004-03-WM</v>
          </cell>
          <cell r="C1680">
            <v>143</v>
          </cell>
        </row>
        <row r="1681">
          <cell r="A1681" t="str">
            <v>9001-2211-DS-1004-03-WM144</v>
          </cell>
          <cell r="B1681" t="str">
            <v>9001-2211-DS-1004-03-WM</v>
          </cell>
          <cell r="C1681">
            <v>144</v>
          </cell>
        </row>
        <row r="1682">
          <cell r="A1682" t="str">
            <v>9001-2211-DS-1004-03-WM145</v>
          </cell>
          <cell r="B1682" t="str">
            <v>9001-2211-DS-1004-03-WM</v>
          </cell>
          <cell r="C1682">
            <v>145</v>
          </cell>
        </row>
        <row r="1683">
          <cell r="A1683" t="str">
            <v>9001-2211-DS-1004-03-WM146</v>
          </cell>
          <cell r="B1683" t="str">
            <v>9001-2211-DS-1004-03-WM</v>
          </cell>
          <cell r="C1683">
            <v>146</v>
          </cell>
        </row>
        <row r="1684">
          <cell r="A1684" t="str">
            <v>9001-2211-DS-1004-03-WM147</v>
          </cell>
          <cell r="B1684" t="str">
            <v>9001-2211-DS-1004-03-WM</v>
          </cell>
          <cell r="C1684">
            <v>147</v>
          </cell>
        </row>
        <row r="1685">
          <cell r="A1685" t="str">
            <v>9001-2211-DS-1004-03-WM148</v>
          </cell>
          <cell r="B1685" t="str">
            <v>9001-2211-DS-1004-03-WM</v>
          </cell>
          <cell r="C1685">
            <v>148</v>
          </cell>
        </row>
        <row r="1686">
          <cell r="A1686" t="str">
            <v>9001-2211-DS-1004-03-WM149</v>
          </cell>
          <cell r="B1686" t="str">
            <v>9001-2211-DS-1004-03-WM</v>
          </cell>
          <cell r="C1686">
            <v>149</v>
          </cell>
        </row>
        <row r="1687">
          <cell r="A1687" t="str">
            <v>9001-2211-DS-1004-03-WM150</v>
          </cell>
          <cell r="B1687" t="str">
            <v>9001-2211-DS-1004-03-WM</v>
          </cell>
          <cell r="C1687">
            <v>150</v>
          </cell>
        </row>
        <row r="1688">
          <cell r="A1688" t="str">
            <v>9001-2211-DS-1004-03-WM151</v>
          </cell>
          <cell r="B1688" t="str">
            <v>9001-2211-DS-1004-03-WM</v>
          </cell>
          <cell r="C1688">
            <v>151</v>
          </cell>
        </row>
        <row r="1689">
          <cell r="A1689" t="str">
            <v>9001-2211-DS-1004-03-WM152</v>
          </cell>
          <cell r="B1689" t="str">
            <v>9001-2211-DS-1004-03-WM</v>
          </cell>
          <cell r="C1689">
            <v>152</v>
          </cell>
        </row>
        <row r="1690">
          <cell r="A1690" t="str">
            <v>9001-2211-DS-1004-03-WM153</v>
          </cell>
          <cell r="B1690" t="str">
            <v>9001-2211-DS-1004-03-WM</v>
          </cell>
          <cell r="C1690">
            <v>153</v>
          </cell>
        </row>
        <row r="1691">
          <cell r="A1691" t="str">
            <v>9001-2211-DS-1004-03-WM154</v>
          </cell>
          <cell r="B1691" t="str">
            <v>9001-2211-DS-1004-03-WM</v>
          </cell>
          <cell r="C1691">
            <v>154</v>
          </cell>
        </row>
        <row r="1692">
          <cell r="A1692" t="str">
            <v>9001-2211-DS-1004-03-WM155</v>
          </cell>
          <cell r="B1692" t="str">
            <v>9001-2211-DS-1004-03-WM</v>
          </cell>
          <cell r="C1692">
            <v>155</v>
          </cell>
        </row>
        <row r="1693">
          <cell r="A1693" t="str">
            <v>9001-2211-DS-1004-03-WM156</v>
          </cell>
          <cell r="B1693" t="str">
            <v>9001-2211-DS-1004-03-WM</v>
          </cell>
          <cell r="C1693">
            <v>156</v>
          </cell>
        </row>
        <row r="1694">
          <cell r="A1694" t="str">
            <v>9001-2211-DS-1004-03-WM157</v>
          </cell>
          <cell r="B1694" t="str">
            <v>9001-2211-DS-1004-03-WM</v>
          </cell>
          <cell r="C1694">
            <v>157</v>
          </cell>
        </row>
        <row r="1695">
          <cell r="A1695" t="str">
            <v>9001-2211-DS-1004-03-WM158</v>
          </cell>
          <cell r="B1695" t="str">
            <v>9001-2211-DS-1004-03-WM</v>
          </cell>
          <cell r="C1695">
            <v>158</v>
          </cell>
        </row>
        <row r="1696">
          <cell r="A1696" t="str">
            <v>9001-2211-DS-1004-03-WM159</v>
          </cell>
          <cell r="B1696" t="str">
            <v>9001-2211-DS-1004-03-WM</v>
          </cell>
          <cell r="C1696">
            <v>159</v>
          </cell>
        </row>
        <row r="1697">
          <cell r="A1697" t="str">
            <v>9001-2211-DS-1004-03-WM160</v>
          </cell>
          <cell r="B1697" t="str">
            <v>9001-2211-DS-1004-03-WM</v>
          </cell>
          <cell r="C1697">
            <v>160</v>
          </cell>
        </row>
        <row r="1698">
          <cell r="A1698" t="str">
            <v>9001-2211-DS-1004-03-WM161</v>
          </cell>
          <cell r="B1698" t="str">
            <v>9001-2211-DS-1004-03-WM</v>
          </cell>
          <cell r="C1698">
            <v>161</v>
          </cell>
        </row>
        <row r="1699">
          <cell r="A1699" t="str">
            <v>9001-2211-DS-1004-03-WM162</v>
          </cell>
          <cell r="B1699" t="str">
            <v>9001-2211-DS-1004-03-WM</v>
          </cell>
          <cell r="C1699">
            <v>162</v>
          </cell>
        </row>
        <row r="1700">
          <cell r="A1700" t="str">
            <v>9001-2211-DS-1004-03-WM163</v>
          </cell>
          <cell r="B1700" t="str">
            <v>9001-2211-DS-1004-03-WM</v>
          </cell>
          <cell r="C1700">
            <v>163</v>
          </cell>
        </row>
        <row r="1701">
          <cell r="A1701" t="str">
            <v>9001-2211-DS-1004-03-WM164</v>
          </cell>
          <cell r="B1701" t="str">
            <v>9001-2211-DS-1004-03-WM</v>
          </cell>
          <cell r="C1701">
            <v>164</v>
          </cell>
        </row>
        <row r="1702">
          <cell r="A1702" t="str">
            <v>9001-2211-DS-1004-03-WM165</v>
          </cell>
          <cell r="B1702" t="str">
            <v>9001-2211-DS-1004-03-WM</v>
          </cell>
          <cell r="C1702">
            <v>165</v>
          </cell>
        </row>
        <row r="1703">
          <cell r="A1703" t="str">
            <v>9001-2211-DS-1004-03-WM166</v>
          </cell>
          <cell r="B1703" t="str">
            <v>9001-2211-DS-1004-03-WM</v>
          </cell>
          <cell r="C1703">
            <v>166</v>
          </cell>
        </row>
        <row r="1704">
          <cell r="A1704" t="str">
            <v>9001-2211-DS-1004-03-WM167</v>
          </cell>
          <cell r="B1704" t="str">
            <v>9001-2211-DS-1004-03-WM</v>
          </cell>
          <cell r="C1704">
            <v>167</v>
          </cell>
        </row>
        <row r="1705">
          <cell r="A1705" t="str">
            <v>9001-2211-DS-1004-03-WM168</v>
          </cell>
          <cell r="B1705" t="str">
            <v>9001-2211-DS-1004-03-WM</v>
          </cell>
          <cell r="C1705">
            <v>168</v>
          </cell>
        </row>
        <row r="1706">
          <cell r="A1706" t="str">
            <v>9001-2211-DS-1004-03-WM169</v>
          </cell>
          <cell r="B1706" t="str">
            <v>9001-2211-DS-1004-03-WM</v>
          </cell>
          <cell r="C1706">
            <v>169</v>
          </cell>
        </row>
        <row r="1707">
          <cell r="A1707" t="str">
            <v>9001-2211-DS-1004-03-WM170</v>
          </cell>
          <cell r="B1707" t="str">
            <v>9001-2211-DS-1004-03-WM</v>
          </cell>
          <cell r="C1707">
            <v>170</v>
          </cell>
        </row>
        <row r="1708">
          <cell r="A1708" t="str">
            <v>9001-2211-DS-1004-03-WM171</v>
          </cell>
          <cell r="B1708" t="str">
            <v>9001-2211-DS-1004-03-WM</v>
          </cell>
          <cell r="C1708">
            <v>171</v>
          </cell>
        </row>
        <row r="1709">
          <cell r="A1709" t="str">
            <v>9001-2211-DS-1004-03-WM172</v>
          </cell>
          <cell r="B1709" t="str">
            <v>9001-2211-DS-1004-03-WM</v>
          </cell>
          <cell r="C1709">
            <v>172</v>
          </cell>
        </row>
        <row r="1710">
          <cell r="A1710" t="str">
            <v>9001-2211-DS-1004-03-WM173</v>
          </cell>
          <cell r="B1710" t="str">
            <v>9001-2211-DS-1004-03-WM</v>
          </cell>
          <cell r="C1710">
            <v>173</v>
          </cell>
        </row>
        <row r="1711">
          <cell r="A1711" t="str">
            <v>9001-2211-DS-1004-03-WM174</v>
          </cell>
          <cell r="B1711" t="str">
            <v>9001-2211-DS-1004-03-WM</v>
          </cell>
          <cell r="C1711">
            <v>174</v>
          </cell>
        </row>
        <row r="1712">
          <cell r="A1712" t="str">
            <v>9001-2211-DS-1004-03-WM175</v>
          </cell>
          <cell r="B1712" t="str">
            <v>9001-2211-DS-1004-03-WM</v>
          </cell>
          <cell r="C1712">
            <v>175</v>
          </cell>
        </row>
        <row r="1713">
          <cell r="A1713" t="str">
            <v>9001-2211-DS-1004-03-WM176</v>
          </cell>
          <cell r="B1713" t="str">
            <v>9001-2211-DS-1004-03-WM</v>
          </cell>
          <cell r="C1713">
            <v>176</v>
          </cell>
        </row>
        <row r="1714">
          <cell r="A1714" t="str">
            <v>9001-2211-DS-1004-03-WM177</v>
          </cell>
          <cell r="B1714" t="str">
            <v>9001-2211-DS-1004-03-WM</v>
          </cell>
          <cell r="C1714">
            <v>177</v>
          </cell>
        </row>
        <row r="1715">
          <cell r="A1715" t="str">
            <v>9001-2211-DS-1004-03-WM178</v>
          </cell>
          <cell r="B1715" t="str">
            <v>9001-2211-DS-1004-03-WM</v>
          </cell>
          <cell r="C1715">
            <v>178</v>
          </cell>
        </row>
        <row r="1716">
          <cell r="A1716" t="str">
            <v>9001-2211-DS-1004-03-WM179</v>
          </cell>
          <cell r="B1716" t="str">
            <v>9001-2211-DS-1004-03-WM</v>
          </cell>
          <cell r="C1716">
            <v>179</v>
          </cell>
        </row>
        <row r="1717">
          <cell r="A1717" t="str">
            <v>9001-2211-DS-1004-03-WM180</v>
          </cell>
          <cell r="B1717" t="str">
            <v>9001-2211-DS-1004-03-WM</v>
          </cell>
          <cell r="C1717">
            <v>180</v>
          </cell>
        </row>
        <row r="1718">
          <cell r="A1718" t="str">
            <v>9001-2211-DS-1004-03-WM181</v>
          </cell>
          <cell r="B1718" t="str">
            <v>9001-2211-DS-1004-03-WM</v>
          </cell>
          <cell r="C1718">
            <v>181</v>
          </cell>
        </row>
        <row r="1719">
          <cell r="A1719" t="str">
            <v>9001-2211-DS-1004-03-WM182</v>
          </cell>
          <cell r="B1719" t="str">
            <v>9001-2211-DS-1004-03-WM</v>
          </cell>
          <cell r="C1719">
            <v>182</v>
          </cell>
        </row>
        <row r="1720">
          <cell r="A1720" t="str">
            <v>9001-2211-DS-1004-03-WM183</v>
          </cell>
          <cell r="B1720" t="str">
            <v>9001-2211-DS-1004-03-WM</v>
          </cell>
          <cell r="C1720">
            <v>183</v>
          </cell>
        </row>
        <row r="1721">
          <cell r="A1721" t="str">
            <v>9001-2211-DS-1004-03-WM184</v>
          </cell>
          <cell r="B1721" t="str">
            <v>9001-2211-DS-1004-03-WM</v>
          </cell>
          <cell r="C1721">
            <v>184</v>
          </cell>
        </row>
        <row r="1722">
          <cell r="A1722" t="str">
            <v>9001-2211-DS-1004-03-WM185</v>
          </cell>
          <cell r="B1722" t="str">
            <v>9001-2211-DS-1004-03-WM</v>
          </cell>
          <cell r="C1722">
            <v>185</v>
          </cell>
        </row>
        <row r="1723">
          <cell r="A1723" t="str">
            <v>9001-2211-DS-1004-03-WM186</v>
          </cell>
          <cell r="B1723" t="str">
            <v>9001-2211-DS-1004-03-WM</v>
          </cell>
          <cell r="C1723">
            <v>186</v>
          </cell>
        </row>
        <row r="1724">
          <cell r="A1724" t="str">
            <v>9001-2211-DS-1004-03-WM187</v>
          </cell>
          <cell r="B1724" t="str">
            <v>9001-2211-DS-1004-03-WM</v>
          </cell>
          <cell r="C1724">
            <v>187</v>
          </cell>
        </row>
        <row r="1725">
          <cell r="A1725" t="str">
            <v>9001-2211-DS-1004-03-WM188</v>
          </cell>
          <cell r="B1725" t="str">
            <v>9001-2211-DS-1004-03-WM</v>
          </cell>
          <cell r="C1725">
            <v>188</v>
          </cell>
        </row>
        <row r="1726">
          <cell r="A1726" t="str">
            <v>9001-2211-DS-1004-03-WM189</v>
          </cell>
          <cell r="B1726" t="str">
            <v>9001-2211-DS-1004-03-WM</v>
          </cell>
          <cell r="C1726">
            <v>189</v>
          </cell>
        </row>
        <row r="1727">
          <cell r="A1727" t="str">
            <v>9001-2211-DS-1004-03-WM190</v>
          </cell>
          <cell r="B1727" t="str">
            <v>9001-2211-DS-1004-03-WM</v>
          </cell>
          <cell r="C1727">
            <v>190</v>
          </cell>
        </row>
        <row r="1728">
          <cell r="A1728" t="str">
            <v>9001-2211-DS-1004-03-WM191</v>
          </cell>
          <cell r="B1728" t="str">
            <v>9001-2211-DS-1004-03-WM</v>
          </cell>
          <cell r="C1728">
            <v>191</v>
          </cell>
        </row>
        <row r="1729">
          <cell r="A1729" t="str">
            <v>9001-2211-DS-1004-03-WM192</v>
          </cell>
          <cell r="B1729" t="str">
            <v>9001-2211-DS-1004-03-WM</v>
          </cell>
          <cell r="C1729">
            <v>192</v>
          </cell>
        </row>
        <row r="1730">
          <cell r="A1730" t="str">
            <v>9001-2211-DS-1004-03-WM193</v>
          </cell>
          <cell r="B1730" t="str">
            <v>9001-2211-DS-1004-03-WM</v>
          </cell>
          <cell r="C1730">
            <v>193</v>
          </cell>
        </row>
        <row r="1731">
          <cell r="A1731" t="str">
            <v>9001-2211-DS-1004-03-WM194</v>
          </cell>
          <cell r="B1731" t="str">
            <v>9001-2211-DS-1004-03-WM</v>
          </cell>
          <cell r="C1731">
            <v>194</v>
          </cell>
        </row>
        <row r="1732">
          <cell r="A1732" t="str">
            <v>9001-2211-DS-1004-03-WM195</v>
          </cell>
          <cell r="B1732" t="str">
            <v>9001-2211-DS-1004-03-WM</v>
          </cell>
          <cell r="C1732">
            <v>195</v>
          </cell>
        </row>
        <row r="1733">
          <cell r="A1733" t="str">
            <v>9001-2211-DS-1004-03-WM196</v>
          </cell>
          <cell r="B1733" t="str">
            <v>9001-2211-DS-1004-03-WM</v>
          </cell>
          <cell r="C1733">
            <v>196</v>
          </cell>
        </row>
        <row r="1734">
          <cell r="A1734" t="str">
            <v>9001-2211-DS-1004-03-WM197</v>
          </cell>
          <cell r="B1734" t="str">
            <v>9001-2211-DS-1004-03-WM</v>
          </cell>
          <cell r="C1734">
            <v>197</v>
          </cell>
        </row>
        <row r="1735">
          <cell r="A1735" t="str">
            <v>9001-2211-DS-1004-03-WM198</v>
          </cell>
          <cell r="B1735" t="str">
            <v>9001-2211-DS-1004-03-WM</v>
          </cell>
          <cell r="C1735">
            <v>198</v>
          </cell>
        </row>
        <row r="1736">
          <cell r="A1736" t="str">
            <v>9001-2211-DS-1004-03-WM199</v>
          </cell>
          <cell r="B1736" t="str">
            <v>9001-2211-DS-1004-03-WM</v>
          </cell>
          <cell r="C1736">
            <v>199</v>
          </cell>
        </row>
        <row r="1737">
          <cell r="A1737" t="str">
            <v>9001-2211-DS-1004-03-WM200</v>
          </cell>
          <cell r="B1737" t="str">
            <v>9001-2211-DS-1004-03-WM</v>
          </cell>
          <cell r="C1737">
            <v>200</v>
          </cell>
        </row>
        <row r="1738">
          <cell r="A1738" t="str">
            <v>9001-2211-DS-1004-03-WM201</v>
          </cell>
          <cell r="B1738" t="str">
            <v>9001-2211-DS-1004-03-WM</v>
          </cell>
          <cell r="C1738">
            <v>201</v>
          </cell>
        </row>
        <row r="1739">
          <cell r="A1739" t="str">
            <v>9001-2211-DS-1004-03-WM202</v>
          </cell>
          <cell r="B1739" t="str">
            <v>9001-2211-DS-1004-03-WM</v>
          </cell>
          <cell r="C1739">
            <v>202</v>
          </cell>
        </row>
        <row r="1740">
          <cell r="A1740" t="str">
            <v>9001-2211-DS-1004-03-WM203</v>
          </cell>
          <cell r="B1740" t="str">
            <v>9001-2211-DS-1004-03-WM</v>
          </cell>
          <cell r="C1740">
            <v>203</v>
          </cell>
        </row>
        <row r="1741">
          <cell r="A1741" t="str">
            <v>9001-2211-DS-1004-03-WM204</v>
          </cell>
          <cell r="B1741" t="str">
            <v>9001-2211-DS-1004-03-WM</v>
          </cell>
          <cell r="C1741">
            <v>204</v>
          </cell>
        </row>
        <row r="1742">
          <cell r="A1742" t="str">
            <v>9001-2211-DS-1004-03-WM205</v>
          </cell>
          <cell r="B1742" t="str">
            <v>9001-2211-DS-1004-03-WM</v>
          </cell>
          <cell r="C1742">
            <v>205</v>
          </cell>
        </row>
        <row r="1743">
          <cell r="A1743" t="str">
            <v>9001-2211-DS-1004-03-WM206</v>
          </cell>
          <cell r="B1743" t="str">
            <v>9001-2211-DS-1004-03-WM</v>
          </cell>
          <cell r="C1743">
            <v>206</v>
          </cell>
        </row>
        <row r="1744">
          <cell r="A1744" t="str">
            <v>9001-2211-DS-1004-03-WM207</v>
          </cell>
          <cell r="B1744" t="str">
            <v>9001-2211-DS-1004-03-WM</v>
          </cell>
          <cell r="C1744">
            <v>207</v>
          </cell>
        </row>
        <row r="1745">
          <cell r="A1745" t="str">
            <v>9001-2211-DS-1004-03-WM208</v>
          </cell>
          <cell r="B1745" t="str">
            <v>9001-2211-DS-1004-03-WM</v>
          </cell>
          <cell r="C1745">
            <v>208</v>
          </cell>
        </row>
        <row r="1746">
          <cell r="A1746" t="str">
            <v>9001-2211-DS-1004-03-WM209</v>
          </cell>
          <cell r="B1746" t="str">
            <v>9001-2211-DS-1004-03-WM</v>
          </cell>
          <cell r="C1746">
            <v>209</v>
          </cell>
        </row>
        <row r="1747">
          <cell r="A1747" t="str">
            <v>9001-2211-DS-1004-03-WM210</v>
          </cell>
          <cell r="B1747" t="str">
            <v>9001-2211-DS-1004-03-WM</v>
          </cell>
          <cell r="C1747">
            <v>210</v>
          </cell>
        </row>
        <row r="1748">
          <cell r="A1748" t="str">
            <v>9001-2211-DS-1004-03-WM211</v>
          </cell>
          <cell r="B1748" t="str">
            <v>9001-2211-DS-1004-03-WM</v>
          </cell>
          <cell r="C1748">
            <v>211</v>
          </cell>
        </row>
        <row r="1749">
          <cell r="A1749" t="str">
            <v>9001-2211-DS-1004-03-WM212</v>
          </cell>
          <cell r="B1749" t="str">
            <v>9001-2211-DS-1004-03-WM</v>
          </cell>
          <cell r="C1749">
            <v>212</v>
          </cell>
        </row>
        <row r="1750">
          <cell r="A1750" t="str">
            <v>9001-2211-DS-1004-03-WM213</v>
          </cell>
          <cell r="B1750" t="str">
            <v>9001-2211-DS-1004-03-WM</v>
          </cell>
          <cell r="C1750">
            <v>213</v>
          </cell>
        </row>
        <row r="1751">
          <cell r="A1751" t="str">
            <v>9001-2211-DS-1004-03-WM214</v>
          </cell>
          <cell r="B1751" t="str">
            <v>9001-2211-DS-1004-03-WM</v>
          </cell>
          <cell r="C1751">
            <v>214</v>
          </cell>
        </row>
        <row r="1752">
          <cell r="A1752" t="str">
            <v>9001-2211-DS-1004-03-WM215</v>
          </cell>
          <cell r="B1752" t="str">
            <v>9001-2211-DS-1004-03-WM</v>
          </cell>
          <cell r="C1752">
            <v>215</v>
          </cell>
        </row>
        <row r="1753">
          <cell r="A1753" t="str">
            <v>9001-2211-DS-1004-03-WM216</v>
          </cell>
          <cell r="B1753" t="str">
            <v>9001-2211-DS-1004-03-WM</v>
          </cell>
          <cell r="C1753">
            <v>216</v>
          </cell>
        </row>
        <row r="1754">
          <cell r="A1754" t="str">
            <v>9001-2211-DS-1004-03-WM217</v>
          </cell>
          <cell r="B1754" t="str">
            <v>9001-2211-DS-1004-03-WM</v>
          </cell>
          <cell r="C1754">
            <v>217</v>
          </cell>
        </row>
        <row r="1755">
          <cell r="A1755" t="str">
            <v>9001-2211-DS-1004-03-WM218</v>
          </cell>
          <cell r="B1755" t="str">
            <v>9001-2211-DS-1004-03-WM</v>
          </cell>
          <cell r="C1755">
            <v>218</v>
          </cell>
        </row>
        <row r="1756">
          <cell r="A1756" t="str">
            <v>9001-2211-DS-1004-03-WM219</v>
          </cell>
          <cell r="B1756" t="str">
            <v>9001-2211-DS-1004-03-WM</v>
          </cell>
          <cell r="C1756">
            <v>219</v>
          </cell>
        </row>
        <row r="1757">
          <cell r="A1757" t="str">
            <v>9001-2211-DS-1004-03-WM220</v>
          </cell>
          <cell r="B1757" t="str">
            <v>9001-2211-DS-1004-03-WM</v>
          </cell>
          <cell r="C1757">
            <v>220</v>
          </cell>
        </row>
        <row r="1758">
          <cell r="A1758" t="str">
            <v>9001-2211-DS-1004-03-WM221</v>
          </cell>
          <cell r="B1758" t="str">
            <v>9001-2211-DS-1004-03-WM</v>
          </cell>
          <cell r="C1758">
            <v>221</v>
          </cell>
        </row>
        <row r="1759">
          <cell r="A1759" t="str">
            <v>9001-2211-DS-1004-03-WM222</v>
          </cell>
          <cell r="B1759" t="str">
            <v>9001-2211-DS-1004-03-WM</v>
          </cell>
          <cell r="C1759">
            <v>222</v>
          </cell>
        </row>
        <row r="1760">
          <cell r="A1760" t="str">
            <v>9001-2211-DS-1004-03-WM223</v>
          </cell>
          <cell r="B1760" t="str">
            <v>9001-2211-DS-1004-03-WM</v>
          </cell>
          <cell r="C1760">
            <v>223</v>
          </cell>
        </row>
        <row r="1761">
          <cell r="A1761" t="str">
            <v>9001-2211-DS-1004-03-WM224</v>
          </cell>
          <cell r="B1761" t="str">
            <v>9001-2211-DS-1004-03-WM</v>
          </cell>
          <cell r="C1761">
            <v>224</v>
          </cell>
        </row>
        <row r="1762">
          <cell r="A1762" t="str">
            <v>9001-2211-DS-1004-03-WM225</v>
          </cell>
          <cell r="B1762" t="str">
            <v>9001-2211-DS-1004-03-WM</v>
          </cell>
          <cell r="C1762">
            <v>225</v>
          </cell>
        </row>
        <row r="1763">
          <cell r="A1763" t="str">
            <v>9001-2211-DS-1004-03-WM226</v>
          </cell>
          <cell r="B1763" t="str">
            <v>9001-2211-DS-1004-03-WM</v>
          </cell>
          <cell r="C1763">
            <v>226</v>
          </cell>
        </row>
        <row r="1764">
          <cell r="A1764" t="str">
            <v>9001-2211-DS-1004-03-WM227</v>
          </cell>
          <cell r="B1764" t="str">
            <v>9001-2211-DS-1004-03-WM</v>
          </cell>
          <cell r="C1764">
            <v>227</v>
          </cell>
        </row>
        <row r="1765">
          <cell r="A1765" t="str">
            <v>9001-2211-DS-1004-03-WM228</v>
          </cell>
          <cell r="B1765" t="str">
            <v>9001-2211-DS-1004-03-WM</v>
          </cell>
          <cell r="C1765">
            <v>228</v>
          </cell>
        </row>
        <row r="1766">
          <cell r="A1766" t="str">
            <v>9001-2211-DS-1004-03-WM229</v>
          </cell>
          <cell r="B1766" t="str">
            <v>9001-2211-DS-1004-03-WM</v>
          </cell>
          <cell r="C1766">
            <v>229</v>
          </cell>
        </row>
        <row r="1767">
          <cell r="A1767" t="str">
            <v>9001-2211-DS-1004-03-WM230</v>
          </cell>
          <cell r="B1767" t="str">
            <v>9001-2211-DS-1004-03-WM</v>
          </cell>
          <cell r="C1767">
            <v>230</v>
          </cell>
        </row>
        <row r="1768">
          <cell r="A1768" t="str">
            <v>9001-2211-DS-1004-03-WM231</v>
          </cell>
          <cell r="B1768" t="str">
            <v>9001-2211-DS-1004-03-WM</v>
          </cell>
          <cell r="C1768">
            <v>231</v>
          </cell>
        </row>
        <row r="1769">
          <cell r="A1769" t="str">
            <v>9001-2211-DS-1004-03-WM232</v>
          </cell>
          <cell r="B1769" t="str">
            <v>9001-2211-DS-1004-03-WM</v>
          </cell>
          <cell r="C1769">
            <v>232</v>
          </cell>
        </row>
        <row r="1770">
          <cell r="A1770" t="str">
            <v>9001-2211-DS-1004-03-WM233</v>
          </cell>
          <cell r="B1770" t="str">
            <v>9001-2211-DS-1004-03-WM</v>
          </cell>
          <cell r="C1770">
            <v>233</v>
          </cell>
        </row>
        <row r="1771">
          <cell r="A1771" t="str">
            <v>9001-2211-DS-1004-03-WM234</v>
          </cell>
          <cell r="B1771" t="str">
            <v>9001-2211-DS-1004-03-WM</v>
          </cell>
          <cell r="C1771">
            <v>234</v>
          </cell>
        </row>
        <row r="1772">
          <cell r="A1772" t="str">
            <v>9001-2211-DS-1004-03-WM235</v>
          </cell>
          <cell r="B1772" t="str">
            <v>9001-2211-DS-1004-03-WM</v>
          </cell>
          <cell r="C1772">
            <v>235</v>
          </cell>
        </row>
        <row r="1773">
          <cell r="A1773" t="str">
            <v>9001-2211-DS-1004-03-WM236</v>
          </cell>
          <cell r="B1773" t="str">
            <v>9001-2211-DS-1004-03-WM</v>
          </cell>
          <cell r="C1773">
            <v>236</v>
          </cell>
        </row>
        <row r="1774">
          <cell r="A1774" t="str">
            <v>9001-2211-DS-1004-03-WM237</v>
          </cell>
          <cell r="B1774" t="str">
            <v>9001-2211-DS-1004-03-WM</v>
          </cell>
          <cell r="C1774">
            <v>237</v>
          </cell>
        </row>
        <row r="1775">
          <cell r="A1775" t="str">
            <v>9001-2211-DS-1004-03-WM238</v>
          </cell>
          <cell r="B1775" t="str">
            <v>9001-2211-DS-1004-03-WM</v>
          </cell>
          <cell r="C1775">
            <v>238</v>
          </cell>
        </row>
        <row r="1776">
          <cell r="A1776" t="str">
            <v>9001-2211-DS-1004-03-WM239</v>
          </cell>
          <cell r="B1776" t="str">
            <v>9001-2211-DS-1004-03-WM</v>
          </cell>
          <cell r="C1776">
            <v>239</v>
          </cell>
        </row>
        <row r="1777">
          <cell r="A1777" t="str">
            <v>9001-2211-DS-1004-03-WM240</v>
          </cell>
          <cell r="B1777" t="str">
            <v>9001-2211-DS-1004-03-WM</v>
          </cell>
          <cell r="C1777">
            <v>240</v>
          </cell>
        </row>
        <row r="1778">
          <cell r="A1778" t="str">
            <v>9001-2211-DS-1004-04-WM1</v>
          </cell>
          <cell r="B1778" t="str">
            <v>9001-2211-DS-1004-04-WM</v>
          </cell>
          <cell r="C1778">
            <v>1</v>
          </cell>
        </row>
        <row r="1779">
          <cell r="A1779" t="str">
            <v>9001-2211-DS-1004-04-WM2</v>
          </cell>
          <cell r="B1779" t="str">
            <v>9001-2211-DS-1004-04-WM</v>
          </cell>
          <cell r="C1779">
            <v>2</v>
          </cell>
        </row>
        <row r="1780">
          <cell r="A1780" t="str">
            <v>9001-2211-DS-1004-04-WM3</v>
          </cell>
          <cell r="B1780" t="str">
            <v>9001-2211-DS-1004-04-WM</v>
          </cell>
          <cell r="C1780">
            <v>3</v>
          </cell>
        </row>
        <row r="1781">
          <cell r="A1781" t="str">
            <v>9001-2211-DS-1004-04-WM4</v>
          </cell>
          <cell r="B1781" t="str">
            <v>9001-2211-DS-1004-04-WM</v>
          </cell>
          <cell r="C1781">
            <v>4</v>
          </cell>
        </row>
        <row r="1782">
          <cell r="A1782" t="str">
            <v>9001-2211-DS-1004-04-WM5</v>
          </cell>
          <cell r="B1782" t="str">
            <v>9001-2211-DS-1004-04-WM</v>
          </cell>
          <cell r="C1782">
            <v>5</v>
          </cell>
        </row>
        <row r="1783">
          <cell r="A1783" t="str">
            <v>9001-2211-DS-1004-04-WM6</v>
          </cell>
          <cell r="B1783" t="str">
            <v>9001-2211-DS-1004-04-WM</v>
          </cell>
          <cell r="C1783">
            <v>6</v>
          </cell>
        </row>
        <row r="1784">
          <cell r="A1784" t="str">
            <v>9001-2211-DS-1004-04-WM7</v>
          </cell>
          <cell r="B1784" t="str">
            <v>9001-2211-DS-1004-04-WM</v>
          </cell>
          <cell r="C1784">
            <v>7</v>
          </cell>
        </row>
        <row r="1785">
          <cell r="A1785" t="str">
            <v>9001-2211-DS-1004-04-WM8</v>
          </cell>
          <cell r="B1785" t="str">
            <v>9001-2211-DS-1004-04-WM</v>
          </cell>
          <cell r="C1785">
            <v>8</v>
          </cell>
        </row>
        <row r="1786">
          <cell r="A1786" t="str">
            <v>9001-2211-DS-1004-04-WM9</v>
          </cell>
          <cell r="B1786" t="str">
            <v>9001-2211-DS-1004-04-WM</v>
          </cell>
          <cell r="C1786">
            <v>9</v>
          </cell>
        </row>
        <row r="1787">
          <cell r="A1787" t="str">
            <v>9001-2211-DS-1004-04-WM10</v>
          </cell>
          <cell r="B1787" t="str">
            <v>9001-2211-DS-1004-04-WM</v>
          </cell>
          <cell r="C1787">
            <v>10</v>
          </cell>
        </row>
        <row r="1788">
          <cell r="A1788" t="str">
            <v>9001-2211-DS-1004-04-WM11</v>
          </cell>
          <cell r="B1788" t="str">
            <v>9001-2211-DS-1004-04-WM</v>
          </cell>
          <cell r="C1788">
            <v>11</v>
          </cell>
        </row>
        <row r="1789">
          <cell r="A1789" t="str">
            <v>9001-2211-DS-1004-04-WM12</v>
          </cell>
          <cell r="B1789" t="str">
            <v>9001-2211-DS-1004-04-WM</v>
          </cell>
          <cell r="C1789">
            <v>12</v>
          </cell>
        </row>
        <row r="1790">
          <cell r="A1790" t="str">
            <v>9001-2211-DS-1004-04-WM13</v>
          </cell>
          <cell r="B1790" t="str">
            <v>9001-2211-DS-1004-04-WM</v>
          </cell>
          <cell r="C1790">
            <v>13</v>
          </cell>
        </row>
        <row r="1791">
          <cell r="A1791" t="str">
            <v>9001-2211-DS-1004-04-WM14</v>
          </cell>
          <cell r="B1791" t="str">
            <v>9001-2211-DS-1004-04-WM</v>
          </cell>
          <cell r="C1791">
            <v>14</v>
          </cell>
        </row>
        <row r="1792">
          <cell r="A1792" t="str">
            <v>9001-2211-DS-1004-04-WM15</v>
          </cell>
          <cell r="B1792" t="str">
            <v>9001-2211-DS-1004-04-WM</v>
          </cell>
          <cell r="C1792">
            <v>15</v>
          </cell>
        </row>
        <row r="1793">
          <cell r="A1793" t="str">
            <v>9001-2211-DS-1004-04-WM16</v>
          </cell>
          <cell r="B1793" t="str">
            <v>9001-2211-DS-1004-04-WM</v>
          </cell>
          <cell r="C1793">
            <v>16</v>
          </cell>
        </row>
        <row r="1794">
          <cell r="A1794" t="str">
            <v>9001-2211-DS-1004-04-WM17</v>
          </cell>
          <cell r="B1794" t="str">
            <v>9001-2211-DS-1004-04-WM</v>
          </cell>
          <cell r="C1794">
            <v>17</v>
          </cell>
        </row>
        <row r="1795">
          <cell r="A1795" t="str">
            <v>9001-2211-DS-1004-04-WM18</v>
          </cell>
          <cell r="B1795" t="str">
            <v>9001-2211-DS-1004-04-WM</v>
          </cell>
          <cell r="C1795">
            <v>18</v>
          </cell>
        </row>
        <row r="1796">
          <cell r="A1796" t="str">
            <v>9001-2211-DS-1004-04-WM19</v>
          </cell>
          <cell r="B1796" t="str">
            <v>9001-2211-DS-1004-04-WM</v>
          </cell>
          <cell r="C1796">
            <v>19</v>
          </cell>
        </row>
        <row r="1797">
          <cell r="A1797" t="str">
            <v>9001-2211-DS-1004-04-WM20</v>
          </cell>
          <cell r="B1797" t="str">
            <v>9001-2211-DS-1004-04-WM</v>
          </cell>
          <cell r="C1797">
            <v>20</v>
          </cell>
        </row>
        <row r="1798">
          <cell r="A1798" t="str">
            <v>9001-2211-DS-1004-04-WM21</v>
          </cell>
          <cell r="B1798" t="str">
            <v>9001-2211-DS-1004-04-WM</v>
          </cell>
          <cell r="C1798">
            <v>21</v>
          </cell>
        </row>
        <row r="1799">
          <cell r="A1799" t="str">
            <v>9001-2211-DS-1004-04-WM22</v>
          </cell>
          <cell r="B1799" t="str">
            <v>9001-2211-DS-1004-04-WM</v>
          </cell>
          <cell r="C1799">
            <v>22</v>
          </cell>
        </row>
        <row r="1800">
          <cell r="A1800" t="str">
            <v>9001-2211-DS-1004-04-WM23</v>
          </cell>
          <cell r="B1800" t="str">
            <v>9001-2211-DS-1004-04-WM</v>
          </cell>
          <cell r="C1800">
            <v>23</v>
          </cell>
        </row>
        <row r="1801">
          <cell r="A1801" t="str">
            <v>9001-2211-DS-1004-04-WM24</v>
          </cell>
          <cell r="B1801" t="str">
            <v>9001-2211-DS-1004-04-WM</v>
          </cell>
          <cell r="C1801">
            <v>24</v>
          </cell>
        </row>
        <row r="1802">
          <cell r="A1802" t="str">
            <v>9001-2211-DS-1004-04-WM25</v>
          </cell>
          <cell r="B1802" t="str">
            <v>9001-2211-DS-1004-04-WM</v>
          </cell>
          <cell r="C1802">
            <v>25</v>
          </cell>
        </row>
        <row r="1803">
          <cell r="A1803" t="str">
            <v>9001-2211-DS-1004-04-WM26</v>
          </cell>
          <cell r="B1803" t="str">
            <v>9001-2211-DS-1004-04-WM</v>
          </cell>
          <cell r="C1803">
            <v>26</v>
          </cell>
        </row>
        <row r="1804">
          <cell r="A1804" t="str">
            <v>9001-2211-DS-1004-04-WM27</v>
          </cell>
          <cell r="B1804" t="str">
            <v>9001-2211-DS-1004-04-WM</v>
          </cell>
          <cell r="C1804">
            <v>27</v>
          </cell>
        </row>
        <row r="1805">
          <cell r="A1805" t="str">
            <v>9001-2211-DS-1004-04-WM28</v>
          </cell>
          <cell r="B1805" t="str">
            <v>9001-2211-DS-1004-04-WM</v>
          </cell>
          <cell r="C1805">
            <v>28</v>
          </cell>
        </row>
        <row r="1806">
          <cell r="A1806" t="str">
            <v>9001-2211-DS-1004-04-WM29</v>
          </cell>
          <cell r="B1806" t="str">
            <v>9001-2211-DS-1004-04-WM</v>
          </cell>
          <cell r="C1806">
            <v>29</v>
          </cell>
        </row>
        <row r="1807">
          <cell r="A1807" t="str">
            <v>9001-2211-DS-1004-04-WM30</v>
          </cell>
          <cell r="B1807" t="str">
            <v>9001-2211-DS-1004-04-WM</v>
          </cell>
          <cell r="C1807">
            <v>30</v>
          </cell>
        </row>
        <row r="1808">
          <cell r="A1808" t="str">
            <v>9001-2211-DS-1004-04-WM31</v>
          </cell>
          <cell r="B1808" t="str">
            <v>9001-2211-DS-1004-04-WM</v>
          </cell>
          <cell r="C1808">
            <v>31</v>
          </cell>
        </row>
        <row r="1809">
          <cell r="A1809" t="str">
            <v>9001-2211-DS-1004-04-WM32</v>
          </cell>
          <cell r="B1809" t="str">
            <v>9001-2211-DS-1004-04-WM</v>
          </cell>
          <cell r="C1809">
            <v>32</v>
          </cell>
        </row>
        <row r="1810">
          <cell r="A1810" t="str">
            <v>9001-2211-DS-1004-04-WM33</v>
          </cell>
          <cell r="B1810" t="str">
            <v>9001-2211-DS-1004-04-WM</v>
          </cell>
          <cell r="C1810">
            <v>33</v>
          </cell>
        </row>
        <row r="1811">
          <cell r="A1811" t="str">
            <v>9001-2211-DS-1004-04-WM34</v>
          </cell>
          <cell r="B1811" t="str">
            <v>9001-2211-DS-1004-04-WM</v>
          </cell>
          <cell r="C1811">
            <v>34</v>
          </cell>
        </row>
        <row r="1812">
          <cell r="A1812" t="str">
            <v>9001-2211-DS-1004-04-WM35</v>
          </cell>
          <cell r="B1812" t="str">
            <v>9001-2211-DS-1004-04-WM</v>
          </cell>
          <cell r="C1812">
            <v>35</v>
          </cell>
        </row>
        <row r="1813">
          <cell r="A1813" t="str">
            <v>9001-2211-DS-1004-04-WM36</v>
          </cell>
          <cell r="B1813" t="str">
            <v>9001-2211-DS-1004-04-WM</v>
          </cell>
          <cell r="C1813">
            <v>36</v>
          </cell>
        </row>
        <row r="1814">
          <cell r="A1814" t="str">
            <v>9001-2211-DS-1004-06-WM1</v>
          </cell>
          <cell r="B1814" t="str">
            <v>9001-2211-DS-1004-06-WM</v>
          </cell>
          <cell r="C1814">
            <v>1</v>
          </cell>
        </row>
        <row r="1815">
          <cell r="A1815" t="str">
            <v>9001-2211-DS-1004-06-WM2</v>
          </cell>
          <cell r="B1815" t="str">
            <v>9001-2211-DS-1004-06-WM</v>
          </cell>
          <cell r="C1815">
            <v>2</v>
          </cell>
        </row>
        <row r="1816">
          <cell r="A1816" t="str">
            <v>9001-2211-DS-1004-06-WM3</v>
          </cell>
          <cell r="B1816" t="str">
            <v>9001-2211-DS-1004-06-WM</v>
          </cell>
          <cell r="C1816">
            <v>3</v>
          </cell>
        </row>
        <row r="1817">
          <cell r="A1817" t="str">
            <v>9001-2211-DS-1004-06-WM4</v>
          </cell>
          <cell r="B1817" t="str">
            <v>9001-2211-DS-1004-06-WM</v>
          </cell>
          <cell r="C1817">
            <v>4</v>
          </cell>
        </row>
        <row r="1818">
          <cell r="A1818" t="str">
            <v>9001-2211-DS-1004-06-WM5</v>
          </cell>
          <cell r="B1818" t="str">
            <v>9001-2211-DS-1004-06-WM</v>
          </cell>
          <cell r="C1818">
            <v>5</v>
          </cell>
        </row>
        <row r="1819">
          <cell r="A1819" t="str">
            <v>9001-2211-DS-1004-06-WM6</v>
          </cell>
          <cell r="B1819" t="str">
            <v>9001-2211-DS-1004-06-WM</v>
          </cell>
          <cell r="C1819">
            <v>6</v>
          </cell>
        </row>
        <row r="1820">
          <cell r="A1820" t="str">
            <v>9001-2211-DS-1004-06-WM7</v>
          </cell>
          <cell r="B1820" t="str">
            <v>9001-2211-DS-1004-06-WM</v>
          </cell>
          <cell r="C1820">
            <v>7</v>
          </cell>
        </row>
        <row r="1821">
          <cell r="A1821" t="str">
            <v>9001-2211-DS-1004-06-WM8</v>
          </cell>
          <cell r="B1821" t="str">
            <v>9001-2211-DS-1004-06-WM</v>
          </cell>
          <cell r="C1821">
            <v>8</v>
          </cell>
        </row>
        <row r="1822">
          <cell r="A1822" t="str">
            <v>9001-2211-DS-1004-06-WM9</v>
          </cell>
          <cell r="B1822" t="str">
            <v>9001-2211-DS-1004-06-WM</v>
          </cell>
          <cell r="C1822">
            <v>9</v>
          </cell>
        </row>
        <row r="1823">
          <cell r="A1823" t="str">
            <v>9001-2211-DS-1004-06-WM10</v>
          </cell>
          <cell r="B1823" t="str">
            <v>9001-2211-DS-1004-06-WM</v>
          </cell>
          <cell r="C1823">
            <v>10</v>
          </cell>
        </row>
        <row r="1824">
          <cell r="A1824" t="str">
            <v>9001-2211-DS-1004-06-WM11</v>
          </cell>
          <cell r="B1824" t="str">
            <v>9001-2211-DS-1004-06-WM</v>
          </cell>
          <cell r="C1824">
            <v>11</v>
          </cell>
        </row>
        <row r="1825">
          <cell r="A1825" t="str">
            <v>9001-2211-DS-1004-06-WM12</v>
          </cell>
          <cell r="B1825" t="str">
            <v>9001-2211-DS-1004-06-WM</v>
          </cell>
          <cell r="C1825">
            <v>12</v>
          </cell>
        </row>
        <row r="1826">
          <cell r="A1826" t="str">
            <v>9001-2211-DS-1004-06-WM13</v>
          </cell>
          <cell r="B1826" t="str">
            <v>9001-2211-DS-1004-06-WM</v>
          </cell>
          <cell r="C1826">
            <v>13</v>
          </cell>
        </row>
        <row r="1827">
          <cell r="A1827" t="str">
            <v>9001-2211-DS-1004-06-WM14</v>
          </cell>
          <cell r="B1827" t="str">
            <v>9001-2211-DS-1004-06-WM</v>
          </cell>
          <cell r="C1827">
            <v>14</v>
          </cell>
        </row>
        <row r="1828">
          <cell r="A1828" t="str">
            <v>9001-2211-DS-1004-06-WM15</v>
          </cell>
          <cell r="B1828" t="str">
            <v>9001-2211-DS-1004-06-WM</v>
          </cell>
          <cell r="C1828">
            <v>15</v>
          </cell>
        </row>
        <row r="1829">
          <cell r="A1829" t="str">
            <v>9001-2211-DS-1004-06-WM16</v>
          </cell>
          <cell r="B1829" t="str">
            <v>9001-2211-DS-1004-06-WM</v>
          </cell>
          <cell r="C1829">
            <v>16</v>
          </cell>
        </row>
        <row r="1830">
          <cell r="A1830" t="str">
            <v>9001-2211-DS-1004-06-WM17</v>
          </cell>
          <cell r="B1830" t="str">
            <v>9001-2211-DS-1004-06-WM</v>
          </cell>
          <cell r="C1830">
            <v>17</v>
          </cell>
        </row>
        <row r="1831">
          <cell r="A1831" t="str">
            <v>9001-2211-DS-1004-06-WM18</v>
          </cell>
          <cell r="B1831" t="str">
            <v>9001-2211-DS-1004-06-WM</v>
          </cell>
          <cell r="C1831">
            <v>18</v>
          </cell>
        </row>
        <row r="1832">
          <cell r="A1832" t="str">
            <v>9001-2211-DS-1004-06-WM19</v>
          </cell>
          <cell r="B1832" t="str">
            <v>9001-2211-DS-1004-06-WM</v>
          </cell>
          <cell r="C1832">
            <v>19</v>
          </cell>
        </row>
        <row r="1833">
          <cell r="A1833" t="str">
            <v>9001-2211-DS-1004-06-WM20</v>
          </cell>
          <cell r="B1833" t="str">
            <v>9001-2211-DS-1004-06-WM</v>
          </cell>
          <cell r="C1833">
            <v>20</v>
          </cell>
        </row>
        <row r="1834">
          <cell r="A1834" t="str">
            <v>9001-2211-DS-1004-06-WM21</v>
          </cell>
          <cell r="B1834" t="str">
            <v>9001-2211-DS-1004-06-WM</v>
          </cell>
          <cell r="C1834">
            <v>21</v>
          </cell>
        </row>
        <row r="1835">
          <cell r="A1835" t="str">
            <v>9001-2211-DS-1004-06-WM22</v>
          </cell>
          <cell r="B1835" t="str">
            <v>9001-2211-DS-1004-06-WM</v>
          </cell>
          <cell r="C1835">
            <v>22</v>
          </cell>
        </row>
        <row r="1836">
          <cell r="A1836" t="str">
            <v>9001-2211-DS-1004-06-WM23</v>
          </cell>
          <cell r="B1836" t="str">
            <v>9001-2211-DS-1004-06-WM</v>
          </cell>
          <cell r="C1836">
            <v>23</v>
          </cell>
        </row>
        <row r="1837">
          <cell r="A1837" t="str">
            <v>9001-2211-DS-1004-06-WM24</v>
          </cell>
          <cell r="B1837" t="str">
            <v>9001-2211-DS-1004-06-WM</v>
          </cell>
          <cell r="C1837">
            <v>24</v>
          </cell>
        </row>
        <row r="1838">
          <cell r="A1838" t="str">
            <v>9001-2211-DS-1004-06-WM25</v>
          </cell>
          <cell r="B1838" t="str">
            <v>9001-2211-DS-1004-06-WM</v>
          </cell>
          <cell r="C1838">
            <v>25</v>
          </cell>
        </row>
        <row r="1839">
          <cell r="A1839" t="str">
            <v>9001-2211-DS-1004-06-WM26</v>
          </cell>
          <cell r="B1839" t="str">
            <v>9001-2211-DS-1004-06-WM</v>
          </cell>
          <cell r="C1839">
            <v>26</v>
          </cell>
        </row>
        <row r="1840">
          <cell r="A1840" t="str">
            <v>9001-2211-DS-1004-06-WM27</v>
          </cell>
          <cell r="B1840" t="str">
            <v>9001-2211-DS-1004-06-WM</v>
          </cell>
          <cell r="C1840">
            <v>27</v>
          </cell>
        </row>
        <row r="1841">
          <cell r="A1841" t="str">
            <v>9001-2211-DS-1004-06-WM28</v>
          </cell>
          <cell r="B1841" t="str">
            <v>9001-2211-DS-1004-06-WM</v>
          </cell>
          <cell r="C1841">
            <v>28</v>
          </cell>
        </row>
        <row r="1842">
          <cell r="A1842" t="str">
            <v>9001-2211-DS-1004-06-WM29</v>
          </cell>
          <cell r="B1842" t="str">
            <v>9001-2211-DS-1004-06-WM</v>
          </cell>
          <cell r="C1842">
            <v>29</v>
          </cell>
        </row>
        <row r="1843">
          <cell r="A1843" t="str">
            <v>9001-2211-DS-1004-06-WM30</v>
          </cell>
          <cell r="B1843" t="str">
            <v>9001-2211-DS-1004-06-WM</v>
          </cell>
          <cell r="C1843">
            <v>30</v>
          </cell>
        </row>
        <row r="1844">
          <cell r="A1844" t="str">
            <v>9001-2211-DS-1004-06-WM31</v>
          </cell>
          <cell r="B1844" t="str">
            <v>9001-2211-DS-1004-06-WM</v>
          </cell>
          <cell r="C1844">
            <v>31</v>
          </cell>
        </row>
        <row r="1845">
          <cell r="A1845" t="str">
            <v>9001-2211-DS-1004-06-WM32</v>
          </cell>
          <cell r="B1845" t="str">
            <v>9001-2211-DS-1004-06-WM</v>
          </cell>
          <cell r="C1845">
            <v>32</v>
          </cell>
        </row>
        <row r="1846">
          <cell r="A1846" t="str">
            <v>9001-2211-DS-1004-06-WM33</v>
          </cell>
          <cell r="B1846" t="str">
            <v>9001-2211-DS-1004-06-WM</v>
          </cell>
          <cell r="C1846">
            <v>33</v>
          </cell>
        </row>
        <row r="1847">
          <cell r="A1847" t="str">
            <v>9001-2211-DS-1004-06-WM34</v>
          </cell>
          <cell r="B1847" t="str">
            <v>9001-2211-DS-1004-06-WM</v>
          </cell>
          <cell r="C1847">
            <v>34</v>
          </cell>
        </row>
        <row r="1848">
          <cell r="A1848" t="str">
            <v>9001-2211-DS-1004-06-WM35</v>
          </cell>
          <cell r="B1848" t="str">
            <v>9001-2211-DS-1004-06-WM</v>
          </cell>
          <cell r="C1848">
            <v>35</v>
          </cell>
        </row>
        <row r="1849">
          <cell r="A1849" t="str">
            <v>9001-2211-DS-1004-06-WM36</v>
          </cell>
          <cell r="B1849" t="str">
            <v>9001-2211-DS-1004-06-WM</v>
          </cell>
          <cell r="C1849">
            <v>36</v>
          </cell>
        </row>
        <row r="1850">
          <cell r="A1850" t="str">
            <v>9001-2211-DS-1004-06-WM37</v>
          </cell>
          <cell r="B1850" t="str">
            <v>9001-2211-DS-1004-06-WM</v>
          </cell>
          <cell r="C1850">
            <v>37</v>
          </cell>
        </row>
        <row r="1851">
          <cell r="A1851" t="str">
            <v>9001-2211-DS-1004-06-WM38</v>
          </cell>
          <cell r="B1851" t="str">
            <v>9001-2211-DS-1004-06-WM</v>
          </cell>
          <cell r="C1851">
            <v>38</v>
          </cell>
        </row>
        <row r="1852">
          <cell r="A1852" t="str">
            <v>9001-2211-DS-1004-06-WM39</v>
          </cell>
          <cell r="B1852" t="str">
            <v>9001-2211-DS-1004-06-WM</v>
          </cell>
          <cell r="C1852">
            <v>39</v>
          </cell>
        </row>
        <row r="1853">
          <cell r="A1853" t="str">
            <v>9001-2211-DS-1004-06-WM40</v>
          </cell>
          <cell r="B1853" t="str">
            <v>9001-2211-DS-1004-06-WM</v>
          </cell>
          <cell r="C1853">
            <v>40</v>
          </cell>
        </row>
        <row r="1854">
          <cell r="A1854" t="str">
            <v>9001-2211-DS-1004-06-WM41</v>
          </cell>
          <cell r="B1854" t="str">
            <v>9001-2211-DS-1004-06-WM</v>
          </cell>
          <cell r="C1854">
            <v>41</v>
          </cell>
        </row>
        <row r="1855">
          <cell r="A1855" t="str">
            <v>9001-2211-DS-1004-06-WM42</v>
          </cell>
          <cell r="B1855" t="str">
            <v>9001-2211-DS-1004-06-WM</v>
          </cell>
          <cell r="C1855">
            <v>42</v>
          </cell>
        </row>
        <row r="1856">
          <cell r="A1856" t="str">
            <v>9001-2211-DS-1004-06-WM43</v>
          </cell>
          <cell r="B1856" t="str">
            <v>9001-2211-DS-1004-06-WM</v>
          </cell>
          <cell r="C1856">
            <v>43</v>
          </cell>
        </row>
        <row r="1857">
          <cell r="A1857" t="str">
            <v>9001-2211-DS-1004-06-WM44</v>
          </cell>
          <cell r="B1857" t="str">
            <v>9001-2211-DS-1004-06-WM</v>
          </cell>
          <cell r="C1857">
            <v>44</v>
          </cell>
        </row>
        <row r="1858">
          <cell r="A1858" t="str">
            <v>9001-2211-DS-1004-06-WM45</v>
          </cell>
          <cell r="B1858" t="str">
            <v>9001-2211-DS-1004-06-WM</v>
          </cell>
          <cell r="C1858">
            <v>45</v>
          </cell>
        </row>
        <row r="1859">
          <cell r="A1859" t="str">
            <v>9001-2211-DS-1004-06-WM46</v>
          </cell>
          <cell r="B1859" t="str">
            <v>9001-2211-DS-1004-06-WM</v>
          </cell>
          <cell r="C1859">
            <v>46</v>
          </cell>
        </row>
        <row r="1860">
          <cell r="A1860" t="str">
            <v>9001-2211-DS-1004-06-WM47</v>
          </cell>
          <cell r="B1860" t="str">
            <v>9001-2211-DS-1004-06-WM</v>
          </cell>
          <cell r="C1860">
            <v>47</v>
          </cell>
        </row>
        <row r="1861">
          <cell r="A1861" t="str">
            <v>9001-2211-DS-1004-06-WM48</v>
          </cell>
          <cell r="B1861" t="str">
            <v>9001-2211-DS-1004-06-WM</v>
          </cell>
          <cell r="C1861">
            <v>48</v>
          </cell>
        </row>
        <row r="1862">
          <cell r="A1862" t="str">
            <v>9001-2211-DS-1004-06-WM49</v>
          </cell>
          <cell r="B1862" t="str">
            <v>9001-2211-DS-1004-06-WM</v>
          </cell>
          <cell r="C1862">
            <v>49</v>
          </cell>
        </row>
        <row r="1863">
          <cell r="A1863" t="str">
            <v>9001-2211-DS-1004-06-WM50</v>
          </cell>
          <cell r="B1863" t="str">
            <v>9001-2211-DS-1004-06-WM</v>
          </cell>
          <cell r="C1863">
            <v>50</v>
          </cell>
        </row>
        <row r="1864">
          <cell r="A1864" t="str">
            <v>9001-2211-DS-1004-06-WM51</v>
          </cell>
          <cell r="B1864" t="str">
            <v>9001-2211-DS-1004-06-WM</v>
          </cell>
          <cell r="C1864">
            <v>51</v>
          </cell>
        </row>
        <row r="1865">
          <cell r="A1865" t="str">
            <v>9001-2211-DS-1004-06-WM52</v>
          </cell>
          <cell r="B1865" t="str">
            <v>9001-2211-DS-1004-06-WM</v>
          </cell>
          <cell r="C1865">
            <v>52</v>
          </cell>
        </row>
        <row r="1866">
          <cell r="A1866" t="str">
            <v>9001-2211-DS-1004-06-WM53</v>
          </cell>
          <cell r="B1866" t="str">
            <v>9001-2211-DS-1004-06-WM</v>
          </cell>
          <cell r="C1866">
            <v>53</v>
          </cell>
        </row>
        <row r="1867">
          <cell r="A1867" t="str">
            <v>9001-2211-DS-1004-06-WM54</v>
          </cell>
          <cell r="B1867" t="str">
            <v>9001-2211-DS-1004-06-WM</v>
          </cell>
          <cell r="C1867">
            <v>54</v>
          </cell>
        </row>
        <row r="1868">
          <cell r="A1868" t="str">
            <v>9001-2211-DS-1004-06-WM55</v>
          </cell>
          <cell r="B1868" t="str">
            <v>9001-2211-DS-1004-06-WM</v>
          </cell>
          <cell r="C1868">
            <v>55</v>
          </cell>
        </row>
        <row r="1869">
          <cell r="A1869" t="str">
            <v>9001-2211-DS-1004-06-WM56</v>
          </cell>
          <cell r="B1869" t="str">
            <v>9001-2211-DS-1004-06-WM</v>
          </cell>
          <cell r="C1869">
            <v>56</v>
          </cell>
        </row>
        <row r="1870">
          <cell r="A1870" t="str">
            <v>9001-2211-DS-1004-06-WM57</v>
          </cell>
          <cell r="B1870" t="str">
            <v>9001-2211-DS-1004-06-WM</v>
          </cell>
          <cell r="C1870">
            <v>57</v>
          </cell>
        </row>
        <row r="1871">
          <cell r="A1871" t="str">
            <v>9001-2211-DS-1004-06-WM58</v>
          </cell>
          <cell r="B1871" t="str">
            <v>9001-2211-DS-1004-06-WM</v>
          </cell>
          <cell r="C1871">
            <v>58</v>
          </cell>
        </row>
        <row r="1872">
          <cell r="A1872" t="str">
            <v>9001-2211-DS-1004-06-WM59</v>
          </cell>
          <cell r="B1872" t="str">
            <v>9001-2211-DS-1004-06-WM</v>
          </cell>
          <cell r="C1872">
            <v>59</v>
          </cell>
        </row>
        <row r="1873">
          <cell r="A1873" t="str">
            <v>9001-2211-DS-1004-06-WM60</v>
          </cell>
          <cell r="B1873" t="str">
            <v>9001-2211-DS-1004-06-WM</v>
          </cell>
          <cell r="C1873">
            <v>60</v>
          </cell>
        </row>
        <row r="1874">
          <cell r="A1874" t="str">
            <v>9001-2211-DS-1004-06-WM61</v>
          </cell>
          <cell r="B1874" t="str">
            <v>9001-2211-DS-1004-06-WM</v>
          </cell>
          <cell r="C1874">
            <v>61</v>
          </cell>
        </row>
        <row r="1875">
          <cell r="A1875" t="str">
            <v>9001-2211-DS-1004-06-WM62</v>
          </cell>
          <cell r="B1875" t="str">
            <v>9001-2211-DS-1004-06-WM</v>
          </cell>
          <cell r="C1875">
            <v>62</v>
          </cell>
        </row>
        <row r="1876">
          <cell r="A1876" t="str">
            <v>9001-2211-DS-1004-06-WM63</v>
          </cell>
          <cell r="B1876" t="str">
            <v>9001-2211-DS-1004-06-WM</v>
          </cell>
          <cell r="C1876">
            <v>63</v>
          </cell>
        </row>
        <row r="1877">
          <cell r="A1877" t="str">
            <v>9001-2211-DS-1004-06-WM64</v>
          </cell>
          <cell r="B1877" t="str">
            <v>9001-2211-DS-1004-06-WM</v>
          </cell>
          <cell r="C1877">
            <v>64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ab."/>
      <sheetName val="ii"/>
      <sheetName val="iii"/>
      <sheetName val="iv"/>
      <sheetName val="5"/>
      <sheetName val="6"/>
      <sheetName val="Rinci"/>
      <sheetName val="Attach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AB"/>
      <sheetName val="CONTENT (2)"/>
      <sheetName val="3"/>
      <sheetName val="4"/>
      <sheetName val="5"/>
      <sheetName val="ATTACH "/>
      <sheetName val="ATTACH  (2)"/>
      <sheetName val="JOINT-DET"/>
      <sheetName val="JONDET"/>
      <sheetName val="RINCI"/>
      <sheetName val="INPUT"/>
      <sheetName val="3A"/>
      <sheetName val="4 "/>
      <sheetName val="RINCI (2)"/>
      <sheetName val="3 (2)"/>
      <sheetName val="JOINT_DET"/>
      <sheetName val="BL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A3">
            <v>0</v>
          </cell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  <cell r="N3">
            <v>13</v>
          </cell>
        </row>
        <row r="4">
          <cell r="A4">
            <v>2</v>
          </cell>
          <cell r="B4" t="str">
            <v>PJ</v>
          </cell>
          <cell r="C4" t="str">
            <v>TJ</v>
          </cell>
          <cell r="D4" t="str">
            <v>TJ</v>
          </cell>
          <cell r="E4" t="str">
            <v>TJ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  <cell r="B24">
            <v>1</v>
          </cell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ab."/>
      <sheetName val="ii"/>
      <sheetName val="iii"/>
      <sheetName val="iv"/>
      <sheetName val="15"/>
      <sheetName val="16"/>
      <sheetName val="Rinci"/>
      <sheetName val="Attach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C045-10AB-409E-81C7-14E02FEB30A2}">
  <sheetPr>
    <tabColor rgb="FF0070C0"/>
  </sheetPr>
  <dimension ref="A1:Z89"/>
  <sheetViews>
    <sheetView tabSelected="1" showWhiteSpace="0" view="pageBreakPreview" zoomScale="70" zoomScaleNormal="100" zoomScaleSheetLayoutView="70" workbookViewId="0">
      <pane ySplit="1" topLeftCell="A31" activePane="bottomLeft" state="frozen"/>
      <selection pane="bottomLeft" activeCell="C75" sqref="C75"/>
    </sheetView>
  </sheetViews>
  <sheetFormatPr defaultColWidth="9" defaultRowHeight="14.4"/>
  <cols>
    <col min="1" max="1" width="7.1640625" style="1" customWidth="1"/>
    <col min="2" max="2" width="33.44140625" style="1" customWidth="1"/>
    <col min="3" max="3" width="8.71875" style="1" customWidth="1"/>
    <col min="4" max="4" width="7.44140625" style="1" customWidth="1"/>
    <col min="5" max="5" width="28.71875" style="4" customWidth="1"/>
    <col min="6" max="6" width="20.5546875" style="5" customWidth="1"/>
    <col min="7" max="7" width="16" style="1" customWidth="1"/>
    <col min="8" max="8" width="18.1640625" style="1" customWidth="1"/>
    <col min="9" max="9" width="9.1640625" style="1" customWidth="1"/>
    <col min="10" max="10" width="16.83203125" style="1" customWidth="1"/>
    <col min="11" max="11" width="10.27734375" style="6" customWidth="1"/>
    <col min="12" max="12" width="10.27734375" style="3" customWidth="1"/>
    <col min="13" max="13" width="8.27734375" style="3" customWidth="1"/>
    <col min="14" max="14" width="11.44140625" style="1" customWidth="1"/>
    <col min="15" max="15" width="11.71875" style="1" customWidth="1"/>
    <col min="16" max="16" width="13.44140625" style="1" customWidth="1"/>
    <col min="17" max="17" width="11.83203125" style="1" customWidth="1"/>
    <col min="18" max="18" width="11.27734375" style="1" customWidth="1"/>
    <col min="19" max="26" width="10.27734375" style="1" customWidth="1"/>
    <col min="27" max="27" width="0.1640625" style="1" customWidth="1"/>
    <col min="28" max="46" width="10.27734375" style="1" customWidth="1"/>
    <col min="47" max="47" width="0.83203125" style="1" customWidth="1"/>
    <col min="48" max="257" width="9" style="1"/>
    <col min="258" max="258" width="5.83203125" style="1" customWidth="1"/>
    <col min="259" max="259" width="34.44140625" style="1" customWidth="1"/>
    <col min="260" max="260" width="9.83203125" style="1" customWidth="1"/>
    <col min="261" max="261" width="15.27734375" style="1" customWidth="1"/>
    <col min="262" max="262" width="16.71875" style="1" customWidth="1"/>
    <col min="263" max="263" width="17.44140625" style="1" customWidth="1"/>
    <col min="264" max="264" width="18.83203125" style="1" customWidth="1"/>
    <col min="265" max="265" width="10.27734375" style="1" customWidth="1"/>
    <col min="266" max="266" width="24" style="1" customWidth="1"/>
    <col min="267" max="273" width="10.27734375" style="1" customWidth="1"/>
    <col min="274" max="274" width="7.44140625" style="1" customWidth="1"/>
    <col min="275" max="282" width="10.27734375" style="1" customWidth="1"/>
    <col min="283" max="283" width="0.1640625" style="1" customWidth="1"/>
    <col min="284" max="302" width="10.27734375" style="1" customWidth="1"/>
    <col min="303" max="303" width="0.83203125" style="1" customWidth="1"/>
    <col min="304" max="513" width="9" style="1"/>
    <col min="514" max="514" width="5.83203125" style="1" customWidth="1"/>
    <col min="515" max="515" width="34.44140625" style="1" customWidth="1"/>
    <col min="516" max="516" width="9.83203125" style="1" customWidth="1"/>
    <col min="517" max="517" width="15.27734375" style="1" customWidth="1"/>
    <col min="518" max="518" width="16.71875" style="1" customWidth="1"/>
    <col min="519" max="519" width="17.44140625" style="1" customWidth="1"/>
    <col min="520" max="520" width="18.83203125" style="1" customWidth="1"/>
    <col min="521" max="521" width="10.27734375" style="1" customWidth="1"/>
    <col min="522" max="522" width="24" style="1" customWidth="1"/>
    <col min="523" max="529" width="10.27734375" style="1" customWidth="1"/>
    <col min="530" max="530" width="7.44140625" style="1" customWidth="1"/>
    <col min="531" max="538" width="10.27734375" style="1" customWidth="1"/>
    <col min="539" max="539" width="0.1640625" style="1" customWidth="1"/>
    <col min="540" max="558" width="10.27734375" style="1" customWidth="1"/>
    <col min="559" max="559" width="0.83203125" style="1" customWidth="1"/>
    <col min="560" max="769" width="9" style="1"/>
    <col min="770" max="770" width="5.83203125" style="1" customWidth="1"/>
    <col min="771" max="771" width="34.44140625" style="1" customWidth="1"/>
    <col min="772" max="772" width="9.83203125" style="1" customWidth="1"/>
    <col min="773" max="773" width="15.27734375" style="1" customWidth="1"/>
    <col min="774" max="774" width="16.71875" style="1" customWidth="1"/>
    <col min="775" max="775" width="17.44140625" style="1" customWidth="1"/>
    <col min="776" max="776" width="18.83203125" style="1" customWidth="1"/>
    <col min="777" max="777" width="10.27734375" style="1" customWidth="1"/>
    <col min="778" max="778" width="24" style="1" customWidth="1"/>
    <col min="779" max="785" width="10.27734375" style="1" customWidth="1"/>
    <col min="786" max="786" width="7.44140625" style="1" customWidth="1"/>
    <col min="787" max="794" width="10.27734375" style="1" customWidth="1"/>
    <col min="795" max="795" width="0.1640625" style="1" customWidth="1"/>
    <col min="796" max="814" width="10.27734375" style="1" customWidth="1"/>
    <col min="815" max="815" width="0.83203125" style="1" customWidth="1"/>
    <col min="816" max="1025" width="9" style="1"/>
    <col min="1026" max="1026" width="5.83203125" style="1" customWidth="1"/>
    <col min="1027" max="1027" width="34.44140625" style="1" customWidth="1"/>
    <col min="1028" max="1028" width="9.83203125" style="1" customWidth="1"/>
    <col min="1029" max="1029" width="15.27734375" style="1" customWidth="1"/>
    <col min="1030" max="1030" width="16.71875" style="1" customWidth="1"/>
    <col min="1031" max="1031" width="17.44140625" style="1" customWidth="1"/>
    <col min="1032" max="1032" width="18.83203125" style="1" customWidth="1"/>
    <col min="1033" max="1033" width="10.27734375" style="1" customWidth="1"/>
    <col min="1034" max="1034" width="24" style="1" customWidth="1"/>
    <col min="1035" max="1041" width="10.27734375" style="1" customWidth="1"/>
    <col min="1042" max="1042" width="7.44140625" style="1" customWidth="1"/>
    <col min="1043" max="1050" width="10.27734375" style="1" customWidth="1"/>
    <col min="1051" max="1051" width="0.1640625" style="1" customWidth="1"/>
    <col min="1052" max="1070" width="10.27734375" style="1" customWidth="1"/>
    <col min="1071" max="1071" width="0.83203125" style="1" customWidth="1"/>
    <col min="1072" max="1281" width="9" style="1"/>
    <col min="1282" max="1282" width="5.83203125" style="1" customWidth="1"/>
    <col min="1283" max="1283" width="34.44140625" style="1" customWidth="1"/>
    <col min="1284" max="1284" width="9.83203125" style="1" customWidth="1"/>
    <col min="1285" max="1285" width="15.27734375" style="1" customWidth="1"/>
    <col min="1286" max="1286" width="16.71875" style="1" customWidth="1"/>
    <col min="1287" max="1287" width="17.44140625" style="1" customWidth="1"/>
    <col min="1288" max="1288" width="18.83203125" style="1" customWidth="1"/>
    <col min="1289" max="1289" width="10.27734375" style="1" customWidth="1"/>
    <col min="1290" max="1290" width="24" style="1" customWidth="1"/>
    <col min="1291" max="1297" width="10.27734375" style="1" customWidth="1"/>
    <col min="1298" max="1298" width="7.44140625" style="1" customWidth="1"/>
    <col min="1299" max="1306" width="10.27734375" style="1" customWidth="1"/>
    <col min="1307" max="1307" width="0.1640625" style="1" customWidth="1"/>
    <col min="1308" max="1326" width="10.27734375" style="1" customWidth="1"/>
    <col min="1327" max="1327" width="0.83203125" style="1" customWidth="1"/>
    <col min="1328" max="1537" width="9" style="1"/>
    <col min="1538" max="1538" width="5.83203125" style="1" customWidth="1"/>
    <col min="1539" max="1539" width="34.44140625" style="1" customWidth="1"/>
    <col min="1540" max="1540" width="9.83203125" style="1" customWidth="1"/>
    <col min="1541" max="1541" width="15.27734375" style="1" customWidth="1"/>
    <col min="1542" max="1542" width="16.71875" style="1" customWidth="1"/>
    <col min="1543" max="1543" width="17.44140625" style="1" customWidth="1"/>
    <col min="1544" max="1544" width="18.83203125" style="1" customWidth="1"/>
    <col min="1545" max="1545" width="10.27734375" style="1" customWidth="1"/>
    <col min="1546" max="1546" width="24" style="1" customWidth="1"/>
    <col min="1547" max="1553" width="10.27734375" style="1" customWidth="1"/>
    <col min="1554" max="1554" width="7.44140625" style="1" customWidth="1"/>
    <col min="1555" max="1562" width="10.27734375" style="1" customWidth="1"/>
    <col min="1563" max="1563" width="0.1640625" style="1" customWidth="1"/>
    <col min="1564" max="1582" width="10.27734375" style="1" customWidth="1"/>
    <col min="1583" max="1583" width="0.83203125" style="1" customWidth="1"/>
    <col min="1584" max="1793" width="9" style="1"/>
    <col min="1794" max="1794" width="5.83203125" style="1" customWidth="1"/>
    <col min="1795" max="1795" width="34.44140625" style="1" customWidth="1"/>
    <col min="1796" max="1796" width="9.83203125" style="1" customWidth="1"/>
    <col min="1797" max="1797" width="15.27734375" style="1" customWidth="1"/>
    <col min="1798" max="1798" width="16.71875" style="1" customWidth="1"/>
    <col min="1799" max="1799" width="17.44140625" style="1" customWidth="1"/>
    <col min="1800" max="1800" width="18.83203125" style="1" customWidth="1"/>
    <col min="1801" max="1801" width="10.27734375" style="1" customWidth="1"/>
    <col min="1802" max="1802" width="24" style="1" customWidth="1"/>
    <col min="1803" max="1809" width="10.27734375" style="1" customWidth="1"/>
    <col min="1810" max="1810" width="7.44140625" style="1" customWidth="1"/>
    <col min="1811" max="1818" width="10.27734375" style="1" customWidth="1"/>
    <col min="1819" max="1819" width="0.1640625" style="1" customWidth="1"/>
    <col min="1820" max="1838" width="10.27734375" style="1" customWidth="1"/>
    <col min="1839" max="1839" width="0.83203125" style="1" customWidth="1"/>
    <col min="1840" max="2049" width="9" style="1"/>
    <col min="2050" max="2050" width="5.83203125" style="1" customWidth="1"/>
    <col min="2051" max="2051" width="34.44140625" style="1" customWidth="1"/>
    <col min="2052" max="2052" width="9.83203125" style="1" customWidth="1"/>
    <col min="2053" max="2053" width="15.27734375" style="1" customWidth="1"/>
    <col min="2054" max="2054" width="16.71875" style="1" customWidth="1"/>
    <col min="2055" max="2055" width="17.44140625" style="1" customWidth="1"/>
    <col min="2056" max="2056" width="18.83203125" style="1" customWidth="1"/>
    <col min="2057" max="2057" width="10.27734375" style="1" customWidth="1"/>
    <col min="2058" max="2058" width="24" style="1" customWidth="1"/>
    <col min="2059" max="2065" width="10.27734375" style="1" customWidth="1"/>
    <col min="2066" max="2066" width="7.44140625" style="1" customWidth="1"/>
    <col min="2067" max="2074" width="10.27734375" style="1" customWidth="1"/>
    <col min="2075" max="2075" width="0.1640625" style="1" customWidth="1"/>
    <col min="2076" max="2094" width="10.27734375" style="1" customWidth="1"/>
    <col min="2095" max="2095" width="0.83203125" style="1" customWidth="1"/>
    <col min="2096" max="2305" width="9" style="1"/>
    <col min="2306" max="2306" width="5.83203125" style="1" customWidth="1"/>
    <col min="2307" max="2307" width="34.44140625" style="1" customWidth="1"/>
    <col min="2308" max="2308" width="9.83203125" style="1" customWidth="1"/>
    <col min="2309" max="2309" width="15.27734375" style="1" customWidth="1"/>
    <col min="2310" max="2310" width="16.71875" style="1" customWidth="1"/>
    <col min="2311" max="2311" width="17.44140625" style="1" customWidth="1"/>
    <col min="2312" max="2312" width="18.83203125" style="1" customWidth="1"/>
    <col min="2313" max="2313" width="10.27734375" style="1" customWidth="1"/>
    <col min="2314" max="2314" width="24" style="1" customWidth="1"/>
    <col min="2315" max="2321" width="10.27734375" style="1" customWidth="1"/>
    <col min="2322" max="2322" width="7.44140625" style="1" customWidth="1"/>
    <col min="2323" max="2330" width="10.27734375" style="1" customWidth="1"/>
    <col min="2331" max="2331" width="0.1640625" style="1" customWidth="1"/>
    <col min="2332" max="2350" width="10.27734375" style="1" customWidth="1"/>
    <col min="2351" max="2351" width="0.83203125" style="1" customWidth="1"/>
    <col min="2352" max="2561" width="9" style="1"/>
    <col min="2562" max="2562" width="5.83203125" style="1" customWidth="1"/>
    <col min="2563" max="2563" width="34.44140625" style="1" customWidth="1"/>
    <col min="2564" max="2564" width="9.83203125" style="1" customWidth="1"/>
    <col min="2565" max="2565" width="15.27734375" style="1" customWidth="1"/>
    <col min="2566" max="2566" width="16.71875" style="1" customWidth="1"/>
    <col min="2567" max="2567" width="17.44140625" style="1" customWidth="1"/>
    <col min="2568" max="2568" width="18.83203125" style="1" customWidth="1"/>
    <col min="2569" max="2569" width="10.27734375" style="1" customWidth="1"/>
    <col min="2570" max="2570" width="24" style="1" customWidth="1"/>
    <col min="2571" max="2577" width="10.27734375" style="1" customWidth="1"/>
    <col min="2578" max="2578" width="7.44140625" style="1" customWidth="1"/>
    <col min="2579" max="2586" width="10.27734375" style="1" customWidth="1"/>
    <col min="2587" max="2587" width="0.1640625" style="1" customWidth="1"/>
    <col min="2588" max="2606" width="10.27734375" style="1" customWidth="1"/>
    <col min="2607" max="2607" width="0.83203125" style="1" customWidth="1"/>
    <col min="2608" max="2817" width="9" style="1"/>
    <col min="2818" max="2818" width="5.83203125" style="1" customWidth="1"/>
    <col min="2819" max="2819" width="34.44140625" style="1" customWidth="1"/>
    <col min="2820" max="2820" width="9.83203125" style="1" customWidth="1"/>
    <col min="2821" max="2821" width="15.27734375" style="1" customWidth="1"/>
    <col min="2822" max="2822" width="16.71875" style="1" customWidth="1"/>
    <col min="2823" max="2823" width="17.44140625" style="1" customWidth="1"/>
    <col min="2824" max="2824" width="18.83203125" style="1" customWidth="1"/>
    <col min="2825" max="2825" width="10.27734375" style="1" customWidth="1"/>
    <col min="2826" max="2826" width="24" style="1" customWidth="1"/>
    <col min="2827" max="2833" width="10.27734375" style="1" customWidth="1"/>
    <col min="2834" max="2834" width="7.44140625" style="1" customWidth="1"/>
    <col min="2835" max="2842" width="10.27734375" style="1" customWidth="1"/>
    <col min="2843" max="2843" width="0.1640625" style="1" customWidth="1"/>
    <col min="2844" max="2862" width="10.27734375" style="1" customWidth="1"/>
    <col min="2863" max="2863" width="0.83203125" style="1" customWidth="1"/>
    <col min="2864" max="3073" width="9" style="1"/>
    <col min="3074" max="3074" width="5.83203125" style="1" customWidth="1"/>
    <col min="3075" max="3075" width="34.44140625" style="1" customWidth="1"/>
    <col min="3076" max="3076" width="9.83203125" style="1" customWidth="1"/>
    <col min="3077" max="3077" width="15.27734375" style="1" customWidth="1"/>
    <col min="3078" max="3078" width="16.71875" style="1" customWidth="1"/>
    <col min="3079" max="3079" width="17.44140625" style="1" customWidth="1"/>
    <col min="3080" max="3080" width="18.83203125" style="1" customWidth="1"/>
    <col min="3081" max="3081" width="10.27734375" style="1" customWidth="1"/>
    <col min="3082" max="3082" width="24" style="1" customWidth="1"/>
    <col min="3083" max="3089" width="10.27734375" style="1" customWidth="1"/>
    <col min="3090" max="3090" width="7.44140625" style="1" customWidth="1"/>
    <col min="3091" max="3098" width="10.27734375" style="1" customWidth="1"/>
    <col min="3099" max="3099" width="0.1640625" style="1" customWidth="1"/>
    <col min="3100" max="3118" width="10.27734375" style="1" customWidth="1"/>
    <col min="3119" max="3119" width="0.83203125" style="1" customWidth="1"/>
    <col min="3120" max="3329" width="9" style="1"/>
    <col min="3330" max="3330" width="5.83203125" style="1" customWidth="1"/>
    <col min="3331" max="3331" width="34.44140625" style="1" customWidth="1"/>
    <col min="3332" max="3332" width="9.83203125" style="1" customWidth="1"/>
    <col min="3333" max="3333" width="15.27734375" style="1" customWidth="1"/>
    <col min="3334" max="3334" width="16.71875" style="1" customWidth="1"/>
    <col min="3335" max="3335" width="17.44140625" style="1" customWidth="1"/>
    <col min="3336" max="3336" width="18.83203125" style="1" customWidth="1"/>
    <col min="3337" max="3337" width="10.27734375" style="1" customWidth="1"/>
    <col min="3338" max="3338" width="24" style="1" customWidth="1"/>
    <col min="3339" max="3345" width="10.27734375" style="1" customWidth="1"/>
    <col min="3346" max="3346" width="7.44140625" style="1" customWidth="1"/>
    <col min="3347" max="3354" width="10.27734375" style="1" customWidth="1"/>
    <col min="3355" max="3355" width="0.1640625" style="1" customWidth="1"/>
    <col min="3356" max="3374" width="10.27734375" style="1" customWidth="1"/>
    <col min="3375" max="3375" width="0.83203125" style="1" customWidth="1"/>
    <col min="3376" max="3585" width="9" style="1"/>
    <col min="3586" max="3586" width="5.83203125" style="1" customWidth="1"/>
    <col min="3587" max="3587" width="34.44140625" style="1" customWidth="1"/>
    <col min="3588" max="3588" width="9.83203125" style="1" customWidth="1"/>
    <col min="3589" max="3589" width="15.27734375" style="1" customWidth="1"/>
    <col min="3590" max="3590" width="16.71875" style="1" customWidth="1"/>
    <col min="3591" max="3591" width="17.44140625" style="1" customWidth="1"/>
    <col min="3592" max="3592" width="18.83203125" style="1" customWidth="1"/>
    <col min="3593" max="3593" width="10.27734375" style="1" customWidth="1"/>
    <col min="3594" max="3594" width="24" style="1" customWidth="1"/>
    <col min="3595" max="3601" width="10.27734375" style="1" customWidth="1"/>
    <col min="3602" max="3602" width="7.44140625" style="1" customWidth="1"/>
    <col min="3603" max="3610" width="10.27734375" style="1" customWidth="1"/>
    <col min="3611" max="3611" width="0.1640625" style="1" customWidth="1"/>
    <col min="3612" max="3630" width="10.27734375" style="1" customWidth="1"/>
    <col min="3631" max="3631" width="0.83203125" style="1" customWidth="1"/>
    <col min="3632" max="3841" width="9" style="1"/>
    <col min="3842" max="3842" width="5.83203125" style="1" customWidth="1"/>
    <col min="3843" max="3843" width="34.44140625" style="1" customWidth="1"/>
    <col min="3844" max="3844" width="9.83203125" style="1" customWidth="1"/>
    <col min="3845" max="3845" width="15.27734375" style="1" customWidth="1"/>
    <col min="3846" max="3846" width="16.71875" style="1" customWidth="1"/>
    <col min="3847" max="3847" width="17.44140625" style="1" customWidth="1"/>
    <col min="3848" max="3848" width="18.83203125" style="1" customWidth="1"/>
    <col min="3849" max="3849" width="10.27734375" style="1" customWidth="1"/>
    <col min="3850" max="3850" width="24" style="1" customWidth="1"/>
    <col min="3851" max="3857" width="10.27734375" style="1" customWidth="1"/>
    <col min="3858" max="3858" width="7.44140625" style="1" customWidth="1"/>
    <col min="3859" max="3866" width="10.27734375" style="1" customWidth="1"/>
    <col min="3867" max="3867" width="0.1640625" style="1" customWidth="1"/>
    <col min="3868" max="3886" width="10.27734375" style="1" customWidth="1"/>
    <col min="3887" max="3887" width="0.83203125" style="1" customWidth="1"/>
    <col min="3888" max="4097" width="9" style="1"/>
    <col min="4098" max="4098" width="5.83203125" style="1" customWidth="1"/>
    <col min="4099" max="4099" width="34.44140625" style="1" customWidth="1"/>
    <col min="4100" max="4100" width="9.83203125" style="1" customWidth="1"/>
    <col min="4101" max="4101" width="15.27734375" style="1" customWidth="1"/>
    <col min="4102" max="4102" width="16.71875" style="1" customWidth="1"/>
    <col min="4103" max="4103" width="17.44140625" style="1" customWidth="1"/>
    <col min="4104" max="4104" width="18.83203125" style="1" customWidth="1"/>
    <col min="4105" max="4105" width="10.27734375" style="1" customWidth="1"/>
    <col min="4106" max="4106" width="24" style="1" customWidth="1"/>
    <col min="4107" max="4113" width="10.27734375" style="1" customWidth="1"/>
    <col min="4114" max="4114" width="7.44140625" style="1" customWidth="1"/>
    <col min="4115" max="4122" width="10.27734375" style="1" customWidth="1"/>
    <col min="4123" max="4123" width="0.1640625" style="1" customWidth="1"/>
    <col min="4124" max="4142" width="10.27734375" style="1" customWidth="1"/>
    <col min="4143" max="4143" width="0.83203125" style="1" customWidth="1"/>
    <col min="4144" max="4353" width="9" style="1"/>
    <col min="4354" max="4354" width="5.83203125" style="1" customWidth="1"/>
    <col min="4355" max="4355" width="34.44140625" style="1" customWidth="1"/>
    <col min="4356" max="4356" width="9.83203125" style="1" customWidth="1"/>
    <col min="4357" max="4357" width="15.27734375" style="1" customWidth="1"/>
    <col min="4358" max="4358" width="16.71875" style="1" customWidth="1"/>
    <col min="4359" max="4359" width="17.44140625" style="1" customWidth="1"/>
    <col min="4360" max="4360" width="18.83203125" style="1" customWidth="1"/>
    <col min="4361" max="4361" width="10.27734375" style="1" customWidth="1"/>
    <col min="4362" max="4362" width="24" style="1" customWidth="1"/>
    <col min="4363" max="4369" width="10.27734375" style="1" customWidth="1"/>
    <col min="4370" max="4370" width="7.44140625" style="1" customWidth="1"/>
    <col min="4371" max="4378" width="10.27734375" style="1" customWidth="1"/>
    <col min="4379" max="4379" width="0.1640625" style="1" customWidth="1"/>
    <col min="4380" max="4398" width="10.27734375" style="1" customWidth="1"/>
    <col min="4399" max="4399" width="0.83203125" style="1" customWidth="1"/>
    <col min="4400" max="4609" width="9" style="1"/>
    <col min="4610" max="4610" width="5.83203125" style="1" customWidth="1"/>
    <col min="4611" max="4611" width="34.44140625" style="1" customWidth="1"/>
    <col min="4612" max="4612" width="9.83203125" style="1" customWidth="1"/>
    <col min="4613" max="4613" width="15.27734375" style="1" customWidth="1"/>
    <col min="4614" max="4614" width="16.71875" style="1" customWidth="1"/>
    <col min="4615" max="4615" width="17.44140625" style="1" customWidth="1"/>
    <col min="4616" max="4616" width="18.83203125" style="1" customWidth="1"/>
    <col min="4617" max="4617" width="10.27734375" style="1" customWidth="1"/>
    <col min="4618" max="4618" width="24" style="1" customWidth="1"/>
    <col min="4619" max="4625" width="10.27734375" style="1" customWidth="1"/>
    <col min="4626" max="4626" width="7.44140625" style="1" customWidth="1"/>
    <col min="4627" max="4634" width="10.27734375" style="1" customWidth="1"/>
    <col min="4635" max="4635" width="0.1640625" style="1" customWidth="1"/>
    <col min="4636" max="4654" width="10.27734375" style="1" customWidth="1"/>
    <col min="4655" max="4655" width="0.83203125" style="1" customWidth="1"/>
    <col min="4656" max="4865" width="9" style="1"/>
    <col min="4866" max="4866" width="5.83203125" style="1" customWidth="1"/>
    <col min="4867" max="4867" width="34.44140625" style="1" customWidth="1"/>
    <col min="4868" max="4868" width="9.83203125" style="1" customWidth="1"/>
    <col min="4869" max="4869" width="15.27734375" style="1" customWidth="1"/>
    <col min="4870" max="4870" width="16.71875" style="1" customWidth="1"/>
    <col min="4871" max="4871" width="17.44140625" style="1" customWidth="1"/>
    <col min="4872" max="4872" width="18.83203125" style="1" customWidth="1"/>
    <col min="4873" max="4873" width="10.27734375" style="1" customWidth="1"/>
    <col min="4874" max="4874" width="24" style="1" customWidth="1"/>
    <col min="4875" max="4881" width="10.27734375" style="1" customWidth="1"/>
    <col min="4882" max="4882" width="7.44140625" style="1" customWidth="1"/>
    <col min="4883" max="4890" width="10.27734375" style="1" customWidth="1"/>
    <col min="4891" max="4891" width="0.1640625" style="1" customWidth="1"/>
    <col min="4892" max="4910" width="10.27734375" style="1" customWidth="1"/>
    <col min="4911" max="4911" width="0.83203125" style="1" customWidth="1"/>
    <col min="4912" max="5121" width="9" style="1"/>
    <col min="5122" max="5122" width="5.83203125" style="1" customWidth="1"/>
    <col min="5123" max="5123" width="34.44140625" style="1" customWidth="1"/>
    <col min="5124" max="5124" width="9.83203125" style="1" customWidth="1"/>
    <col min="5125" max="5125" width="15.27734375" style="1" customWidth="1"/>
    <col min="5126" max="5126" width="16.71875" style="1" customWidth="1"/>
    <col min="5127" max="5127" width="17.44140625" style="1" customWidth="1"/>
    <col min="5128" max="5128" width="18.83203125" style="1" customWidth="1"/>
    <col min="5129" max="5129" width="10.27734375" style="1" customWidth="1"/>
    <col min="5130" max="5130" width="24" style="1" customWidth="1"/>
    <col min="5131" max="5137" width="10.27734375" style="1" customWidth="1"/>
    <col min="5138" max="5138" width="7.44140625" style="1" customWidth="1"/>
    <col min="5139" max="5146" width="10.27734375" style="1" customWidth="1"/>
    <col min="5147" max="5147" width="0.1640625" style="1" customWidth="1"/>
    <col min="5148" max="5166" width="10.27734375" style="1" customWidth="1"/>
    <col min="5167" max="5167" width="0.83203125" style="1" customWidth="1"/>
    <col min="5168" max="5377" width="9" style="1"/>
    <col min="5378" max="5378" width="5.83203125" style="1" customWidth="1"/>
    <col min="5379" max="5379" width="34.44140625" style="1" customWidth="1"/>
    <col min="5380" max="5380" width="9.83203125" style="1" customWidth="1"/>
    <col min="5381" max="5381" width="15.27734375" style="1" customWidth="1"/>
    <col min="5382" max="5382" width="16.71875" style="1" customWidth="1"/>
    <col min="5383" max="5383" width="17.44140625" style="1" customWidth="1"/>
    <col min="5384" max="5384" width="18.83203125" style="1" customWidth="1"/>
    <col min="5385" max="5385" width="10.27734375" style="1" customWidth="1"/>
    <col min="5386" max="5386" width="24" style="1" customWidth="1"/>
    <col min="5387" max="5393" width="10.27734375" style="1" customWidth="1"/>
    <col min="5394" max="5394" width="7.44140625" style="1" customWidth="1"/>
    <col min="5395" max="5402" width="10.27734375" style="1" customWidth="1"/>
    <col min="5403" max="5403" width="0.1640625" style="1" customWidth="1"/>
    <col min="5404" max="5422" width="10.27734375" style="1" customWidth="1"/>
    <col min="5423" max="5423" width="0.83203125" style="1" customWidth="1"/>
    <col min="5424" max="5633" width="9" style="1"/>
    <col min="5634" max="5634" width="5.83203125" style="1" customWidth="1"/>
    <col min="5635" max="5635" width="34.44140625" style="1" customWidth="1"/>
    <col min="5636" max="5636" width="9.83203125" style="1" customWidth="1"/>
    <col min="5637" max="5637" width="15.27734375" style="1" customWidth="1"/>
    <col min="5638" max="5638" width="16.71875" style="1" customWidth="1"/>
    <col min="5639" max="5639" width="17.44140625" style="1" customWidth="1"/>
    <col min="5640" max="5640" width="18.83203125" style="1" customWidth="1"/>
    <col min="5641" max="5641" width="10.27734375" style="1" customWidth="1"/>
    <col min="5642" max="5642" width="24" style="1" customWidth="1"/>
    <col min="5643" max="5649" width="10.27734375" style="1" customWidth="1"/>
    <col min="5650" max="5650" width="7.44140625" style="1" customWidth="1"/>
    <col min="5651" max="5658" width="10.27734375" style="1" customWidth="1"/>
    <col min="5659" max="5659" width="0.1640625" style="1" customWidth="1"/>
    <col min="5660" max="5678" width="10.27734375" style="1" customWidth="1"/>
    <col min="5679" max="5679" width="0.83203125" style="1" customWidth="1"/>
    <col min="5680" max="5889" width="9" style="1"/>
    <col min="5890" max="5890" width="5.83203125" style="1" customWidth="1"/>
    <col min="5891" max="5891" width="34.44140625" style="1" customWidth="1"/>
    <col min="5892" max="5892" width="9.83203125" style="1" customWidth="1"/>
    <col min="5893" max="5893" width="15.27734375" style="1" customWidth="1"/>
    <col min="5894" max="5894" width="16.71875" style="1" customWidth="1"/>
    <col min="5895" max="5895" width="17.44140625" style="1" customWidth="1"/>
    <col min="5896" max="5896" width="18.83203125" style="1" customWidth="1"/>
    <col min="5897" max="5897" width="10.27734375" style="1" customWidth="1"/>
    <col min="5898" max="5898" width="24" style="1" customWidth="1"/>
    <col min="5899" max="5905" width="10.27734375" style="1" customWidth="1"/>
    <col min="5906" max="5906" width="7.44140625" style="1" customWidth="1"/>
    <col min="5907" max="5914" width="10.27734375" style="1" customWidth="1"/>
    <col min="5915" max="5915" width="0.1640625" style="1" customWidth="1"/>
    <col min="5916" max="5934" width="10.27734375" style="1" customWidth="1"/>
    <col min="5935" max="5935" width="0.83203125" style="1" customWidth="1"/>
    <col min="5936" max="6145" width="9" style="1"/>
    <col min="6146" max="6146" width="5.83203125" style="1" customWidth="1"/>
    <col min="6147" max="6147" width="34.44140625" style="1" customWidth="1"/>
    <col min="6148" max="6148" width="9.83203125" style="1" customWidth="1"/>
    <col min="6149" max="6149" width="15.27734375" style="1" customWidth="1"/>
    <col min="6150" max="6150" width="16.71875" style="1" customWidth="1"/>
    <col min="6151" max="6151" width="17.44140625" style="1" customWidth="1"/>
    <col min="6152" max="6152" width="18.83203125" style="1" customWidth="1"/>
    <col min="6153" max="6153" width="10.27734375" style="1" customWidth="1"/>
    <col min="6154" max="6154" width="24" style="1" customWidth="1"/>
    <col min="6155" max="6161" width="10.27734375" style="1" customWidth="1"/>
    <col min="6162" max="6162" width="7.44140625" style="1" customWidth="1"/>
    <col min="6163" max="6170" width="10.27734375" style="1" customWidth="1"/>
    <col min="6171" max="6171" width="0.1640625" style="1" customWidth="1"/>
    <col min="6172" max="6190" width="10.27734375" style="1" customWidth="1"/>
    <col min="6191" max="6191" width="0.83203125" style="1" customWidth="1"/>
    <col min="6192" max="6401" width="9" style="1"/>
    <col min="6402" max="6402" width="5.83203125" style="1" customWidth="1"/>
    <col min="6403" max="6403" width="34.44140625" style="1" customWidth="1"/>
    <col min="6404" max="6404" width="9.83203125" style="1" customWidth="1"/>
    <col min="6405" max="6405" width="15.27734375" style="1" customWidth="1"/>
    <col min="6406" max="6406" width="16.71875" style="1" customWidth="1"/>
    <col min="6407" max="6407" width="17.44140625" style="1" customWidth="1"/>
    <col min="6408" max="6408" width="18.83203125" style="1" customWidth="1"/>
    <col min="6409" max="6409" width="10.27734375" style="1" customWidth="1"/>
    <col min="6410" max="6410" width="24" style="1" customWidth="1"/>
    <col min="6411" max="6417" width="10.27734375" style="1" customWidth="1"/>
    <col min="6418" max="6418" width="7.44140625" style="1" customWidth="1"/>
    <col min="6419" max="6426" width="10.27734375" style="1" customWidth="1"/>
    <col min="6427" max="6427" width="0.1640625" style="1" customWidth="1"/>
    <col min="6428" max="6446" width="10.27734375" style="1" customWidth="1"/>
    <col min="6447" max="6447" width="0.83203125" style="1" customWidth="1"/>
    <col min="6448" max="6657" width="9" style="1"/>
    <col min="6658" max="6658" width="5.83203125" style="1" customWidth="1"/>
    <col min="6659" max="6659" width="34.44140625" style="1" customWidth="1"/>
    <col min="6660" max="6660" width="9.83203125" style="1" customWidth="1"/>
    <col min="6661" max="6661" width="15.27734375" style="1" customWidth="1"/>
    <col min="6662" max="6662" width="16.71875" style="1" customWidth="1"/>
    <col min="6663" max="6663" width="17.44140625" style="1" customWidth="1"/>
    <col min="6664" max="6664" width="18.83203125" style="1" customWidth="1"/>
    <col min="6665" max="6665" width="10.27734375" style="1" customWidth="1"/>
    <col min="6666" max="6666" width="24" style="1" customWidth="1"/>
    <col min="6667" max="6673" width="10.27734375" style="1" customWidth="1"/>
    <col min="6674" max="6674" width="7.44140625" style="1" customWidth="1"/>
    <col min="6675" max="6682" width="10.27734375" style="1" customWidth="1"/>
    <col min="6683" max="6683" width="0.1640625" style="1" customWidth="1"/>
    <col min="6684" max="6702" width="10.27734375" style="1" customWidth="1"/>
    <col min="6703" max="6703" width="0.83203125" style="1" customWidth="1"/>
    <col min="6704" max="6913" width="9" style="1"/>
    <col min="6914" max="6914" width="5.83203125" style="1" customWidth="1"/>
    <col min="6915" max="6915" width="34.44140625" style="1" customWidth="1"/>
    <col min="6916" max="6916" width="9.83203125" style="1" customWidth="1"/>
    <col min="6917" max="6917" width="15.27734375" style="1" customWidth="1"/>
    <col min="6918" max="6918" width="16.71875" style="1" customWidth="1"/>
    <col min="6919" max="6919" width="17.44140625" style="1" customWidth="1"/>
    <col min="6920" max="6920" width="18.83203125" style="1" customWidth="1"/>
    <col min="6921" max="6921" width="10.27734375" style="1" customWidth="1"/>
    <col min="6922" max="6922" width="24" style="1" customWidth="1"/>
    <col min="6923" max="6929" width="10.27734375" style="1" customWidth="1"/>
    <col min="6930" max="6930" width="7.44140625" style="1" customWidth="1"/>
    <col min="6931" max="6938" width="10.27734375" style="1" customWidth="1"/>
    <col min="6939" max="6939" width="0.1640625" style="1" customWidth="1"/>
    <col min="6940" max="6958" width="10.27734375" style="1" customWidth="1"/>
    <col min="6959" max="6959" width="0.83203125" style="1" customWidth="1"/>
    <col min="6960" max="7169" width="9" style="1"/>
    <col min="7170" max="7170" width="5.83203125" style="1" customWidth="1"/>
    <col min="7171" max="7171" width="34.44140625" style="1" customWidth="1"/>
    <col min="7172" max="7172" width="9.83203125" style="1" customWidth="1"/>
    <col min="7173" max="7173" width="15.27734375" style="1" customWidth="1"/>
    <col min="7174" max="7174" width="16.71875" style="1" customWidth="1"/>
    <col min="7175" max="7175" width="17.44140625" style="1" customWidth="1"/>
    <col min="7176" max="7176" width="18.83203125" style="1" customWidth="1"/>
    <col min="7177" max="7177" width="10.27734375" style="1" customWidth="1"/>
    <col min="7178" max="7178" width="24" style="1" customWidth="1"/>
    <col min="7179" max="7185" width="10.27734375" style="1" customWidth="1"/>
    <col min="7186" max="7186" width="7.44140625" style="1" customWidth="1"/>
    <col min="7187" max="7194" width="10.27734375" style="1" customWidth="1"/>
    <col min="7195" max="7195" width="0.1640625" style="1" customWidth="1"/>
    <col min="7196" max="7214" width="10.27734375" style="1" customWidth="1"/>
    <col min="7215" max="7215" width="0.83203125" style="1" customWidth="1"/>
    <col min="7216" max="7425" width="9" style="1"/>
    <col min="7426" max="7426" width="5.83203125" style="1" customWidth="1"/>
    <col min="7427" max="7427" width="34.44140625" style="1" customWidth="1"/>
    <col min="7428" max="7428" width="9.83203125" style="1" customWidth="1"/>
    <col min="7429" max="7429" width="15.27734375" style="1" customWidth="1"/>
    <col min="7430" max="7430" width="16.71875" style="1" customWidth="1"/>
    <col min="7431" max="7431" width="17.44140625" style="1" customWidth="1"/>
    <col min="7432" max="7432" width="18.83203125" style="1" customWidth="1"/>
    <col min="7433" max="7433" width="10.27734375" style="1" customWidth="1"/>
    <col min="7434" max="7434" width="24" style="1" customWidth="1"/>
    <col min="7435" max="7441" width="10.27734375" style="1" customWidth="1"/>
    <col min="7442" max="7442" width="7.44140625" style="1" customWidth="1"/>
    <col min="7443" max="7450" width="10.27734375" style="1" customWidth="1"/>
    <col min="7451" max="7451" width="0.1640625" style="1" customWidth="1"/>
    <col min="7452" max="7470" width="10.27734375" style="1" customWidth="1"/>
    <col min="7471" max="7471" width="0.83203125" style="1" customWidth="1"/>
    <col min="7472" max="7681" width="9" style="1"/>
    <col min="7682" max="7682" width="5.83203125" style="1" customWidth="1"/>
    <col min="7683" max="7683" width="34.44140625" style="1" customWidth="1"/>
    <col min="7684" max="7684" width="9.83203125" style="1" customWidth="1"/>
    <col min="7685" max="7685" width="15.27734375" style="1" customWidth="1"/>
    <col min="7686" max="7686" width="16.71875" style="1" customWidth="1"/>
    <col min="7687" max="7687" width="17.44140625" style="1" customWidth="1"/>
    <col min="7688" max="7688" width="18.83203125" style="1" customWidth="1"/>
    <col min="7689" max="7689" width="10.27734375" style="1" customWidth="1"/>
    <col min="7690" max="7690" width="24" style="1" customWidth="1"/>
    <col min="7691" max="7697" width="10.27734375" style="1" customWidth="1"/>
    <col min="7698" max="7698" width="7.44140625" style="1" customWidth="1"/>
    <col min="7699" max="7706" width="10.27734375" style="1" customWidth="1"/>
    <col min="7707" max="7707" width="0.1640625" style="1" customWidth="1"/>
    <col min="7708" max="7726" width="10.27734375" style="1" customWidth="1"/>
    <col min="7727" max="7727" width="0.83203125" style="1" customWidth="1"/>
    <col min="7728" max="7937" width="9" style="1"/>
    <col min="7938" max="7938" width="5.83203125" style="1" customWidth="1"/>
    <col min="7939" max="7939" width="34.44140625" style="1" customWidth="1"/>
    <col min="7940" max="7940" width="9.83203125" style="1" customWidth="1"/>
    <col min="7941" max="7941" width="15.27734375" style="1" customWidth="1"/>
    <col min="7942" max="7942" width="16.71875" style="1" customWidth="1"/>
    <col min="7943" max="7943" width="17.44140625" style="1" customWidth="1"/>
    <col min="7944" max="7944" width="18.83203125" style="1" customWidth="1"/>
    <col min="7945" max="7945" width="10.27734375" style="1" customWidth="1"/>
    <col min="7946" max="7946" width="24" style="1" customWidth="1"/>
    <col min="7947" max="7953" width="10.27734375" style="1" customWidth="1"/>
    <col min="7954" max="7954" width="7.44140625" style="1" customWidth="1"/>
    <col min="7955" max="7962" width="10.27734375" style="1" customWidth="1"/>
    <col min="7963" max="7963" width="0.1640625" style="1" customWidth="1"/>
    <col min="7964" max="7982" width="10.27734375" style="1" customWidth="1"/>
    <col min="7983" max="7983" width="0.83203125" style="1" customWidth="1"/>
    <col min="7984" max="8193" width="9" style="1"/>
    <col min="8194" max="8194" width="5.83203125" style="1" customWidth="1"/>
    <col min="8195" max="8195" width="34.44140625" style="1" customWidth="1"/>
    <col min="8196" max="8196" width="9.83203125" style="1" customWidth="1"/>
    <col min="8197" max="8197" width="15.27734375" style="1" customWidth="1"/>
    <col min="8198" max="8198" width="16.71875" style="1" customWidth="1"/>
    <col min="8199" max="8199" width="17.44140625" style="1" customWidth="1"/>
    <col min="8200" max="8200" width="18.83203125" style="1" customWidth="1"/>
    <col min="8201" max="8201" width="10.27734375" style="1" customWidth="1"/>
    <col min="8202" max="8202" width="24" style="1" customWidth="1"/>
    <col min="8203" max="8209" width="10.27734375" style="1" customWidth="1"/>
    <col min="8210" max="8210" width="7.44140625" style="1" customWidth="1"/>
    <col min="8211" max="8218" width="10.27734375" style="1" customWidth="1"/>
    <col min="8219" max="8219" width="0.1640625" style="1" customWidth="1"/>
    <col min="8220" max="8238" width="10.27734375" style="1" customWidth="1"/>
    <col min="8239" max="8239" width="0.83203125" style="1" customWidth="1"/>
    <col min="8240" max="8449" width="9" style="1"/>
    <col min="8450" max="8450" width="5.83203125" style="1" customWidth="1"/>
    <col min="8451" max="8451" width="34.44140625" style="1" customWidth="1"/>
    <col min="8452" max="8452" width="9.83203125" style="1" customWidth="1"/>
    <col min="8453" max="8453" width="15.27734375" style="1" customWidth="1"/>
    <col min="8454" max="8454" width="16.71875" style="1" customWidth="1"/>
    <col min="8455" max="8455" width="17.44140625" style="1" customWidth="1"/>
    <col min="8456" max="8456" width="18.83203125" style="1" customWidth="1"/>
    <col min="8457" max="8457" width="10.27734375" style="1" customWidth="1"/>
    <col min="8458" max="8458" width="24" style="1" customWidth="1"/>
    <col min="8459" max="8465" width="10.27734375" style="1" customWidth="1"/>
    <col min="8466" max="8466" width="7.44140625" style="1" customWidth="1"/>
    <col min="8467" max="8474" width="10.27734375" style="1" customWidth="1"/>
    <col min="8475" max="8475" width="0.1640625" style="1" customWidth="1"/>
    <col min="8476" max="8494" width="10.27734375" style="1" customWidth="1"/>
    <col min="8495" max="8495" width="0.83203125" style="1" customWidth="1"/>
    <col min="8496" max="8705" width="9" style="1"/>
    <col min="8706" max="8706" width="5.83203125" style="1" customWidth="1"/>
    <col min="8707" max="8707" width="34.44140625" style="1" customWidth="1"/>
    <col min="8708" max="8708" width="9.83203125" style="1" customWidth="1"/>
    <col min="8709" max="8709" width="15.27734375" style="1" customWidth="1"/>
    <col min="8710" max="8710" width="16.71875" style="1" customWidth="1"/>
    <col min="8711" max="8711" width="17.44140625" style="1" customWidth="1"/>
    <col min="8712" max="8712" width="18.83203125" style="1" customWidth="1"/>
    <col min="8713" max="8713" width="10.27734375" style="1" customWidth="1"/>
    <col min="8714" max="8714" width="24" style="1" customWidth="1"/>
    <col min="8715" max="8721" width="10.27734375" style="1" customWidth="1"/>
    <col min="8722" max="8722" width="7.44140625" style="1" customWidth="1"/>
    <col min="8723" max="8730" width="10.27734375" style="1" customWidth="1"/>
    <col min="8731" max="8731" width="0.1640625" style="1" customWidth="1"/>
    <col min="8732" max="8750" width="10.27734375" style="1" customWidth="1"/>
    <col min="8751" max="8751" width="0.83203125" style="1" customWidth="1"/>
    <col min="8752" max="8961" width="9" style="1"/>
    <col min="8962" max="8962" width="5.83203125" style="1" customWidth="1"/>
    <col min="8963" max="8963" width="34.44140625" style="1" customWidth="1"/>
    <col min="8964" max="8964" width="9.83203125" style="1" customWidth="1"/>
    <col min="8965" max="8965" width="15.27734375" style="1" customWidth="1"/>
    <col min="8966" max="8966" width="16.71875" style="1" customWidth="1"/>
    <col min="8967" max="8967" width="17.44140625" style="1" customWidth="1"/>
    <col min="8968" max="8968" width="18.83203125" style="1" customWidth="1"/>
    <col min="8969" max="8969" width="10.27734375" style="1" customWidth="1"/>
    <col min="8970" max="8970" width="24" style="1" customWidth="1"/>
    <col min="8971" max="8977" width="10.27734375" style="1" customWidth="1"/>
    <col min="8978" max="8978" width="7.44140625" style="1" customWidth="1"/>
    <col min="8979" max="8986" width="10.27734375" style="1" customWidth="1"/>
    <col min="8987" max="8987" width="0.1640625" style="1" customWidth="1"/>
    <col min="8988" max="9006" width="10.27734375" style="1" customWidth="1"/>
    <col min="9007" max="9007" width="0.83203125" style="1" customWidth="1"/>
    <col min="9008" max="9217" width="9" style="1"/>
    <col min="9218" max="9218" width="5.83203125" style="1" customWidth="1"/>
    <col min="9219" max="9219" width="34.44140625" style="1" customWidth="1"/>
    <col min="9220" max="9220" width="9.83203125" style="1" customWidth="1"/>
    <col min="9221" max="9221" width="15.27734375" style="1" customWidth="1"/>
    <col min="9222" max="9222" width="16.71875" style="1" customWidth="1"/>
    <col min="9223" max="9223" width="17.44140625" style="1" customWidth="1"/>
    <col min="9224" max="9224" width="18.83203125" style="1" customWidth="1"/>
    <col min="9225" max="9225" width="10.27734375" style="1" customWidth="1"/>
    <col min="9226" max="9226" width="24" style="1" customWidth="1"/>
    <col min="9227" max="9233" width="10.27734375" style="1" customWidth="1"/>
    <col min="9234" max="9234" width="7.44140625" style="1" customWidth="1"/>
    <col min="9235" max="9242" width="10.27734375" style="1" customWidth="1"/>
    <col min="9243" max="9243" width="0.1640625" style="1" customWidth="1"/>
    <col min="9244" max="9262" width="10.27734375" style="1" customWidth="1"/>
    <col min="9263" max="9263" width="0.83203125" style="1" customWidth="1"/>
    <col min="9264" max="9473" width="9" style="1"/>
    <col min="9474" max="9474" width="5.83203125" style="1" customWidth="1"/>
    <col min="9475" max="9475" width="34.44140625" style="1" customWidth="1"/>
    <col min="9476" max="9476" width="9.83203125" style="1" customWidth="1"/>
    <col min="9477" max="9477" width="15.27734375" style="1" customWidth="1"/>
    <col min="9478" max="9478" width="16.71875" style="1" customWidth="1"/>
    <col min="9479" max="9479" width="17.44140625" style="1" customWidth="1"/>
    <col min="9480" max="9480" width="18.83203125" style="1" customWidth="1"/>
    <col min="9481" max="9481" width="10.27734375" style="1" customWidth="1"/>
    <col min="9482" max="9482" width="24" style="1" customWidth="1"/>
    <col min="9483" max="9489" width="10.27734375" style="1" customWidth="1"/>
    <col min="9490" max="9490" width="7.44140625" style="1" customWidth="1"/>
    <col min="9491" max="9498" width="10.27734375" style="1" customWidth="1"/>
    <col min="9499" max="9499" width="0.1640625" style="1" customWidth="1"/>
    <col min="9500" max="9518" width="10.27734375" style="1" customWidth="1"/>
    <col min="9519" max="9519" width="0.83203125" style="1" customWidth="1"/>
    <col min="9520" max="9729" width="9" style="1"/>
    <col min="9730" max="9730" width="5.83203125" style="1" customWidth="1"/>
    <col min="9731" max="9731" width="34.44140625" style="1" customWidth="1"/>
    <col min="9732" max="9732" width="9.83203125" style="1" customWidth="1"/>
    <col min="9733" max="9733" width="15.27734375" style="1" customWidth="1"/>
    <col min="9734" max="9734" width="16.71875" style="1" customWidth="1"/>
    <col min="9735" max="9735" width="17.44140625" style="1" customWidth="1"/>
    <col min="9736" max="9736" width="18.83203125" style="1" customWidth="1"/>
    <col min="9737" max="9737" width="10.27734375" style="1" customWidth="1"/>
    <col min="9738" max="9738" width="24" style="1" customWidth="1"/>
    <col min="9739" max="9745" width="10.27734375" style="1" customWidth="1"/>
    <col min="9746" max="9746" width="7.44140625" style="1" customWidth="1"/>
    <col min="9747" max="9754" width="10.27734375" style="1" customWidth="1"/>
    <col min="9755" max="9755" width="0.1640625" style="1" customWidth="1"/>
    <col min="9756" max="9774" width="10.27734375" style="1" customWidth="1"/>
    <col min="9775" max="9775" width="0.83203125" style="1" customWidth="1"/>
    <col min="9776" max="9985" width="9" style="1"/>
    <col min="9986" max="9986" width="5.83203125" style="1" customWidth="1"/>
    <col min="9987" max="9987" width="34.44140625" style="1" customWidth="1"/>
    <col min="9988" max="9988" width="9.83203125" style="1" customWidth="1"/>
    <col min="9989" max="9989" width="15.27734375" style="1" customWidth="1"/>
    <col min="9990" max="9990" width="16.71875" style="1" customWidth="1"/>
    <col min="9991" max="9991" width="17.44140625" style="1" customWidth="1"/>
    <col min="9992" max="9992" width="18.83203125" style="1" customWidth="1"/>
    <col min="9993" max="9993" width="10.27734375" style="1" customWidth="1"/>
    <col min="9994" max="9994" width="24" style="1" customWidth="1"/>
    <col min="9995" max="10001" width="10.27734375" style="1" customWidth="1"/>
    <col min="10002" max="10002" width="7.44140625" style="1" customWidth="1"/>
    <col min="10003" max="10010" width="10.27734375" style="1" customWidth="1"/>
    <col min="10011" max="10011" width="0.1640625" style="1" customWidth="1"/>
    <col min="10012" max="10030" width="10.27734375" style="1" customWidth="1"/>
    <col min="10031" max="10031" width="0.83203125" style="1" customWidth="1"/>
    <col min="10032" max="10241" width="9" style="1"/>
    <col min="10242" max="10242" width="5.83203125" style="1" customWidth="1"/>
    <col min="10243" max="10243" width="34.44140625" style="1" customWidth="1"/>
    <col min="10244" max="10244" width="9.83203125" style="1" customWidth="1"/>
    <col min="10245" max="10245" width="15.27734375" style="1" customWidth="1"/>
    <col min="10246" max="10246" width="16.71875" style="1" customWidth="1"/>
    <col min="10247" max="10247" width="17.44140625" style="1" customWidth="1"/>
    <col min="10248" max="10248" width="18.83203125" style="1" customWidth="1"/>
    <col min="10249" max="10249" width="10.27734375" style="1" customWidth="1"/>
    <col min="10250" max="10250" width="24" style="1" customWidth="1"/>
    <col min="10251" max="10257" width="10.27734375" style="1" customWidth="1"/>
    <col min="10258" max="10258" width="7.44140625" style="1" customWidth="1"/>
    <col min="10259" max="10266" width="10.27734375" style="1" customWidth="1"/>
    <col min="10267" max="10267" width="0.1640625" style="1" customWidth="1"/>
    <col min="10268" max="10286" width="10.27734375" style="1" customWidth="1"/>
    <col min="10287" max="10287" width="0.83203125" style="1" customWidth="1"/>
    <col min="10288" max="10497" width="9" style="1"/>
    <col min="10498" max="10498" width="5.83203125" style="1" customWidth="1"/>
    <col min="10499" max="10499" width="34.44140625" style="1" customWidth="1"/>
    <col min="10500" max="10500" width="9.83203125" style="1" customWidth="1"/>
    <col min="10501" max="10501" width="15.27734375" style="1" customWidth="1"/>
    <col min="10502" max="10502" width="16.71875" style="1" customWidth="1"/>
    <col min="10503" max="10503" width="17.44140625" style="1" customWidth="1"/>
    <col min="10504" max="10504" width="18.83203125" style="1" customWidth="1"/>
    <col min="10505" max="10505" width="10.27734375" style="1" customWidth="1"/>
    <col min="10506" max="10506" width="24" style="1" customWidth="1"/>
    <col min="10507" max="10513" width="10.27734375" style="1" customWidth="1"/>
    <col min="10514" max="10514" width="7.44140625" style="1" customWidth="1"/>
    <col min="10515" max="10522" width="10.27734375" style="1" customWidth="1"/>
    <col min="10523" max="10523" width="0.1640625" style="1" customWidth="1"/>
    <col min="10524" max="10542" width="10.27734375" style="1" customWidth="1"/>
    <col min="10543" max="10543" width="0.83203125" style="1" customWidth="1"/>
    <col min="10544" max="10753" width="9" style="1"/>
    <col min="10754" max="10754" width="5.83203125" style="1" customWidth="1"/>
    <col min="10755" max="10755" width="34.44140625" style="1" customWidth="1"/>
    <col min="10756" max="10756" width="9.83203125" style="1" customWidth="1"/>
    <col min="10757" max="10757" width="15.27734375" style="1" customWidth="1"/>
    <col min="10758" max="10758" width="16.71875" style="1" customWidth="1"/>
    <col min="10759" max="10759" width="17.44140625" style="1" customWidth="1"/>
    <col min="10760" max="10760" width="18.83203125" style="1" customWidth="1"/>
    <col min="10761" max="10761" width="10.27734375" style="1" customWidth="1"/>
    <col min="10762" max="10762" width="24" style="1" customWidth="1"/>
    <col min="10763" max="10769" width="10.27734375" style="1" customWidth="1"/>
    <col min="10770" max="10770" width="7.44140625" style="1" customWidth="1"/>
    <col min="10771" max="10778" width="10.27734375" style="1" customWidth="1"/>
    <col min="10779" max="10779" width="0.1640625" style="1" customWidth="1"/>
    <col min="10780" max="10798" width="10.27734375" style="1" customWidth="1"/>
    <col min="10799" max="10799" width="0.83203125" style="1" customWidth="1"/>
    <col min="10800" max="11009" width="9" style="1"/>
    <col min="11010" max="11010" width="5.83203125" style="1" customWidth="1"/>
    <col min="11011" max="11011" width="34.44140625" style="1" customWidth="1"/>
    <col min="11012" max="11012" width="9.83203125" style="1" customWidth="1"/>
    <col min="11013" max="11013" width="15.27734375" style="1" customWidth="1"/>
    <col min="11014" max="11014" width="16.71875" style="1" customWidth="1"/>
    <col min="11015" max="11015" width="17.44140625" style="1" customWidth="1"/>
    <col min="11016" max="11016" width="18.83203125" style="1" customWidth="1"/>
    <col min="11017" max="11017" width="10.27734375" style="1" customWidth="1"/>
    <col min="11018" max="11018" width="24" style="1" customWidth="1"/>
    <col min="11019" max="11025" width="10.27734375" style="1" customWidth="1"/>
    <col min="11026" max="11026" width="7.44140625" style="1" customWidth="1"/>
    <col min="11027" max="11034" width="10.27734375" style="1" customWidth="1"/>
    <col min="11035" max="11035" width="0.1640625" style="1" customWidth="1"/>
    <col min="11036" max="11054" width="10.27734375" style="1" customWidth="1"/>
    <col min="11055" max="11055" width="0.83203125" style="1" customWidth="1"/>
    <col min="11056" max="11265" width="9" style="1"/>
    <col min="11266" max="11266" width="5.83203125" style="1" customWidth="1"/>
    <col min="11267" max="11267" width="34.44140625" style="1" customWidth="1"/>
    <col min="11268" max="11268" width="9.83203125" style="1" customWidth="1"/>
    <col min="11269" max="11269" width="15.27734375" style="1" customWidth="1"/>
    <col min="11270" max="11270" width="16.71875" style="1" customWidth="1"/>
    <col min="11271" max="11271" width="17.44140625" style="1" customWidth="1"/>
    <col min="11272" max="11272" width="18.83203125" style="1" customWidth="1"/>
    <col min="11273" max="11273" width="10.27734375" style="1" customWidth="1"/>
    <col min="11274" max="11274" width="24" style="1" customWidth="1"/>
    <col min="11275" max="11281" width="10.27734375" style="1" customWidth="1"/>
    <col min="11282" max="11282" width="7.44140625" style="1" customWidth="1"/>
    <col min="11283" max="11290" width="10.27734375" style="1" customWidth="1"/>
    <col min="11291" max="11291" width="0.1640625" style="1" customWidth="1"/>
    <col min="11292" max="11310" width="10.27734375" style="1" customWidth="1"/>
    <col min="11311" max="11311" width="0.83203125" style="1" customWidth="1"/>
    <col min="11312" max="11521" width="9" style="1"/>
    <col min="11522" max="11522" width="5.83203125" style="1" customWidth="1"/>
    <col min="11523" max="11523" width="34.44140625" style="1" customWidth="1"/>
    <col min="11524" max="11524" width="9.83203125" style="1" customWidth="1"/>
    <col min="11525" max="11525" width="15.27734375" style="1" customWidth="1"/>
    <col min="11526" max="11526" width="16.71875" style="1" customWidth="1"/>
    <col min="11527" max="11527" width="17.44140625" style="1" customWidth="1"/>
    <col min="11528" max="11528" width="18.83203125" style="1" customWidth="1"/>
    <col min="11529" max="11529" width="10.27734375" style="1" customWidth="1"/>
    <col min="11530" max="11530" width="24" style="1" customWidth="1"/>
    <col min="11531" max="11537" width="10.27734375" style="1" customWidth="1"/>
    <col min="11538" max="11538" width="7.44140625" style="1" customWidth="1"/>
    <col min="11539" max="11546" width="10.27734375" style="1" customWidth="1"/>
    <col min="11547" max="11547" width="0.1640625" style="1" customWidth="1"/>
    <col min="11548" max="11566" width="10.27734375" style="1" customWidth="1"/>
    <col min="11567" max="11567" width="0.83203125" style="1" customWidth="1"/>
    <col min="11568" max="11777" width="9" style="1"/>
    <col min="11778" max="11778" width="5.83203125" style="1" customWidth="1"/>
    <col min="11779" max="11779" width="34.44140625" style="1" customWidth="1"/>
    <col min="11780" max="11780" width="9.83203125" style="1" customWidth="1"/>
    <col min="11781" max="11781" width="15.27734375" style="1" customWidth="1"/>
    <col min="11782" max="11782" width="16.71875" style="1" customWidth="1"/>
    <col min="11783" max="11783" width="17.44140625" style="1" customWidth="1"/>
    <col min="11784" max="11784" width="18.83203125" style="1" customWidth="1"/>
    <col min="11785" max="11785" width="10.27734375" style="1" customWidth="1"/>
    <col min="11786" max="11786" width="24" style="1" customWidth="1"/>
    <col min="11787" max="11793" width="10.27734375" style="1" customWidth="1"/>
    <col min="11794" max="11794" width="7.44140625" style="1" customWidth="1"/>
    <col min="11795" max="11802" width="10.27734375" style="1" customWidth="1"/>
    <col min="11803" max="11803" width="0.1640625" style="1" customWidth="1"/>
    <col min="11804" max="11822" width="10.27734375" style="1" customWidth="1"/>
    <col min="11823" max="11823" width="0.83203125" style="1" customWidth="1"/>
    <col min="11824" max="12033" width="9" style="1"/>
    <col min="12034" max="12034" width="5.83203125" style="1" customWidth="1"/>
    <col min="12035" max="12035" width="34.44140625" style="1" customWidth="1"/>
    <col min="12036" max="12036" width="9.83203125" style="1" customWidth="1"/>
    <col min="12037" max="12037" width="15.27734375" style="1" customWidth="1"/>
    <col min="12038" max="12038" width="16.71875" style="1" customWidth="1"/>
    <col min="12039" max="12039" width="17.44140625" style="1" customWidth="1"/>
    <col min="12040" max="12040" width="18.83203125" style="1" customWidth="1"/>
    <col min="12041" max="12041" width="10.27734375" style="1" customWidth="1"/>
    <col min="12042" max="12042" width="24" style="1" customWidth="1"/>
    <col min="12043" max="12049" width="10.27734375" style="1" customWidth="1"/>
    <col min="12050" max="12050" width="7.44140625" style="1" customWidth="1"/>
    <col min="12051" max="12058" width="10.27734375" style="1" customWidth="1"/>
    <col min="12059" max="12059" width="0.1640625" style="1" customWidth="1"/>
    <col min="12060" max="12078" width="10.27734375" style="1" customWidth="1"/>
    <col min="12079" max="12079" width="0.83203125" style="1" customWidth="1"/>
    <col min="12080" max="12289" width="9" style="1"/>
    <col min="12290" max="12290" width="5.83203125" style="1" customWidth="1"/>
    <col min="12291" max="12291" width="34.44140625" style="1" customWidth="1"/>
    <col min="12292" max="12292" width="9.83203125" style="1" customWidth="1"/>
    <col min="12293" max="12293" width="15.27734375" style="1" customWidth="1"/>
    <col min="12294" max="12294" width="16.71875" style="1" customWidth="1"/>
    <col min="12295" max="12295" width="17.44140625" style="1" customWidth="1"/>
    <col min="12296" max="12296" width="18.83203125" style="1" customWidth="1"/>
    <col min="12297" max="12297" width="10.27734375" style="1" customWidth="1"/>
    <col min="12298" max="12298" width="24" style="1" customWidth="1"/>
    <col min="12299" max="12305" width="10.27734375" style="1" customWidth="1"/>
    <col min="12306" max="12306" width="7.44140625" style="1" customWidth="1"/>
    <col min="12307" max="12314" width="10.27734375" style="1" customWidth="1"/>
    <col min="12315" max="12315" width="0.1640625" style="1" customWidth="1"/>
    <col min="12316" max="12334" width="10.27734375" style="1" customWidth="1"/>
    <col min="12335" max="12335" width="0.83203125" style="1" customWidth="1"/>
    <col min="12336" max="12545" width="9" style="1"/>
    <col min="12546" max="12546" width="5.83203125" style="1" customWidth="1"/>
    <col min="12547" max="12547" width="34.44140625" style="1" customWidth="1"/>
    <col min="12548" max="12548" width="9.83203125" style="1" customWidth="1"/>
    <col min="12549" max="12549" width="15.27734375" style="1" customWidth="1"/>
    <col min="12550" max="12550" width="16.71875" style="1" customWidth="1"/>
    <col min="12551" max="12551" width="17.44140625" style="1" customWidth="1"/>
    <col min="12552" max="12552" width="18.83203125" style="1" customWidth="1"/>
    <col min="12553" max="12553" width="10.27734375" style="1" customWidth="1"/>
    <col min="12554" max="12554" width="24" style="1" customWidth="1"/>
    <col min="12555" max="12561" width="10.27734375" style="1" customWidth="1"/>
    <col min="12562" max="12562" width="7.44140625" style="1" customWidth="1"/>
    <col min="12563" max="12570" width="10.27734375" style="1" customWidth="1"/>
    <col min="12571" max="12571" width="0.1640625" style="1" customWidth="1"/>
    <col min="12572" max="12590" width="10.27734375" style="1" customWidth="1"/>
    <col min="12591" max="12591" width="0.83203125" style="1" customWidth="1"/>
    <col min="12592" max="12801" width="9" style="1"/>
    <col min="12802" max="12802" width="5.83203125" style="1" customWidth="1"/>
    <col min="12803" max="12803" width="34.44140625" style="1" customWidth="1"/>
    <col min="12804" max="12804" width="9.83203125" style="1" customWidth="1"/>
    <col min="12805" max="12805" width="15.27734375" style="1" customWidth="1"/>
    <col min="12806" max="12806" width="16.71875" style="1" customWidth="1"/>
    <col min="12807" max="12807" width="17.44140625" style="1" customWidth="1"/>
    <col min="12808" max="12808" width="18.83203125" style="1" customWidth="1"/>
    <col min="12809" max="12809" width="10.27734375" style="1" customWidth="1"/>
    <col min="12810" max="12810" width="24" style="1" customWidth="1"/>
    <col min="12811" max="12817" width="10.27734375" style="1" customWidth="1"/>
    <col min="12818" max="12818" width="7.44140625" style="1" customWidth="1"/>
    <col min="12819" max="12826" width="10.27734375" style="1" customWidth="1"/>
    <col min="12827" max="12827" width="0.1640625" style="1" customWidth="1"/>
    <col min="12828" max="12846" width="10.27734375" style="1" customWidth="1"/>
    <col min="12847" max="12847" width="0.83203125" style="1" customWidth="1"/>
    <col min="12848" max="13057" width="9" style="1"/>
    <col min="13058" max="13058" width="5.83203125" style="1" customWidth="1"/>
    <col min="13059" max="13059" width="34.44140625" style="1" customWidth="1"/>
    <col min="13060" max="13060" width="9.83203125" style="1" customWidth="1"/>
    <col min="13061" max="13061" width="15.27734375" style="1" customWidth="1"/>
    <col min="13062" max="13062" width="16.71875" style="1" customWidth="1"/>
    <col min="13063" max="13063" width="17.44140625" style="1" customWidth="1"/>
    <col min="13064" max="13064" width="18.83203125" style="1" customWidth="1"/>
    <col min="13065" max="13065" width="10.27734375" style="1" customWidth="1"/>
    <col min="13066" max="13066" width="24" style="1" customWidth="1"/>
    <col min="13067" max="13073" width="10.27734375" style="1" customWidth="1"/>
    <col min="13074" max="13074" width="7.44140625" style="1" customWidth="1"/>
    <col min="13075" max="13082" width="10.27734375" style="1" customWidth="1"/>
    <col min="13083" max="13083" width="0.1640625" style="1" customWidth="1"/>
    <col min="13084" max="13102" width="10.27734375" style="1" customWidth="1"/>
    <col min="13103" max="13103" width="0.83203125" style="1" customWidth="1"/>
    <col min="13104" max="13313" width="9" style="1"/>
    <col min="13314" max="13314" width="5.83203125" style="1" customWidth="1"/>
    <col min="13315" max="13315" width="34.44140625" style="1" customWidth="1"/>
    <col min="13316" max="13316" width="9.83203125" style="1" customWidth="1"/>
    <col min="13317" max="13317" width="15.27734375" style="1" customWidth="1"/>
    <col min="13318" max="13318" width="16.71875" style="1" customWidth="1"/>
    <col min="13319" max="13319" width="17.44140625" style="1" customWidth="1"/>
    <col min="13320" max="13320" width="18.83203125" style="1" customWidth="1"/>
    <col min="13321" max="13321" width="10.27734375" style="1" customWidth="1"/>
    <col min="13322" max="13322" width="24" style="1" customWidth="1"/>
    <col min="13323" max="13329" width="10.27734375" style="1" customWidth="1"/>
    <col min="13330" max="13330" width="7.44140625" style="1" customWidth="1"/>
    <col min="13331" max="13338" width="10.27734375" style="1" customWidth="1"/>
    <col min="13339" max="13339" width="0.1640625" style="1" customWidth="1"/>
    <col min="13340" max="13358" width="10.27734375" style="1" customWidth="1"/>
    <col min="13359" max="13359" width="0.83203125" style="1" customWidth="1"/>
    <col min="13360" max="13569" width="9" style="1"/>
    <col min="13570" max="13570" width="5.83203125" style="1" customWidth="1"/>
    <col min="13571" max="13571" width="34.44140625" style="1" customWidth="1"/>
    <col min="13572" max="13572" width="9.83203125" style="1" customWidth="1"/>
    <col min="13573" max="13573" width="15.27734375" style="1" customWidth="1"/>
    <col min="13574" max="13574" width="16.71875" style="1" customWidth="1"/>
    <col min="13575" max="13575" width="17.44140625" style="1" customWidth="1"/>
    <col min="13576" max="13576" width="18.83203125" style="1" customWidth="1"/>
    <col min="13577" max="13577" width="10.27734375" style="1" customWidth="1"/>
    <col min="13578" max="13578" width="24" style="1" customWidth="1"/>
    <col min="13579" max="13585" width="10.27734375" style="1" customWidth="1"/>
    <col min="13586" max="13586" width="7.44140625" style="1" customWidth="1"/>
    <col min="13587" max="13594" width="10.27734375" style="1" customWidth="1"/>
    <col min="13595" max="13595" width="0.1640625" style="1" customWidth="1"/>
    <col min="13596" max="13614" width="10.27734375" style="1" customWidth="1"/>
    <col min="13615" max="13615" width="0.83203125" style="1" customWidth="1"/>
    <col min="13616" max="13825" width="9" style="1"/>
    <col min="13826" max="13826" width="5.83203125" style="1" customWidth="1"/>
    <col min="13827" max="13827" width="34.44140625" style="1" customWidth="1"/>
    <col min="13828" max="13828" width="9.83203125" style="1" customWidth="1"/>
    <col min="13829" max="13829" width="15.27734375" style="1" customWidth="1"/>
    <col min="13830" max="13830" width="16.71875" style="1" customWidth="1"/>
    <col min="13831" max="13831" width="17.44140625" style="1" customWidth="1"/>
    <col min="13832" max="13832" width="18.83203125" style="1" customWidth="1"/>
    <col min="13833" max="13833" width="10.27734375" style="1" customWidth="1"/>
    <col min="13834" max="13834" width="24" style="1" customWidth="1"/>
    <col min="13835" max="13841" width="10.27734375" style="1" customWidth="1"/>
    <col min="13842" max="13842" width="7.44140625" style="1" customWidth="1"/>
    <col min="13843" max="13850" width="10.27734375" style="1" customWidth="1"/>
    <col min="13851" max="13851" width="0.1640625" style="1" customWidth="1"/>
    <col min="13852" max="13870" width="10.27734375" style="1" customWidth="1"/>
    <col min="13871" max="13871" width="0.83203125" style="1" customWidth="1"/>
    <col min="13872" max="14081" width="9" style="1"/>
    <col min="14082" max="14082" width="5.83203125" style="1" customWidth="1"/>
    <col min="14083" max="14083" width="34.44140625" style="1" customWidth="1"/>
    <col min="14084" max="14084" width="9.83203125" style="1" customWidth="1"/>
    <col min="14085" max="14085" width="15.27734375" style="1" customWidth="1"/>
    <col min="14086" max="14086" width="16.71875" style="1" customWidth="1"/>
    <col min="14087" max="14087" width="17.44140625" style="1" customWidth="1"/>
    <col min="14088" max="14088" width="18.83203125" style="1" customWidth="1"/>
    <col min="14089" max="14089" width="10.27734375" style="1" customWidth="1"/>
    <col min="14090" max="14090" width="24" style="1" customWidth="1"/>
    <col min="14091" max="14097" width="10.27734375" style="1" customWidth="1"/>
    <col min="14098" max="14098" width="7.44140625" style="1" customWidth="1"/>
    <col min="14099" max="14106" width="10.27734375" style="1" customWidth="1"/>
    <col min="14107" max="14107" width="0.1640625" style="1" customWidth="1"/>
    <col min="14108" max="14126" width="10.27734375" style="1" customWidth="1"/>
    <col min="14127" max="14127" width="0.83203125" style="1" customWidth="1"/>
    <col min="14128" max="14337" width="9" style="1"/>
    <col min="14338" max="14338" width="5.83203125" style="1" customWidth="1"/>
    <col min="14339" max="14339" width="34.44140625" style="1" customWidth="1"/>
    <col min="14340" max="14340" width="9.83203125" style="1" customWidth="1"/>
    <col min="14341" max="14341" width="15.27734375" style="1" customWidth="1"/>
    <col min="14342" max="14342" width="16.71875" style="1" customWidth="1"/>
    <col min="14343" max="14343" width="17.44140625" style="1" customWidth="1"/>
    <col min="14344" max="14344" width="18.83203125" style="1" customWidth="1"/>
    <col min="14345" max="14345" width="10.27734375" style="1" customWidth="1"/>
    <col min="14346" max="14346" width="24" style="1" customWidth="1"/>
    <col min="14347" max="14353" width="10.27734375" style="1" customWidth="1"/>
    <col min="14354" max="14354" width="7.44140625" style="1" customWidth="1"/>
    <col min="14355" max="14362" width="10.27734375" style="1" customWidth="1"/>
    <col min="14363" max="14363" width="0.1640625" style="1" customWidth="1"/>
    <col min="14364" max="14382" width="10.27734375" style="1" customWidth="1"/>
    <col min="14383" max="14383" width="0.83203125" style="1" customWidth="1"/>
    <col min="14384" max="14593" width="9" style="1"/>
    <col min="14594" max="14594" width="5.83203125" style="1" customWidth="1"/>
    <col min="14595" max="14595" width="34.44140625" style="1" customWidth="1"/>
    <col min="14596" max="14596" width="9.83203125" style="1" customWidth="1"/>
    <col min="14597" max="14597" width="15.27734375" style="1" customWidth="1"/>
    <col min="14598" max="14598" width="16.71875" style="1" customWidth="1"/>
    <col min="14599" max="14599" width="17.44140625" style="1" customWidth="1"/>
    <col min="14600" max="14600" width="18.83203125" style="1" customWidth="1"/>
    <col min="14601" max="14601" width="10.27734375" style="1" customWidth="1"/>
    <col min="14602" max="14602" width="24" style="1" customWidth="1"/>
    <col min="14603" max="14609" width="10.27734375" style="1" customWidth="1"/>
    <col min="14610" max="14610" width="7.44140625" style="1" customWidth="1"/>
    <col min="14611" max="14618" width="10.27734375" style="1" customWidth="1"/>
    <col min="14619" max="14619" width="0.1640625" style="1" customWidth="1"/>
    <col min="14620" max="14638" width="10.27734375" style="1" customWidth="1"/>
    <col min="14639" max="14639" width="0.83203125" style="1" customWidth="1"/>
    <col min="14640" max="14849" width="9" style="1"/>
    <col min="14850" max="14850" width="5.83203125" style="1" customWidth="1"/>
    <col min="14851" max="14851" width="34.44140625" style="1" customWidth="1"/>
    <col min="14852" max="14852" width="9.83203125" style="1" customWidth="1"/>
    <col min="14853" max="14853" width="15.27734375" style="1" customWidth="1"/>
    <col min="14854" max="14854" width="16.71875" style="1" customWidth="1"/>
    <col min="14855" max="14855" width="17.44140625" style="1" customWidth="1"/>
    <col min="14856" max="14856" width="18.83203125" style="1" customWidth="1"/>
    <col min="14857" max="14857" width="10.27734375" style="1" customWidth="1"/>
    <col min="14858" max="14858" width="24" style="1" customWidth="1"/>
    <col min="14859" max="14865" width="10.27734375" style="1" customWidth="1"/>
    <col min="14866" max="14866" width="7.44140625" style="1" customWidth="1"/>
    <col min="14867" max="14874" width="10.27734375" style="1" customWidth="1"/>
    <col min="14875" max="14875" width="0.1640625" style="1" customWidth="1"/>
    <col min="14876" max="14894" width="10.27734375" style="1" customWidth="1"/>
    <col min="14895" max="14895" width="0.83203125" style="1" customWidth="1"/>
    <col min="14896" max="15105" width="9" style="1"/>
    <col min="15106" max="15106" width="5.83203125" style="1" customWidth="1"/>
    <col min="15107" max="15107" width="34.44140625" style="1" customWidth="1"/>
    <col min="15108" max="15108" width="9.83203125" style="1" customWidth="1"/>
    <col min="15109" max="15109" width="15.27734375" style="1" customWidth="1"/>
    <col min="15110" max="15110" width="16.71875" style="1" customWidth="1"/>
    <col min="15111" max="15111" width="17.44140625" style="1" customWidth="1"/>
    <col min="15112" max="15112" width="18.83203125" style="1" customWidth="1"/>
    <col min="15113" max="15113" width="10.27734375" style="1" customWidth="1"/>
    <col min="15114" max="15114" width="24" style="1" customWidth="1"/>
    <col min="15115" max="15121" width="10.27734375" style="1" customWidth="1"/>
    <col min="15122" max="15122" width="7.44140625" style="1" customWidth="1"/>
    <col min="15123" max="15130" width="10.27734375" style="1" customWidth="1"/>
    <col min="15131" max="15131" width="0.1640625" style="1" customWidth="1"/>
    <col min="15132" max="15150" width="10.27734375" style="1" customWidth="1"/>
    <col min="15151" max="15151" width="0.83203125" style="1" customWidth="1"/>
    <col min="15152" max="15361" width="9" style="1"/>
    <col min="15362" max="15362" width="5.83203125" style="1" customWidth="1"/>
    <col min="15363" max="15363" width="34.44140625" style="1" customWidth="1"/>
    <col min="15364" max="15364" width="9.83203125" style="1" customWidth="1"/>
    <col min="15365" max="15365" width="15.27734375" style="1" customWidth="1"/>
    <col min="15366" max="15366" width="16.71875" style="1" customWidth="1"/>
    <col min="15367" max="15367" width="17.44140625" style="1" customWidth="1"/>
    <col min="15368" max="15368" width="18.83203125" style="1" customWidth="1"/>
    <col min="15369" max="15369" width="10.27734375" style="1" customWidth="1"/>
    <col min="15370" max="15370" width="24" style="1" customWidth="1"/>
    <col min="15371" max="15377" width="10.27734375" style="1" customWidth="1"/>
    <col min="15378" max="15378" width="7.44140625" style="1" customWidth="1"/>
    <col min="15379" max="15386" width="10.27734375" style="1" customWidth="1"/>
    <col min="15387" max="15387" width="0.1640625" style="1" customWidth="1"/>
    <col min="15388" max="15406" width="10.27734375" style="1" customWidth="1"/>
    <col min="15407" max="15407" width="0.83203125" style="1" customWidth="1"/>
    <col min="15408" max="15617" width="9" style="1"/>
    <col min="15618" max="15618" width="5.83203125" style="1" customWidth="1"/>
    <col min="15619" max="15619" width="34.44140625" style="1" customWidth="1"/>
    <col min="15620" max="15620" width="9.83203125" style="1" customWidth="1"/>
    <col min="15621" max="15621" width="15.27734375" style="1" customWidth="1"/>
    <col min="15622" max="15622" width="16.71875" style="1" customWidth="1"/>
    <col min="15623" max="15623" width="17.44140625" style="1" customWidth="1"/>
    <col min="15624" max="15624" width="18.83203125" style="1" customWidth="1"/>
    <col min="15625" max="15625" width="10.27734375" style="1" customWidth="1"/>
    <col min="15626" max="15626" width="24" style="1" customWidth="1"/>
    <col min="15627" max="15633" width="10.27734375" style="1" customWidth="1"/>
    <col min="15634" max="15634" width="7.44140625" style="1" customWidth="1"/>
    <col min="15635" max="15642" width="10.27734375" style="1" customWidth="1"/>
    <col min="15643" max="15643" width="0.1640625" style="1" customWidth="1"/>
    <col min="15644" max="15662" width="10.27734375" style="1" customWidth="1"/>
    <col min="15663" max="15663" width="0.83203125" style="1" customWidth="1"/>
    <col min="15664" max="15873" width="9" style="1"/>
    <col min="15874" max="15874" width="5.83203125" style="1" customWidth="1"/>
    <col min="15875" max="15875" width="34.44140625" style="1" customWidth="1"/>
    <col min="15876" max="15876" width="9.83203125" style="1" customWidth="1"/>
    <col min="15877" max="15877" width="15.27734375" style="1" customWidth="1"/>
    <col min="15878" max="15878" width="16.71875" style="1" customWidth="1"/>
    <col min="15879" max="15879" width="17.44140625" style="1" customWidth="1"/>
    <col min="15880" max="15880" width="18.83203125" style="1" customWidth="1"/>
    <col min="15881" max="15881" width="10.27734375" style="1" customWidth="1"/>
    <col min="15882" max="15882" width="24" style="1" customWidth="1"/>
    <col min="15883" max="15889" width="10.27734375" style="1" customWidth="1"/>
    <col min="15890" max="15890" width="7.44140625" style="1" customWidth="1"/>
    <col min="15891" max="15898" width="10.27734375" style="1" customWidth="1"/>
    <col min="15899" max="15899" width="0.1640625" style="1" customWidth="1"/>
    <col min="15900" max="15918" width="10.27734375" style="1" customWidth="1"/>
    <col min="15919" max="15919" width="0.83203125" style="1" customWidth="1"/>
    <col min="15920" max="16129" width="9" style="1"/>
    <col min="16130" max="16130" width="5.83203125" style="1" customWidth="1"/>
    <col min="16131" max="16131" width="34.44140625" style="1" customWidth="1"/>
    <col min="16132" max="16132" width="9.83203125" style="1" customWidth="1"/>
    <col min="16133" max="16133" width="15.27734375" style="1" customWidth="1"/>
    <col min="16134" max="16134" width="16.71875" style="1" customWidth="1"/>
    <col min="16135" max="16135" width="17.44140625" style="1" customWidth="1"/>
    <col min="16136" max="16136" width="18.83203125" style="1" customWidth="1"/>
    <col min="16137" max="16137" width="10.27734375" style="1" customWidth="1"/>
    <col min="16138" max="16138" width="24" style="1" customWidth="1"/>
    <col min="16139" max="16145" width="10.27734375" style="1" customWidth="1"/>
    <col min="16146" max="16146" width="7.44140625" style="1" customWidth="1"/>
    <col min="16147" max="16154" width="10.27734375" style="1" customWidth="1"/>
    <col min="16155" max="16155" width="0.1640625" style="1" customWidth="1"/>
    <col min="16156" max="16174" width="10.27734375" style="1" customWidth="1"/>
    <col min="16175" max="16175" width="0.83203125" style="1" customWidth="1"/>
    <col min="16176" max="16384" width="9" style="1"/>
  </cols>
  <sheetData>
    <row r="1" spans="1:19" ht="57" customHeight="1">
      <c r="A1" s="7"/>
      <c r="B1" s="8"/>
      <c r="C1" s="9" t="s">
        <v>0</v>
      </c>
      <c r="D1" s="9"/>
      <c r="E1" s="9"/>
      <c r="F1" s="9"/>
      <c r="G1" s="10"/>
      <c r="H1" s="11"/>
      <c r="I1" s="12"/>
      <c r="J1" s="13"/>
    </row>
    <row r="2" spans="1:19" ht="39" customHeight="1">
      <c r="A2" s="14"/>
      <c r="B2" s="15"/>
      <c r="C2" s="16" t="s">
        <v>1</v>
      </c>
      <c r="D2" s="16"/>
      <c r="E2" s="16"/>
      <c r="F2" s="16"/>
      <c r="G2" s="17"/>
      <c r="H2" s="18"/>
      <c r="I2" s="19"/>
      <c r="J2" s="20"/>
      <c r="N2" s="1">
        <f>COUNTIF('[1]DATA INPUT'!T:T,REQUEST!#REF!)</f>
        <v>0</v>
      </c>
      <c r="R2" s="1" t="s">
        <v>2</v>
      </c>
      <c r="S2" s="1" t="s">
        <v>3</v>
      </c>
    </row>
    <row r="3" spans="1:19" ht="57" customHeight="1">
      <c r="A3" s="21" t="s">
        <v>4</v>
      </c>
      <c r="B3" s="22"/>
      <c r="C3" s="22"/>
      <c r="D3" s="22"/>
      <c r="E3" s="22"/>
      <c r="F3" s="22"/>
      <c r="G3" s="23" t="s">
        <v>5</v>
      </c>
      <c r="H3" s="24" t="e">
        <f>"TNHA-JK-"&amp;#REF!</f>
        <v>#REF!</v>
      </c>
      <c r="I3" s="25"/>
      <c r="J3" s="26"/>
      <c r="K3" s="6" t="s">
        <v>6</v>
      </c>
      <c r="S3" s="1" t="s">
        <v>7</v>
      </c>
    </row>
    <row r="4" spans="1:19" ht="23.25" customHeight="1">
      <c r="A4" s="27" t="s">
        <v>8</v>
      </c>
      <c r="B4" s="28"/>
      <c r="C4" s="28"/>
      <c r="D4" s="28"/>
      <c r="E4" s="28"/>
      <c r="F4" s="28"/>
      <c r="G4" s="29"/>
      <c r="H4" s="30"/>
      <c r="I4" s="31"/>
      <c r="J4" s="32"/>
    </row>
    <row r="5" spans="1:19" s="33" customFormat="1" ht="19.5" customHeight="1">
      <c r="A5" s="34" t="s">
        <v>9</v>
      </c>
      <c r="B5" s="35"/>
      <c r="C5" s="36"/>
      <c r="D5" s="36"/>
      <c r="E5" s="36"/>
      <c r="F5" s="37" t="s">
        <v>10</v>
      </c>
      <c r="G5" s="38" t="s">
        <v>11</v>
      </c>
      <c r="H5" s="39" t="e">
        <f>H7-K5</f>
        <v>#REF!</v>
      </c>
      <c r="I5" s="40"/>
      <c r="J5" s="41"/>
      <c r="K5" s="42">
        <v>0</v>
      </c>
      <c r="L5" s="43"/>
      <c r="M5" s="43"/>
    </row>
    <row r="6" spans="1:19" s="33" customFormat="1" ht="22" customHeight="1">
      <c r="A6" s="44" t="s">
        <v>12</v>
      </c>
      <c r="B6" s="45"/>
      <c r="C6" s="45"/>
      <c r="D6" s="45"/>
      <c r="E6" s="46"/>
      <c r="F6" s="47" t="s">
        <v>13</v>
      </c>
      <c r="G6" s="48"/>
      <c r="H6" s="49"/>
      <c r="I6" s="50"/>
      <c r="J6" s="51"/>
      <c r="K6" s="52"/>
      <c r="L6" s="43"/>
      <c r="M6" s="43"/>
    </row>
    <row r="7" spans="1:19" s="33" customFormat="1" ht="17.25" customHeight="1">
      <c r="A7" s="34" t="s">
        <v>14</v>
      </c>
      <c r="B7" s="53"/>
      <c r="C7" s="54"/>
      <c r="D7" s="54"/>
      <c r="E7" s="54"/>
      <c r="F7" s="37" t="s">
        <v>15</v>
      </c>
      <c r="G7" s="55" t="s">
        <v>16</v>
      </c>
      <c r="H7" s="56" t="e">
        <f>VLOOKUP(#REF!,'[1]DATA INPUT'!$A:$AP,COLUMN('[1]DATA INPUT'!S:S),FALSE)</f>
        <v>#REF!</v>
      </c>
      <c r="I7" s="57"/>
      <c r="J7" s="58"/>
      <c r="K7" s="52"/>
      <c r="L7" s="43"/>
      <c r="M7" s="43"/>
      <c r="P7" s="59"/>
    </row>
    <row r="8" spans="1:19" s="33" customFormat="1" ht="22" customHeight="1">
      <c r="A8" s="60"/>
      <c r="B8" s="61" t="s">
        <v>17</v>
      </c>
      <c r="C8" s="62"/>
      <c r="D8" s="62"/>
      <c r="E8" s="63"/>
      <c r="F8" s="64" t="s">
        <v>18</v>
      </c>
      <c r="G8" s="65"/>
      <c r="H8" s="66"/>
      <c r="I8" s="67"/>
      <c r="J8" s="68"/>
      <c r="K8" s="52"/>
      <c r="L8" s="43"/>
      <c r="M8" s="43"/>
    </row>
    <row r="9" spans="1:19" ht="24.75" customHeight="1">
      <c r="A9" s="69" t="s">
        <v>19</v>
      </c>
      <c r="B9" s="70"/>
      <c r="C9" s="71"/>
      <c r="D9" s="71"/>
      <c r="E9" s="72"/>
      <c r="F9" s="71"/>
      <c r="G9" s="73"/>
      <c r="H9" s="73"/>
      <c r="I9" s="73"/>
      <c r="J9" s="74"/>
    </row>
    <row r="10" spans="1:19" ht="21.75" customHeight="1">
      <c r="A10" s="75" t="s">
        <v>20</v>
      </c>
      <c r="B10" s="76"/>
      <c r="C10" s="76" t="s">
        <v>21</v>
      </c>
      <c r="D10" s="76"/>
      <c r="E10" s="76"/>
      <c r="F10" s="77" t="s">
        <v>22</v>
      </c>
      <c r="G10" s="77" t="s">
        <v>23</v>
      </c>
      <c r="H10" s="77" t="s">
        <v>24</v>
      </c>
      <c r="I10" s="77"/>
      <c r="J10" s="78" t="s">
        <v>25</v>
      </c>
    </row>
    <row r="11" spans="1:19" ht="18.75" customHeight="1">
      <c r="A11" s="79" t="s">
        <v>26</v>
      </c>
      <c r="B11" s="80"/>
      <c r="C11" s="81" t="s">
        <v>27</v>
      </c>
      <c r="D11" s="81"/>
      <c r="E11" s="81"/>
      <c r="F11" s="82" t="s">
        <v>28</v>
      </c>
      <c r="G11" s="82" t="s">
        <v>29</v>
      </c>
      <c r="H11" s="82" t="s">
        <v>30</v>
      </c>
      <c r="I11" s="82"/>
      <c r="J11" s="83" t="s">
        <v>31</v>
      </c>
    </row>
    <row r="12" spans="1:19" ht="18.75" customHeight="1">
      <c r="A12" s="79"/>
      <c r="B12" s="80"/>
      <c r="C12" s="81"/>
      <c r="D12" s="81"/>
      <c r="E12" s="81"/>
      <c r="F12" s="84"/>
      <c r="G12" s="82"/>
      <c r="H12" s="82" t="s">
        <v>32</v>
      </c>
      <c r="I12" s="82"/>
      <c r="J12" s="83"/>
    </row>
    <row r="13" spans="1:19" ht="18.75" customHeight="1">
      <c r="A13" s="85"/>
      <c r="B13" s="86"/>
      <c r="C13" s="81"/>
      <c r="D13" s="81"/>
      <c r="E13" s="81"/>
      <c r="F13" s="81"/>
      <c r="G13" s="81"/>
      <c r="H13" s="81"/>
      <c r="I13" s="87"/>
      <c r="J13" s="88"/>
    </row>
    <row r="14" spans="1:19" ht="27" customHeight="1">
      <c r="A14" s="89" t="s">
        <v>33</v>
      </c>
      <c r="B14" s="90"/>
      <c r="C14" s="90"/>
      <c r="D14" s="91"/>
      <c r="E14" s="92"/>
      <c r="F14" s="91"/>
      <c r="G14" s="93"/>
      <c r="H14" s="93"/>
      <c r="I14" s="93"/>
      <c r="J14" s="94"/>
    </row>
    <row r="15" spans="1:19" ht="24.75" customHeight="1">
      <c r="A15" s="95" t="s">
        <v>34</v>
      </c>
      <c r="B15" s="96"/>
      <c r="C15" s="96"/>
      <c r="D15" s="96"/>
      <c r="E15" s="96"/>
      <c r="F15" s="96"/>
      <c r="G15" s="96"/>
      <c r="H15" s="97"/>
      <c r="I15" s="74"/>
      <c r="J15" s="98"/>
    </row>
    <row r="16" spans="1:19" ht="70.5" customHeight="1">
      <c r="A16" s="99" t="s">
        <v>35</v>
      </c>
      <c r="B16" s="100" t="s">
        <v>36</v>
      </c>
      <c r="C16" s="99" t="s">
        <v>37</v>
      </c>
      <c r="D16" s="101" t="s">
        <v>38</v>
      </c>
      <c r="E16" s="102" t="s">
        <v>39</v>
      </c>
      <c r="F16" s="100" t="s">
        <v>40</v>
      </c>
      <c r="G16" s="103" t="s">
        <v>41</v>
      </c>
      <c r="H16" s="104" t="s">
        <v>42</v>
      </c>
      <c r="I16" s="105" t="s">
        <v>43</v>
      </c>
      <c r="J16" s="105" t="s">
        <v>44</v>
      </c>
      <c r="K16" s="106"/>
      <c r="L16" s="107"/>
      <c r="M16" s="107"/>
      <c r="N16" s="108"/>
      <c r="O16" s="108"/>
    </row>
    <row r="17" spans="1:26" s="123" customFormat="1" ht="59.25" customHeight="1">
      <c r="A17" s="109">
        <v>1</v>
      </c>
      <c r="B17" s="110" t="e">
        <f>IF(#REF!="","",VLOOKUP(#REF!,'[1]DATA INPUT'!$A:$AP,COLUMN('[1]DATA INPUT'!B:B),FALSE))</f>
        <v>#REF!</v>
      </c>
      <c r="C17" s="111" t="e">
        <f>IF(#REF!="","",VLOOKUP(#REF!,'[1]DATA INPUT'!$A:$AP,COLUMN('[1]DATA INPUT'!C:C),FALSE))</f>
        <v>#REF!</v>
      </c>
      <c r="D17" s="112" t="e">
        <f>IF(#REF!="","",IF(LEFT(VLOOKUP(#REF!,'[1]DATA INPUT'!$A:$AP,COLUMN('[1]DATA INPUT'!E:E),FALSE),1)&lt;&gt;"",VLOOKUP(#REF!,'[1]DATA INPUT'!$A:$AP,COLUMN('[1]DATA INPUT'!E:E),FALSE),"N/A"))</f>
        <v>#REF!</v>
      </c>
      <c r="E17" s="113" t="e">
        <f>IF(#REF!="","",VLOOKUP(#REF!,'[1]DATA INPUT'!$A:$AP,COLUMN('[1]DATA INPUT'!Q:Q),FALSE))</f>
        <v>#REF!</v>
      </c>
      <c r="F17" s="114" t="e">
        <f>IF(#REF!="","",VLOOKUP(#REF!,'[1]DATA INPUT'!$A:$AP,COLUMN('[1]DATA INPUT'!K:K),FALSE))</f>
        <v>#REF!</v>
      </c>
      <c r="G17" s="114" t="str">
        <f t="shared" ref="G17:G69" ca="1" si="0">IF(K17="","",IF(AND(M17="D",O17=0),CONCATENATE("Ø",ROUND(N17/3.14,2)),IF(AND(M17="D",O17&lt;&gt;0),CONCATENATE("Ø",ROUND(N17/3.14,2),"x",O17),IF(AND(M17="L",O17=0),CONCATENATE("L=",N17),CONCATENATE("L=",N17,"x",O17)))))</f>
        <v/>
      </c>
      <c r="H17" s="115" t="e">
        <f>IF(#REF!="","",VLOOKUP(#REF!,'[1]DATA INPUT'!$A:$AP,COLUMN('[1]DATA INPUT'!F:F),FALSE))</f>
        <v>#REF!</v>
      </c>
      <c r="I17" s="116" t="e">
        <f>IF(#REF!="","",VLOOKUP(#REF!,'[1]DATA INPUT'!$A:$AP,COLUMN('[1]DATA INPUT'!L:L),FALSE))</f>
        <v>#REF!</v>
      </c>
      <c r="J17" s="117" t="e">
        <f>IF(#REF!="","",VLOOKUP(#REF!,'[1]DATA INPUT'!$A:$AP,COLUMN('[1]DATA INPUT'!P:P),FALSE))</f>
        <v>#REF!</v>
      </c>
      <c r="K17" s="118" t="str">
        <f ca="1">IFERROR(K16+MATCH(L17,OFFSET('[1]DATA INPUT'!$T$1,K16,0,100000),0),"")</f>
        <v/>
      </c>
      <c r="L17" s="119" t="str">
        <f>IF(COUNTIF($L$16:L16,#REF!)&lt;$N$2,#REF!,"")</f>
        <v/>
      </c>
      <c r="M17" s="120" t="e">
        <f>IF(#REF!="","",VLOOKUP(#REF!,'[1]DATA INPUT'!$A:$AP,COLUMN('[1]DATA INPUT'!G:G),FALSE))</f>
        <v>#REF!</v>
      </c>
      <c r="N17" s="121" t="e">
        <f>IF(#REF!="","",ROUND(VLOOKUP(#REF!,'[1]DATA INPUT'!$A:$AP,COLUMN('[1]DATA INPUT'!H:H),FALSE),2))</f>
        <v>#REF!</v>
      </c>
      <c r="O17" s="122" t="e">
        <f>IF(#REF!="","",VLOOKUP(#REF!,'[1]DATA INPUT'!$A:$AP,COLUMN('[1]DATA INPUT'!I:I),FALSE))</f>
        <v>#REF!</v>
      </c>
      <c r="T17" s="124" t="s">
        <v>45</v>
      </c>
      <c r="U17" s="125"/>
      <c r="V17" s="125"/>
      <c r="W17" s="125"/>
      <c r="X17" s="125"/>
      <c r="Y17" s="125"/>
      <c r="Z17" s="126"/>
    </row>
    <row r="18" spans="1:26" s="123" customFormat="1" ht="38.1" customHeight="1">
      <c r="A18" s="109" t="e">
        <f>IF(#REF!="","",A17+1)</f>
        <v>#REF!</v>
      </c>
      <c r="B18" s="110" t="e">
        <f>IF(#REF!="","",VLOOKUP(#REF!,'[1]DATA INPUT'!$A:$AP,COLUMN('[1]DATA INPUT'!B:B),FALSE))</f>
        <v>#REF!</v>
      </c>
      <c r="C18" s="111" t="e">
        <f>IF(#REF!="","",VLOOKUP(#REF!,'[1]DATA INPUT'!$A:$AP,COLUMN('[1]DATA INPUT'!C:C),FALSE))</f>
        <v>#REF!</v>
      </c>
      <c r="D18" s="112" t="e">
        <f>IF(#REF!="","",IF(LEFT(VLOOKUP(#REF!,'[1]DATA INPUT'!$A:$AP,COLUMN('[1]DATA INPUT'!E:E),FALSE),1)&lt;&gt;"",VLOOKUP(#REF!,'[1]DATA INPUT'!$A:$AP,COLUMN('[1]DATA INPUT'!E:E),FALSE),"N/A"))</f>
        <v>#REF!</v>
      </c>
      <c r="E18" s="113" t="e">
        <f>IF(#REF!="","",VLOOKUP(#REF!,'[1]DATA INPUT'!$A:$AP,COLUMN('[1]DATA INPUT'!Q:Q),FALSE))</f>
        <v>#REF!</v>
      </c>
      <c r="F18" s="114" t="e">
        <f>IF(#REF!="","",VLOOKUP(#REF!,'[1]DATA INPUT'!$A:$AP,COLUMN('[1]DATA INPUT'!K:K),FALSE))</f>
        <v>#REF!</v>
      </c>
      <c r="G18" s="114" t="str">
        <f t="shared" ca="1" si="0"/>
        <v/>
      </c>
      <c r="H18" s="116" t="e">
        <f>IF(#REF!="","",VLOOKUP(#REF!,'[1]DATA INPUT'!$A:$AP,COLUMN('[1]DATA INPUT'!F:F),FALSE))</f>
        <v>#REF!</v>
      </c>
      <c r="I18" s="116" t="e">
        <f>IF(#REF!="","",VLOOKUP(#REF!,'[1]DATA INPUT'!$A:$AP,COLUMN('[1]DATA INPUT'!L:L),FALSE))</f>
        <v>#REF!</v>
      </c>
      <c r="J18" s="117" t="e">
        <f>IF(#REF!="","",VLOOKUP(#REF!,'[1]DATA INPUT'!$A:$AP,COLUMN('[1]DATA INPUT'!P:P),FALSE))</f>
        <v>#REF!</v>
      </c>
      <c r="K18" s="118" t="str">
        <f ca="1">IFERROR(K17+MATCH(L18,OFFSET('[1]DATA INPUT'!$T$1,K17,0,100000),0),"")</f>
        <v/>
      </c>
      <c r="L18" s="119" t="str">
        <f>IF(COUNTIF($L$16:L17,#REF!)&lt;$N$2,#REF!,"")</f>
        <v/>
      </c>
      <c r="M18" s="120" t="e">
        <f>IF(#REF!="","",VLOOKUP(#REF!,'[1]DATA INPUT'!$A:$AP,COLUMN('[1]DATA INPUT'!G:G),FALSE))</f>
        <v>#REF!</v>
      </c>
      <c r="N18" s="121" t="e">
        <f>IF(#REF!="","",ROUND(VLOOKUP(#REF!,'[1]DATA INPUT'!$A:$AP,COLUMN('[1]DATA INPUT'!H:H),FALSE),2))</f>
        <v>#REF!</v>
      </c>
      <c r="O18" s="122" t="e">
        <f>IF(#REF!="","",VLOOKUP(#REF!,'[1]DATA INPUT'!$A:$AP,COLUMN('[1]DATA INPUT'!I:I),FALSE))</f>
        <v>#REF!</v>
      </c>
    </row>
    <row r="19" spans="1:26" s="123" customFormat="1" ht="38.1" customHeight="1">
      <c r="A19" s="109" t="e">
        <f>IF(#REF!="","",A18+1)</f>
        <v>#REF!</v>
      </c>
      <c r="B19" s="110" t="e">
        <f>IF(#REF!="","",VLOOKUP(#REF!,'[1]DATA INPUT'!$A:$AP,COLUMN('[1]DATA INPUT'!B:B),FALSE))</f>
        <v>#REF!</v>
      </c>
      <c r="C19" s="111" t="e">
        <f>IF(#REF!="","",VLOOKUP(#REF!,'[1]DATA INPUT'!$A:$AP,COLUMN('[1]DATA INPUT'!C:C),FALSE))</f>
        <v>#REF!</v>
      </c>
      <c r="D19" s="112" t="e">
        <f>IF(#REF!="","",IF(LEFT(VLOOKUP(#REF!,'[1]DATA INPUT'!$A:$AP,COLUMN('[1]DATA INPUT'!E:E),FALSE),1)&lt;&gt;"",VLOOKUP(#REF!,'[1]DATA INPUT'!$A:$AP,COLUMN('[1]DATA INPUT'!E:E),FALSE),"N/A"))</f>
        <v>#REF!</v>
      </c>
      <c r="E19" s="113" t="e">
        <f>IF(#REF!="","",VLOOKUP(#REF!,'[1]DATA INPUT'!$A:$AP,COLUMN('[1]DATA INPUT'!Q:Q),FALSE))</f>
        <v>#REF!</v>
      </c>
      <c r="F19" s="114" t="e">
        <f>IF(#REF!="","",VLOOKUP(#REF!,'[1]DATA INPUT'!$A:$AP,COLUMN('[1]DATA INPUT'!K:K),FALSE))</f>
        <v>#REF!</v>
      </c>
      <c r="G19" s="114" t="str">
        <f t="shared" ca="1" si="0"/>
        <v/>
      </c>
      <c r="H19" s="116" t="e">
        <f>IF(#REF!="","",VLOOKUP(#REF!,'[1]DATA INPUT'!$A:$AP,COLUMN('[1]DATA INPUT'!F:F),FALSE))</f>
        <v>#REF!</v>
      </c>
      <c r="I19" s="116" t="e">
        <f>IF(#REF!="","",VLOOKUP(#REF!,'[1]DATA INPUT'!$A:$AP,COLUMN('[1]DATA INPUT'!L:L),FALSE))</f>
        <v>#REF!</v>
      </c>
      <c r="J19" s="117" t="e">
        <f>IF(#REF!="","",VLOOKUP(#REF!,'[1]DATA INPUT'!$A:$AP,COLUMN('[1]DATA INPUT'!P:P),FALSE))</f>
        <v>#REF!</v>
      </c>
      <c r="K19" s="118" t="str">
        <f ca="1">IFERROR(K18+MATCH(L19,OFFSET('[1]DATA INPUT'!$T$1,K18,0,100000),0),"")</f>
        <v/>
      </c>
      <c r="L19" s="119" t="str">
        <f>IF(COUNTIF($L$16:L18,#REF!)&lt;$N$2,#REF!,"")</f>
        <v/>
      </c>
      <c r="M19" s="120" t="e">
        <f>IF(#REF!="","",VLOOKUP(#REF!,'[1]DATA INPUT'!$A:$AP,COLUMN('[1]DATA INPUT'!G:G),FALSE))</f>
        <v>#REF!</v>
      </c>
      <c r="N19" s="121" t="e">
        <f>IF(#REF!="","",ROUND(VLOOKUP(#REF!,'[1]DATA INPUT'!$A:$AP,COLUMN('[1]DATA INPUT'!H:H),FALSE),2))</f>
        <v>#REF!</v>
      </c>
      <c r="O19" s="122" t="e">
        <f>IF(#REF!="","",VLOOKUP(#REF!,'[1]DATA INPUT'!$A:$AP,COLUMN('[1]DATA INPUT'!I:I),FALSE))</f>
        <v>#REF!</v>
      </c>
    </row>
    <row r="20" spans="1:26" s="123" customFormat="1" ht="38.1" customHeight="1">
      <c r="A20" s="109" t="e">
        <f>IF(#REF!="","",A19+1)</f>
        <v>#REF!</v>
      </c>
      <c r="B20" s="110" t="e">
        <f>IF(#REF!="","",VLOOKUP(#REF!,'[1]DATA INPUT'!$A:$AP,COLUMN('[1]DATA INPUT'!B:B),FALSE))</f>
        <v>#REF!</v>
      </c>
      <c r="C20" s="111" t="e">
        <f>IF(#REF!="","",VLOOKUP(#REF!,'[1]DATA INPUT'!$A:$AP,COLUMN('[1]DATA INPUT'!C:C),FALSE))</f>
        <v>#REF!</v>
      </c>
      <c r="D20" s="112" t="e">
        <f>IF(#REF!="","",IF(LEFT(VLOOKUP(#REF!,'[1]DATA INPUT'!$A:$AP,COLUMN('[1]DATA INPUT'!E:E),FALSE),1)&lt;&gt;"",VLOOKUP(#REF!,'[1]DATA INPUT'!$A:$AP,COLUMN('[1]DATA INPUT'!E:E),FALSE),"N/A"))</f>
        <v>#REF!</v>
      </c>
      <c r="E20" s="113" t="e">
        <f>IF(#REF!="","",VLOOKUP(#REF!,'[1]DATA INPUT'!$A:$AP,COLUMN('[1]DATA INPUT'!Q:Q),FALSE))</f>
        <v>#REF!</v>
      </c>
      <c r="F20" s="114" t="e">
        <f>IF(#REF!="","",VLOOKUP(#REF!,'[1]DATA INPUT'!$A:$AP,COLUMN('[1]DATA INPUT'!K:K),FALSE))</f>
        <v>#REF!</v>
      </c>
      <c r="G20" s="114" t="str">
        <f t="shared" ca="1" si="0"/>
        <v/>
      </c>
      <c r="H20" s="116" t="e">
        <f>IF(#REF!="","",VLOOKUP(#REF!,'[1]DATA INPUT'!$A:$AP,COLUMN('[1]DATA INPUT'!F:F),FALSE))</f>
        <v>#REF!</v>
      </c>
      <c r="I20" s="116" t="e">
        <f>IF(#REF!="","",VLOOKUP(#REF!,'[1]DATA INPUT'!$A:$AP,COLUMN('[1]DATA INPUT'!L:L),FALSE))</f>
        <v>#REF!</v>
      </c>
      <c r="J20" s="127" t="e">
        <f>IF(#REF!="","",VLOOKUP(#REF!,'[1]DATA INPUT'!$A:$AP,COLUMN('[1]DATA INPUT'!P:P),FALSE))</f>
        <v>#REF!</v>
      </c>
      <c r="K20" s="118" t="str">
        <f ca="1">IFERROR(K19+MATCH(L20,OFFSET('[1]DATA INPUT'!$T$1,K19,0,100000),0),"")</f>
        <v/>
      </c>
      <c r="L20" s="119" t="str">
        <f>IF(COUNTIF($L$16:L19,#REF!)&lt;$N$2,#REF!,"")</f>
        <v/>
      </c>
      <c r="M20" s="120" t="e">
        <f>IF(#REF!="","",VLOOKUP(#REF!,'[1]DATA INPUT'!$A:$AP,COLUMN('[1]DATA INPUT'!G:G),FALSE))</f>
        <v>#REF!</v>
      </c>
      <c r="N20" s="121" t="e">
        <f>IF(#REF!="","",ROUND(VLOOKUP(#REF!,'[1]DATA INPUT'!$A:$AP,COLUMN('[1]DATA INPUT'!H:H),FALSE),2))</f>
        <v>#REF!</v>
      </c>
      <c r="O20" s="122" t="e">
        <f>IF(#REF!="","",VLOOKUP(#REF!,'[1]DATA INPUT'!$A:$AP,COLUMN('[1]DATA INPUT'!I:I),FALSE))</f>
        <v>#REF!</v>
      </c>
    </row>
    <row r="21" spans="1:26" s="123" customFormat="1" ht="38.1" customHeight="1">
      <c r="A21" s="109" t="e">
        <f>IF(#REF!="","",A20+1)</f>
        <v>#REF!</v>
      </c>
      <c r="B21" s="110" t="e">
        <f>IF(#REF!="","",VLOOKUP(#REF!,'[1]DATA INPUT'!$A:$AP,COLUMN('[1]DATA INPUT'!B:B),FALSE))</f>
        <v>#REF!</v>
      </c>
      <c r="C21" s="111" t="e">
        <f>IF(#REF!="","",VLOOKUP(#REF!,'[1]DATA INPUT'!$A:$AP,COLUMN('[1]DATA INPUT'!C:C),FALSE))</f>
        <v>#REF!</v>
      </c>
      <c r="D21" s="112" t="e">
        <f>IF(#REF!="","",IF(LEFT(VLOOKUP(#REF!,'[1]DATA INPUT'!$A:$AP,COLUMN('[1]DATA INPUT'!E:E),FALSE),1)&lt;&gt;"",VLOOKUP(#REF!,'[1]DATA INPUT'!$A:$AP,COLUMN('[1]DATA INPUT'!E:E),FALSE),"N/A"))</f>
        <v>#REF!</v>
      </c>
      <c r="E21" s="113" t="e">
        <f>IF(#REF!="","",VLOOKUP(#REF!,'[1]DATA INPUT'!$A:$AP,COLUMN('[1]DATA INPUT'!Q:Q),FALSE))</f>
        <v>#REF!</v>
      </c>
      <c r="F21" s="114" t="e">
        <f>IF(#REF!="","",VLOOKUP(#REF!,'[1]DATA INPUT'!$A:$AP,COLUMN('[1]DATA INPUT'!K:K),FALSE))</f>
        <v>#REF!</v>
      </c>
      <c r="G21" s="114" t="str">
        <f t="shared" ca="1" si="0"/>
        <v/>
      </c>
      <c r="H21" s="116" t="e">
        <f>IF(#REF!="","",VLOOKUP(#REF!,'[1]DATA INPUT'!$A:$AP,COLUMN('[1]DATA INPUT'!F:F),FALSE))</f>
        <v>#REF!</v>
      </c>
      <c r="I21" s="116" t="e">
        <f>IF(#REF!="","",VLOOKUP(#REF!,'[1]DATA INPUT'!$A:$AP,COLUMN('[1]DATA INPUT'!L:L),FALSE))</f>
        <v>#REF!</v>
      </c>
      <c r="J21" s="127" t="e">
        <f>IF(#REF!="","",VLOOKUP(#REF!,'[1]DATA INPUT'!$A:$AP,COLUMN('[1]DATA INPUT'!P:P),FALSE))</f>
        <v>#REF!</v>
      </c>
      <c r="K21" s="118" t="str">
        <f ca="1">IFERROR(K20+MATCH(L21,OFFSET('[1]DATA INPUT'!$T$1,K20,0,100000),0),"")</f>
        <v/>
      </c>
      <c r="L21" s="119" t="str">
        <f>IF(COUNTIF($L$16:L20,#REF!)&lt;$N$2,#REF!,"")</f>
        <v/>
      </c>
      <c r="M21" s="120" t="e">
        <f>IF(#REF!="","",VLOOKUP(#REF!,'[1]DATA INPUT'!$A:$AP,COLUMN('[1]DATA INPUT'!G:G),FALSE))</f>
        <v>#REF!</v>
      </c>
      <c r="N21" s="121" t="e">
        <f>IF(#REF!="","",ROUND(VLOOKUP(#REF!,'[1]DATA INPUT'!$A:$AP,COLUMN('[1]DATA INPUT'!H:H),FALSE),2))</f>
        <v>#REF!</v>
      </c>
      <c r="O21" s="122" t="e">
        <f>IF(#REF!="","",VLOOKUP(#REF!,'[1]DATA INPUT'!$A:$AP,COLUMN('[1]DATA INPUT'!I:I),FALSE))</f>
        <v>#REF!</v>
      </c>
    </row>
    <row r="22" spans="1:26" s="123" customFormat="1" ht="38.1" customHeight="1">
      <c r="A22" s="109" t="e">
        <f>IF(#REF!="","",A21+1)</f>
        <v>#REF!</v>
      </c>
      <c r="B22" s="110" t="e">
        <f>IF(#REF!="","",VLOOKUP(#REF!,'[1]DATA INPUT'!$A:$AP,COLUMN('[1]DATA INPUT'!B:B),FALSE))</f>
        <v>#REF!</v>
      </c>
      <c r="C22" s="111" t="e">
        <f>IF(#REF!="","",VLOOKUP(#REF!,'[1]DATA INPUT'!$A:$AP,COLUMN('[1]DATA INPUT'!C:C),FALSE))</f>
        <v>#REF!</v>
      </c>
      <c r="D22" s="112" t="e">
        <f>IF(#REF!="","",IF(LEFT(VLOOKUP(#REF!,'[1]DATA INPUT'!$A:$AP,COLUMN('[1]DATA INPUT'!E:E),FALSE),1)&lt;&gt;"",VLOOKUP(#REF!,'[1]DATA INPUT'!$A:$AP,COLUMN('[1]DATA INPUT'!E:E),FALSE),"N/A"))</f>
        <v>#REF!</v>
      </c>
      <c r="E22" s="113" t="e">
        <f>IF(#REF!="","",VLOOKUP(#REF!,'[1]DATA INPUT'!$A:$AP,COLUMN('[1]DATA INPUT'!Q:Q),FALSE))</f>
        <v>#REF!</v>
      </c>
      <c r="F22" s="114" t="e">
        <f>IF(#REF!="","",VLOOKUP(#REF!,'[1]DATA INPUT'!$A:$AP,COLUMN('[1]DATA INPUT'!K:K),FALSE))</f>
        <v>#REF!</v>
      </c>
      <c r="G22" s="114" t="str">
        <f t="shared" ca="1" si="0"/>
        <v/>
      </c>
      <c r="H22" s="116" t="e">
        <f>IF(#REF!="","",VLOOKUP(#REF!,'[1]DATA INPUT'!$A:$AP,COLUMN('[1]DATA INPUT'!F:F),FALSE))</f>
        <v>#REF!</v>
      </c>
      <c r="I22" s="116" t="e">
        <f>IF(#REF!="","",VLOOKUP(#REF!,'[1]DATA INPUT'!$A:$AP,COLUMN('[1]DATA INPUT'!L:L),FALSE))</f>
        <v>#REF!</v>
      </c>
      <c r="J22" s="117" t="e">
        <f>IF(#REF!="","",VLOOKUP(#REF!,'[1]DATA INPUT'!$A:$AP,COLUMN('[1]DATA INPUT'!P:P),FALSE))</f>
        <v>#REF!</v>
      </c>
      <c r="K22" s="118" t="str">
        <f ca="1">IFERROR(K21+MATCH(L22,OFFSET('[1]DATA INPUT'!$T$1,K21,0,100000),0),"")</f>
        <v/>
      </c>
      <c r="L22" s="119" t="str">
        <f>IF(COUNTIF($L$16:L21,#REF!)&lt;$N$2,#REF!,"")</f>
        <v/>
      </c>
      <c r="M22" s="120" t="e">
        <f>IF(#REF!="","",VLOOKUP(#REF!,'[1]DATA INPUT'!$A:$AP,COLUMN('[1]DATA INPUT'!G:G),FALSE))</f>
        <v>#REF!</v>
      </c>
      <c r="N22" s="121" t="e">
        <f>IF(#REF!="","",ROUND(VLOOKUP(#REF!,'[1]DATA INPUT'!$A:$AP,COLUMN('[1]DATA INPUT'!H:H),FALSE),2))</f>
        <v>#REF!</v>
      </c>
      <c r="O22" s="122" t="e">
        <f>IF(#REF!="","",VLOOKUP(#REF!,'[1]DATA INPUT'!$A:$AP,COLUMN('[1]DATA INPUT'!I:I),FALSE))</f>
        <v>#REF!</v>
      </c>
    </row>
    <row r="23" spans="1:26" s="123" customFormat="1" ht="38.1" customHeight="1">
      <c r="A23" s="109" t="e">
        <f>IF(#REF!="","",A22+1)</f>
        <v>#REF!</v>
      </c>
      <c r="B23" s="110" t="e">
        <f>IF(#REF!="","",VLOOKUP(#REF!,'[1]DATA INPUT'!$A:$AP,COLUMN('[1]DATA INPUT'!B:B),FALSE))</f>
        <v>#REF!</v>
      </c>
      <c r="C23" s="111" t="e">
        <f>IF(#REF!="","",VLOOKUP(#REF!,'[1]DATA INPUT'!$A:$AP,COLUMN('[1]DATA INPUT'!C:C),FALSE))</f>
        <v>#REF!</v>
      </c>
      <c r="D23" s="112" t="e">
        <f>IF(#REF!="","",IF(LEFT(VLOOKUP(#REF!,'[1]DATA INPUT'!$A:$AP,COLUMN('[1]DATA INPUT'!E:E),FALSE),1)&lt;&gt;"",VLOOKUP(#REF!,'[1]DATA INPUT'!$A:$AP,COLUMN('[1]DATA INPUT'!E:E),FALSE),"N/A"))</f>
        <v>#REF!</v>
      </c>
      <c r="E23" s="113" t="e">
        <f>IF(#REF!="","",VLOOKUP(#REF!,'[1]DATA INPUT'!$A:$AP,COLUMN('[1]DATA INPUT'!Q:Q),FALSE))</f>
        <v>#REF!</v>
      </c>
      <c r="F23" s="114" t="e">
        <f>IF(#REF!="","",VLOOKUP(#REF!,'[1]DATA INPUT'!$A:$AP,COLUMN('[1]DATA INPUT'!K:K),FALSE))</f>
        <v>#REF!</v>
      </c>
      <c r="G23" s="114" t="str">
        <f t="shared" ca="1" si="0"/>
        <v/>
      </c>
      <c r="H23" s="116" t="e">
        <f>IF(#REF!="","",VLOOKUP(#REF!,'[1]DATA INPUT'!$A:$AP,COLUMN('[1]DATA INPUT'!F:F),FALSE))</f>
        <v>#REF!</v>
      </c>
      <c r="I23" s="116" t="e">
        <f>IF(#REF!="","",VLOOKUP(#REF!,'[1]DATA INPUT'!$A:$AP,COLUMN('[1]DATA INPUT'!L:L),FALSE))</f>
        <v>#REF!</v>
      </c>
      <c r="J23" s="117" t="e">
        <f>IF(#REF!="","",VLOOKUP(#REF!,'[1]DATA INPUT'!$A:$AP,COLUMN('[1]DATA INPUT'!P:P),FALSE))</f>
        <v>#REF!</v>
      </c>
      <c r="K23" s="118" t="str">
        <f ca="1">IFERROR(K22+MATCH(L23,OFFSET('[1]DATA INPUT'!$T$1,K22,0,100000),0),"")</f>
        <v/>
      </c>
      <c r="L23" s="119" t="str">
        <f>IF(COUNTIF($L$16:L22,#REF!)&lt;$N$2,#REF!,"")</f>
        <v/>
      </c>
      <c r="M23" s="120" t="e">
        <f>IF(#REF!="","",VLOOKUP(#REF!,'[1]DATA INPUT'!$A:$AP,COLUMN('[1]DATA INPUT'!G:G),FALSE))</f>
        <v>#REF!</v>
      </c>
      <c r="N23" s="121" t="e">
        <f>IF(#REF!="","",ROUND(VLOOKUP(#REF!,'[1]DATA INPUT'!$A:$AP,COLUMN('[1]DATA INPUT'!H:H),FALSE),2))</f>
        <v>#REF!</v>
      </c>
      <c r="O23" s="122" t="e">
        <f>IF(#REF!="","",VLOOKUP(#REF!,'[1]DATA INPUT'!$A:$AP,COLUMN('[1]DATA INPUT'!I:I),FALSE))</f>
        <v>#REF!</v>
      </c>
      <c r="U23" s="123" t="s">
        <v>46</v>
      </c>
    </row>
    <row r="24" spans="1:26" s="123" customFormat="1" ht="38.1" customHeight="1">
      <c r="A24" s="109" t="e">
        <f>IF(#REF!="","",A23+1)</f>
        <v>#REF!</v>
      </c>
      <c r="B24" s="110" t="e">
        <f>IF(#REF!="","",VLOOKUP(#REF!,'[1]DATA INPUT'!$A:$AP,COLUMN('[1]DATA INPUT'!B:B),FALSE))</f>
        <v>#REF!</v>
      </c>
      <c r="C24" s="111" t="e">
        <f>IF(#REF!="","",VLOOKUP(#REF!,'[1]DATA INPUT'!$A:$AP,COLUMN('[1]DATA INPUT'!C:C),FALSE))</f>
        <v>#REF!</v>
      </c>
      <c r="D24" s="112" t="e">
        <f>IF(#REF!="","",IF(LEFT(VLOOKUP(#REF!,'[1]DATA INPUT'!$A:$AP,COLUMN('[1]DATA INPUT'!E:E),FALSE),1)&lt;&gt;"",VLOOKUP(#REF!,'[1]DATA INPUT'!$A:$AP,COLUMN('[1]DATA INPUT'!E:E),FALSE),"N/A"))</f>
        <v>#REF!</v>
      </c>
      <c r="E24" s="113" t="e">
        <f>IF(#REF!="","",VLOOKUP(#REF!,'[1]DATA INPUT'!$A:$AP,COLUMN('[1]DATA INPUT'!Q:Q),FALSE))</f>
        <v>#REF!</v>
      </c>
      <c r="F24" s="114" t="e">
        <f>IF(#REF!="","",VLOOKUP(#REF!,'[1]DATA INPUT'!$A:$AP,COLUMN('[1]DATA INPUT'!K:K),FALSE))</f>
        <v>#REF!</v>
      </c>
      <c r="G24" s="114" t="str">
        <f t="shared" ca="1" si="0"/>
        <v/>
      </c>
      <c r="H24" s="116" t="e">
        <f>IF(#REF!="","",VLOOKUP(#REF!,'[1]DATA INPUT'!$A:$AP,COLUMN('[1]DATA INPUT'!F:F),FALSE))</f>
        <v>#REF!</v>
      </c>
      <c r="I24" s="116" t="e">
        <f>IF(#REF!="","",VLOOKUP(#REF!,'[1]DATA INPUT'!$A:$AP,COLUMN('[1]DATA INPUT'!L:L),FALSE))</f>
        <v>#REF!</v>
      </c>
      <c r="J24" s="127" t="e">
        <f>IF(#REF!="","",VLOOKUP(#REF!,'[1]DATA INPUT'!$A:$AP,COLUMN('[1]DATA INPUT'!P:P),FALSE))</f>
        <v>#REF!</v>
      </c>
      <c r="K24" s="118" t="str">
        <f ca="1">IFERROR(K23+MATCH(L24,OFFSET('[1]DATA INPUT'!$T$1,K23,0,100000),0),"")</f>
        <v/>
      </c>
      <c r="L24" s="119" t="str">
        <f>IF(COUNTIF($L$16:L23,#REF!)&lt;$N$2,#REF!,"")</f>
        <v/>
      </c>
      <c r="M24" s="120" t="e">
        <f>IF(#REF!="","",VLOOKUP(#REF!,'[1]DATA INPUT'!$A:$AP,COLUMN('[1]DATA INPUT'!G:G),FALSE))</f>
        <v>#REF!</v>
      </c>
      <c r="N24" s="121" t="e">
        <f>IF(#REF!="","",ROUND(VLOOKUP(#REF!,'[1]DATA INPUT'!$A:$AP,COLUMN('[1]DATA INPUT'!H:H),FALSE),2))</f>
        <v>#REF!</v>
      </c>
      <c r="O24" s="122" t="e">
        <f>IF(#REF!="","",VLOOKUP(#REF!,'[1]DATA INPUT'!$A:$AP,COLUMN('[1]DATA INPUT'!I:I),FALSE))</f>
        <v>#REF!</v>
      </c>
    </row>
    <row r="25" spans="1:26" s="123" customFormat="1" ht="38.1" customHeight="1">
      <c r="A25" s="109" t="e">
        <f>IF(#REF!="","",A24+1)</f>
        <v>#REF!</v>
      </c>
      <c r="B25" s="110" t="e">
        <f>IF(#REF!="","",VLOOKUP(#REF!,'[1]DATA INPUT'!$A:$AP,COLUMN('[1]DATA INPUT'!B:B),FALSE))</f>
        <v>#REF!</v>
      </c>
      <c r="C25" s="111" t="e">
        <f>IF(#REF!="","",VLOOKUP(#REF!,'[1]DATA INPUT'!$A:$AP,COLUMN('[1]DATA INPUT'!C:C),FALSE))</f>
        <v>#REF!</v>
      </c>
      <c r="D25" s="112" t="e">
        <f>IF(#REF!="","",IF(LEFT(VLOOKUP(#REF!,'[1]DATA INPUT'!$A:$AP,COLUMN('[1]DATA INPUT'!E:E),FALSE),1)&lt;&gt;"",VLOOKUP(#REF!,'[1]DATA INPUT'!$A:$AP,COLUMN('[1]DATA INPUT'!E:E),FALSE),"N/A"))</f>
        <v>#REF!</v>
      </c>
      <c r="E25" s="113" t="e">
        <f>IF(#REF!="","",VLOOKUP(#REF!,'[1]DATA INPUT'!$A:$AP,COLUMN('[1]DATA INPUT'!Q:Q),FALSE))</f>
        <v>#REF!</v>
      </c>
      <c r="F25" s="114" t="e">
        <f>IF(#REF!="","",VLOOKUP(#REF!,'[1]DATA INPUT'!$A:$AP,COLUMN('[1]DATA INPUT'!K:K),FALSE))</f>
        <v>#REF!</v>
      </c>
      <c r="G25" s="114" t="str">
        <f t="shared" ca="1" si="0"/>
        <v/>
      </c>
      <c r="H25" s="116" t="e">
        <f>IF(#REF!="","",VLOOKUP(#REF!,'[1]DATA INPUT'!$A:$AP,COLUMN('[1]DATA INPUT'!F:F),FALSE))</f>
        <v>#REF!</v>
      </c>
      <c r="I25" s="116" t="e">
        <f>IF(#REF!="","",VLOOKUP(#REF!,'[1]DATA INPUT'!$A:$AP,COLUMN('[1]DATA INPUT'!L:L),FALSE))</f>
        <v>#REF!</v>
      </c>
      <c r="J25" s="127" t="e">
        <f>IF(#REF!="","",VLOOKUP(#REF!,'[1]DATA INPUT'!$A:$AP,COLUMN('[1]DATA INPUT'!P:P),FALSE))</f>
        <v>#REF!</v>
      </c>
      <c r="K25" s="118" t="str">
        <f ca="1">IFERROR(K24+MATCH(L25,OFFSET('[1]DATA INPUT'!$T$1,K24,0,100000),0),"")</f>
        <v/>
      </c>
      <c r="L25" s="119" t="str">
        <f>IF(COUNTIF($L$16:L24,#REF!)&lt;$N$2,#REF!,"")</f>
        <v/>
      </c>
      <c r="M25" s="120" t="e">
        <f>IF(#REF!="","",VLOOKUP(#REF!,'[1]DATA INPUT'!$A:$AP,COLUMN('[1]DATA INPUT'!G:G),FALSE))</f>
        <v>#REF!</v>
      </c>
      <c r="N25" s="121" t="e">
        <f>IF(#REF!="","",ROUND(VLOOKUP(#REF!,'[1]DATA INPUT'!$A:$AP,COLUMN('[1]DATA INPUT'!H:H),FALSE),2))</f>
        <v>#REF!</v>
      </c>
      <c r="O25" s="122" t="e">
        <f>IF(#REF!="","",VLOOKUP(#REF!,'[1]DATA INPUT'!$A:$AP,COLUMN('[1]DATA INPUT'!I:I),FALSE))</f>
        <v>#REF!</v>
      </c>
    </row>
    <row r="26" spans="1:26" s="123" customFormat="1" ht="38.1" customHeight="1">
      <c r="A26" s="109" t="e">
        <f>IF(#REF!="","",A25+1)</f>
        <v>#REF!</v>
      </c>
      <c r="B26" s="110" t="e">
        <f>IF(#REF!="","",VLOOKUP(#REF!,'[1]DATA INPUT'!$A:$AP,COLUMN('[1]DATA INPUT'!B:B),FALSE))</f>
        <v>#REF!</v>
      </c>
      <c r="C26" s="111" t="e">
        <f>IF(#REF!="","",VLOOKUP(#REF!,'[1]DATA INPUT'!$A:$AP,COLUMN('[1]DATA INPUT'!C:C),FALSE))</f>
        <v>#REF!</v>
      </c>
      <c r="D26" s="112" t="e">
        <f>IF(#REF!="","",IF(LEFT(VLOOKUP(#REF!,'[1]DATA INPUT'!$A:$AP,COLUMN('[1]DATA INPUT'!E:E),FALSE),1)&lt;&gt;"",VLOOKUP(#REF!,'[1]DATA INPUT'!$A:$AP,COLUMN('[1]DATA INPUT'!E:E),FALSE),"N/A"))</f>
        <v>#REF!</v>
      </c>
      <c r="E26" s="113" t="e">
        <f>IF(#REF!="","",VLOOKUP(#REF!,'[1]DATA INPUT'!$A:$AP,COLUMN('[1]DATA INPUT'!Q:Q),FALSE))</f>
        <v>#REF!</v>
      </c>
      <c r="F26" s="114" t="e">
        <f>IF(#REF!="","",VLOOKUP(#REF!,'[1]DATA INPUT'!$A:$AP,COLUMN('[1]DATA INPUT'!K:K),FALSE))</f>
        <v>#REF!</v>
      </c>
      <c r="G26" s="114" t="str">
        <f t="shared" ca="1" si="0"/>
        <v/>
      </c>
      <c r="H26" s="116" t="e">
        <f>IF(#REF!="","",VLOOKUP(#REF!,'[1]DATA INPUT'!$A:$AP,COLUMN('[1]DATA INPUT'!F:F),FALSE))</f>
        <v>#REF!</v>
      </c>
      <c r="I26" s="116" t="e">
        <f>IF(#REF!="","",VLOOKUP(#REF!,'[1]DATA INPUT'!$A:$AP,COLUMN('[1]DATA INPUT'!L:L),FALSE))</f>
        <v>#REF!</v>
      </c>
      <c r="J26" s="117" t="e">
        <f>IF(#REF!="","",VLOOKUP(#REF!,'[1]DATA INPUT'!$A:$AP,COLUMN('[1]DATA INPUT'!P:P),FALSE))</f>
        <v>#REF!</v>
      </c>
      <c r="K26" s="118" t="str">
        <f ca="1">IFERROR(K25+MATCH(L26,OFFSET('[1]DATA INPUT'!$T$1,K25,0,100000),0),"")</f>
        <v/>
      </c>
      <c r="L26" s="119" t="str">
        <f>IF(COUNTIF($L$16:L25,#REF!)&lt;$N$2,#REF!,"")</f>
        <v/>
      </c>
      <c r="M26" s="120" t="e">
        <f>IF(#REF!="","",VLOOKUP(#REF!,'[1]DATA INPUT'!$A:$AP,COLUMN('[1]DATA INPUT'!G:G),FALSE))</f>
        <v>#REF!</v>
      </c>
      <c r="N26" s="121" t="e">
        <f>IF(#REF!="","",ROUND(VLOOKUP(#REF!,'[1]DATA INPUT'!$A:$AP,COLUMN('[1]DATA INPUT'!H:H),FALSE),2))</f>
        <v>#REF!</v>
      </c>
      <c r="O26" s="122" t="e">
        <f>IF(#REF!="","",VLOOKUP(#REF!,'[1]DATA INPUT'!$A:$AP,COLUMN('[1]DATA INPUT'!I:I),FALSE))</f>
        <v>#REF!</v>
      </c>
      <c r="R26" s="2" t="s">
        <v>47</v>
      </c>
    </row>
    <row r="27" spans="1:26" s="123" customFormat="1" ht="38.1" customHeight="1">
      <c r="A27" s="109" t="e">
        <f>IF(#REF!="","",A26+1)</f>
        <v>#REF!</v>
      </c>
      <c r="B27" s="110" t="e">
        <f>IF(#REF!="","",VLOOKUP(#REF!,'[1]DATA INPUT'!$A:$AP,COLUMN('[1]DATA INPUT'!B:B),FALSE))</f>
        <v>#REF!</v>
      </c>
      <c r="C27" s="111" t="e">
        <f>IF(#REF!="","",VLOOKUP(#REF!,'[1]DATA INPUT'!$A:$AP,COLUMN('[1]DATA INPUT'!C:C),FALSE))</f>
        <v>#REF!</v>
      </c>
      <c r="D27" s="112" t="e">
        <f>IF(#REF!="","",IF(LEFT(VLOOKUP(#REF!,'[1]DATA INPUT'!$A:$AP,COLUMN('[1]DATA INPUT'!E:E),FALSE),1)&lt;&gt;"",VLOOKUP(#REF!,'[1]DATA INPUT'!$A:$AP,COLUMN('[1]DATA INPUT'!E:E),FALSE),"N/A"))</f>
        <v>#REF!</v>
      </c>
      <c r="E27" s="113" t="e">
        <f>IF(#REF!="","",VLOOKUP(#REF!,'[1]DATA INPUT'!$A:$AP,COLUMN('[1]DATA INPUT'!Q:Q),FALSE))</f>
        <v>#REF!</v>
      </c>
      <c r="F27" s="114" t="e">
        <f>IF(#REF!="","",VLOOKUP(#REF!,'[1]DATA INPUT'!$A:$AP,COLUMN('[1]DATA INPUT'!K:K),FALSE))</f>
        <v>#REF!</v>
      </c>
      <c r="G27" s="114" t="str">
        <f t="shared" ca="1" si="0"/>
        <v/>
      </c>
      <c r="H27" s="116" t="e">
        <f>IF(#REF!="","",VLOOKUP(#REF!,'[1]DATA INPUT'!$A:$AP,COLUMN('[1]DATA INPUT'!F:F),FALSE))</f>
        <v>#REF!</v>
      </c>
      <c r="I27" s="116" t="e">
        <f>IF(#REF!="","",VLOOKUP(#REF!,'[1]DATA INPUT'!$A:$AP,COLUMN('[1]DATA INPUT'!L:L),FALSE))</f>
        <v>#REF!</v>
      </c>
      <c r="J27" s="117" t="e">
        <f>IF(#REF!="","",VLOOKUP(#REF!,'[1]DATA INPUT'!$A:$AP,COLUMN('[1]DATA INPUT'!P:P),FALSE))</f>
        <v>#REF!</v>
      </c>
      <c r="K27" s="118" t="str">
        <f ca="1">IFERROR(K26+MATCH(L27,OFFSET('[1]DATA INPUT'!$T$1,K26,0,100000),0),"")</f>
        <v/>
      </c>
      <c r="L27" s="119" t="str">
        <f>IF(COUNTIF($L$16:L26,#REF!)&lt;$N$2,#REF!,"")</f>
        <v/>
      </c>
      <c r="M27" s="120" t="e">
        <f>IF(#REF!="","",VLOOKUP(#REF!,'[1]DATA INPUT'!$A:$AP,COLUMN('[1]DATA INPUT'!G:G),FALSE))</f>
        <v>#REF!</v>
      </c>
      <c r="N27" s="121" t="e">
        <f>IF(#REF!="","",ROUND(VLOOKUP(#REF!,'[1]DATA INPUT'!$A:$AP,COLUMN('[1]DATA INPUT'!H:H),FALSE),2))</f>
        <v>#REF!</v>
      </c>
      <c r="O27" s="122" t="e">
        <f>IF(#REF!="","",VLOOKUP(#REF!,'[1]DATA INPUT'!$A:$AP,COLUMN('[1]DATA INPUT'!I:I),FALSE))</f>
        <v>#REF!</v>
      </c>
      <c r="R27" s="2" t="s">
        <v>48</v>
      </c>
    </row>
    <row r="28" spans="1:26" s="123" customFormat="1" ht="38.1" customHeight="1">
      <c r="A28" s="109" t="e">
        <f>IF(#REF!="","",A27+1)</f>
        <v>#REF!</v>
      </c>
      <c r="B28" s="110" t="e">
        <f>IF(#REF!="","",VLOOKUP(#REF!,'[1]DATA INPUT'!$A:$AP,COLUMN('[1]DATA INPUT'!B:B),FALSE))</f>
        <v>#REF!</v>
      </c>
      <c r="C28" s="111" t="e">
        <f>IF(#REF!="","",VLOOKUP(#REF!,'[1]DATA INPUT'!$A:$AP,COLUMN('[1]DATA INPUT'!C:C),FALSE))</f>
        <v>#REF!</v>
      </c>
      <c r="D28" s="112" t="e">
        <f>IF(#REF!="","",IF(LEFT(VLOOKUP(#REF!,'[1]DATA INPUT'!$A:$AP,COLUMN('[1]DATA INPUT'!E:E),FALSE),1)&lt;&gt;"",VLOOKUP(#REF!,'[1]DATA INPUT'!$A:$AP,COLUMN('[1]DATA INPUT'!E:E),FALSE),"N/A"))</f>
        <v>#REF!</v>
      </c>
      <c r="E28" s="113" t="e">
        <f>IF(#REF!="","",VLOOKUP(#REF!,'[1]DATA INPUT'!$A:$AP,COLUMN('[1]DATA INPUT'!Q:Q),FALSE))</f>
        <v>#REF!</v>
      </c>
      <c r="F28" s="114" t="e">
        <f>IF(#REF!="","",VLOOKUP(#REF!,'[1]DATA INPUT'!$A:$AP,COLUMN('[1]DATA INPUT'!K:K),FALSE))</f>
        <v>#REF!</v>
      </c>
      <c r="G28" s="114" t="str">
        <f t="shared" ca="1" si="0"/>
        <v/>
      </c>
      <c r="H28" s="116" t="e">
        <f>IF(#REF!="","",VLOOKUP(#REF!,'[1]DATA INPUT'!$A:$AP,COLUMN('[1]DATA INPUT'!F:F),FALSE))</f>
        <v>#REF!</v>
      </c>
      <c r="I28" s="116" t="e">
        <f>IF(#REF!="","",VLOOKUP(#REF!,'[1]DATA INPUT'!$A:$AP,COLUMN('[1]DATA INPUT'!L:L),FALSE))</f>
        <v>#REF!</v>
      </c>
      <c r="J28" s="117" t="e">
        <f>IF(#REF!="","",VLOOKUP(#REF!,'[1]DATA INPUT'!$A:$AP,COLUMN('[1]DATA INPUT'!P:P),FALSE))</f>
        <v>#REF!</v>
      </c>
      <c r="K28" s="118" t="str">
        <f ca="1">IFERROR(K27+MATCH(L28,OFFSET('[1]DATA INPUT'!$T$1,K27,0,100000),0),"")</f>
        <v/>
      </c>
      <c r="L28" s="119" t="str">
        <f>IF(COUNTIF($L$16:L27,#REF!)&lt;$N$2,#REF!,"")</f>
        <v/>
      </c>
      <c r="M28" s="120" t="e">
        <f>IF(#REF!="","",VLOOKUP(#REF!,'[1]DATA INPUT'!$A:$AP,COLUMN('[1]DATA INPUT'!G:G),FALSE))</f>
        <v>#REF!</v>
      </c>
      <c r="N28" s="121" t="e">
        <f>IF(#REF!="","",ROUND(VLOOKUP(#REF!,'[1]DATA INPUT'!$A:$AP,COLUMN('[1]DATA INPUT'!H:H),FALSE),2))</f>
        <v>#REF!</v>
      </c>
      <c r="O28" s="122" t="e">
        <f>IF(#REF!="","",VLOOKUP(#REF!,'[1]DATA INPUT'!$A:$AP,COLUMN('[1]DATA INPUT'!I:I),FALSE))</f>
        <v>#REF!</v>
      </c>
      <c r="R28" s="2" t="s">
        <v>49</v>
      </c>
    </row>
    <row r="29" spans="1:26" s="123" customFormat="1" ht="38.1" customHeight="1">
      <c r="A29" s="109" t="e">
        <f>IF(#REF!="","",A28+1)</f>
        <v>#REF!</v>
      </c>
      <c r="B29" s="110" t="e">
        <f>IF(#REF!="","",VLOOKUP(#REF!,'[1]DATA INPUT'!$A:$AP,COLUMN('[1]DATA INPUT'!B:B),FALSE))</f>
        <v>#REF!</v>
      </c>
      <c r="C29" s="111" t="e">
        <f>IF(#REF!="","",VLOOKUP(#REF!,'[1]DATA INPUT'!$A:$AP,COLUMN('[1]DATA INPUT'!C:C),FALSE))</f>
        <v>#REF!</v>
      </c>
      <c r="D29" s="112" t="e">
        <f>IF(#REF!="","",IF(LEFT(VLOOKUP(#REF!,'[1]DATA INPUT'!$A:$AP,COLUMN('[1]DATA INPUT'!E:E),FALSE),1)&lt;&gt;"",VLOOKUP(#REF!,'[1]DATA INPUT'!$A:$AP,COLUMN('[1]DATA INPUT'!E:E),FALSE),"N/A"))</f>
        <v>#REF!</v>
      </c>
      <c r="E29" s="113" t="e">
        <f>IF(#REF!="","",VLOOKUP(#REF!,'[1]DATA INPUT'!$A:$AP,COLUMN('[1]DATA INPUT'!Q:Q),FALSE))</f>
        <v>#REF!</v>
      </c>
      <c r="F29" s="114" t="e">
        <f>IF(#REF!="","",VLOOKUP(#REF!,'[1]DATA INPUT'!$A:$AP,COLUMN('[1]DATA INPUT'!K:K),FALSE))</f>
        <v>#REF!</v>
      </c>
      <c r="G29" s="114" t="str">
        <f t="shared" ca="1" si="0"/>
        <v/>
      </c>
      <c r="H29" s="116" t="e">
        <f>IF(#REF!="","",VLOOKUP(#REF!,'[1]DATA INPUT'!$A:$AP,COLUMN('[1]DATA INPUT'!F:F),FALSE))</f>
        <v>#REF!</v>
      </c>
      <c r="I29" s="116" t="e">
        <f>IF(#REF!="","",VLOOKUP(#REF!,'[1]DATA INPUT'!$A:$AP,COLUMN('[1]DATA INPUT'!L:L),FALSE))</f>
        <v>#REF!</v>
      </c>
      <c r="J29" s="117" t="e">
        <f>IF(#REF!="","",VLOOKUP(#REF!,'[1]DATA INPUT'!$A:$AP,COLUMN('[1]DATA INPUT'!P:P),FALSE))</f>
        <v>#REF!</v>
      </c>
      <c r="K29" s="118" t="str">
        <f ca="1">IFERROR(K28+MATCH(L29,OFFSET('[1]DATA INPUT'!$T$1,K28,0,100000),0),"")</f>
        <v/>
      </c>
      <c r="L29" s="119" t="str">
        <f>IF(COUNTIF($L$16:L28,#REF!)&lt;$N$2,#REF!,"")</f>
        <v/>
      </c>
      <c r="M29" s="120" t="e">
        <f>IF(#REF!="","",VLOOKUP(#REF!,'[1]DATA INPUT'!$A:$AP,COLUMN('[1]DATA INPUT'!G:G),FALSE))</f>
        <v>#REF!</v>
      </c>
      <c r="N29" s="121" t="e">
        <f>IF(#REF!="","",ROUND(VLOOKUP(#REF!,'[1]DATA INPUT'!$A:$AP,COLUMN('[1]DATA INPUT'!H:H),FALSE),2))</f>
        <v>#REF!</v>
      </c>
      <c r="O29" s="122" t="e">
        <f>IF(#REF!="","",VLOOKUP(#REF!,'[1]DATA INPUT'!$A:$AP,COLUMN('[1]DATA INPUT'!I:I),FALSE))</f>
        <v>#REF!</v>
      </c>
    </row>
    <row r="30" spans="1:26" s="123" customFormat="1" ht="38.1" customHeight="1">
      <c r="A30" s="109" t="e">
        <f>IF(#REF!="","",A29+1)</f>
        <v>#REF!</v>
      </c>
      <c r="B30" s="110" t="e">
        <f>IF(#REF!="","",VLOOKUP(#REF!,'[1]DATA INPUT'!$A:$AP,COLUMN('[1]DATA INPUT'!B:B),FALSE))</f>
        <v>#REF!</v>
      </c>
      <c r="C30" s="111" t="e">
        <f>IF(#REF!="","",VLOOKUP(#REF!,'[1]DATA INPUT'!$A:$AP,COLUMN('[1]DATA INPUT'!C:C),FALSE))</f>
        <v>#REF!</v>
      </c>
      <c r="D30" s="112" t="e">
        <f>IF(#REF!="","",IF(LEFT(VLOOKUP(#REF!,'[1]DATA INPUT'!$A:$AP,COLUMN('[1]DATA INPUT'!E:E),FALSE),1)&lt;&gt;"",VLOOKUP(#REF!,'[1]DATA INPUT'!$A:$AP,COLUMN('[1]DATA INPUT'!E:E),FALSE),"N/A"))</f>
        <v>#REF!</v>
      </c>
      <c r="E30" s="113" t="e">
        <f>IF(#REF!="","",VLOOKUP(#REF!,'[1]DATA INPUT'!$A:$AP,COLUMN('[1]DATA INPUT'!Q:Q),FALSE))</f>
        <v>#REF!</v>
      </c>
      <c r="F30" s="114" t="e">
        <f>IF(#REF!="","",VLOOKUP(#REF!,'[1]DATA INPUT'!$A:$AP,COLUMN('[1]DATA INPUT'!K:K),FALSE))</f>
        <v>#REF!</v>
      </c>
      <c r="G30" s="114" t="str">
        <f t="shared" ca="1" si="0"/>
        <v/>
      </c>
      <c r="H30" s="116" t="e">
        <f>IF(#REF!="","",VLOOKUP(#REF!,'[1]DATA INPUT'!$A:$AP,COLUMN('[1]DATA INPUT'!F:F),FALSE))</f>
        <v>#REF!</v>
      </c>
      <c r="I30" s="116" t="e">
        <f>IF(#REF!="","",VLOOKUP(#REF!,'[1]DATA INPUT'!$A:$AP,COLUMN('[1]DATA INPUT'!L:L),FALSE))</f>
        <v>#REF!</v>
      </c>
      <c r="J30" s="117" t="e">
        <f>IF(#REF!="","",VLOOKUP(#REF!,'[1]DATA INPUT'!$A:$AP,COLUMN('[1]DATA INPUT'!P:P),FALSE))</f>
        <v>#REF!</v>
      </c>
      <c r="K30" s="118" t="str">
        <f ca="1">IFERROR(K29+MATCH(L30,OFFSET('[1]DATA INPUT'!$T$1,K29,0,100000),0),"")</f>
        <v/>
      </c>
      <c r="L30" s="119" t="str">
        <f>IF(COUNTIF($L$16:L29,#REF!)&lt;$N$2,#REF!,"")</f>
        <v/>
      </c>
      <c r="M30" s="120" t="e">
        <f>IF(#REF!="","",VLOOKUP(#REF!,'[1]DATA INPUT'!$A:$AP,COLUMN('[1]DATA INPUT'!G:G),FALSE))</f>
        <v>#REF!</v>
      </c>
      <c r="N30" s="121" t="e">
        <f>IF(#REF!="","",ROUND(VLOOKUP(#REF!,'[1]DATA INPUT'!$A:$AP,COLUMN('[1]DATA INPUT'!H:H),FALSE),2))</f>
        <v>#REF!</v>
      </c>
      <c r="O30" s="122" t="e">
        <f>IF(#REF!="","",VLOOKUP(#REF!,'[1]DATA INPUT'!$A:$AP,COLUMN('[1]DATA INPUT'!I:I),FALSE))</f>
        <v>#REF!</v>
      </c>
    </row>
    <row r="31" spans="1:26" s="123" customFormat="1" ht="38.1" customHeight="1">
      <c r="A31" s="109" t="e">
        <f>IF(#REF!="","",A30+1)</f>
        <v>#REF!</v>
      </c>
      <c r="B31" s="110" t="e">
        <f>IF(#REF!="","",VLOOKUP(#REF!,'[1]DATA INPUT'!$A:$AP,COLUMN('[1]DATA INPUT'!B:B),FALSE))</f>
        <v>#REF!</v>
      </c>
      <c r="C31" s="111" t="e">
        <f>IF(#REF!="","",VLOOKUP(#REF!,'[1]DATA INPUT'!$A:$AP,COLUMN('[1]DATA INPUT'!C:C),FALSE))</f>
        <v>#REF!</v>
      </c>
      <c r="D31" s="112" t="e">
        <f>IF(#REF!="","",IF(LEFT(VLOOKUP(#REF!,'[1]DATA INPUT'!$A:$AP,COLUMN('[1]DATA INPUT'!E:E),FALSE),1)&lt;&gt;"",VLOOKUP(#REF!,'[1]DATA INPUT'!$A:$AP,COLUMN('[1]DATA INPUT'!E:E),FALSE),"N/A"))</f>
        <v>#REF!</v>
      </c>
      <c r="E31" s="113" t="e">
        <f>IF(#REF!="","",VLOOKUP(#REF!,'[1]DATA INPUT'!$A:$AP,COLUMN('[1]DATA INPUT'!Q:Q),FALSE))</f>
        <v>#REF!</v>
      </c>
      <c r="F31" s="114" t="e">
        <f>IF(#REF!="","",VLOOKUP(#REF!,'[1]DATA INPUT'!$A:$AP,COLUMN('[1]DATA INPUT'!K:K),FALSE))</f>
        <v>#REF!</v>
      </c>
      <c r="G31" s="114" t="str">
        <f t="shared" ca="1" si="0"/>
        <v/>
      </c>
      <c r="H31" s="116" t="e">
        <f>IF(#REF!="","",VLOOKUP(#REF!,'[1]DATA INPUT'!$A:$AP,COLUMN('[1]DATA INPUT'!F:F),FALSE))</f>
        <v>#REF!</v>
      </c>
      <c r="I31" s="116" t="e">
        <f>IF(#REF!="","",VLOOKUP(#REF!,'[1]DATA INPUT'!$A:$AP,COLUMN('[1]DATA INPUT'!L:L),FALSE))</f>
        <v>#REF!</v>
      </c>
      <c r="J31" s="117" t="e">
        <f>IF(#REF!="","",VLOOKUP(#REF!,'[1]DATA INPUT'!$A:$AP,COLUMN('[1]DATA INPUT'!P:P),FALSE))</f>
        <v>#REF!</v>
      </c>
      <c r="K31" s="118" t="str">
        <f ca="1">IFERROR(K30+MATCH(L31,OFFSET('[1]DATA INPUT'!$T$1,K30,0,100000),0),"")</f>
        <v/>
      </c>
      <c r="L31" s="119" t="str">
        <f>IF(COUNTIF($L$16:L30,#REF!)&lt;$N$2,#REF!,"")</f>
        <v/>
      </c>
      <c r="M31" s="120" t="e">
        <f>IF(#REF!="","",VLOOKUP(#REF!,'[1]DATA INPUT'!$A:$AP,COLUMN('[1]DATA INPUT'!G:G),FALSE))</f>
        <v>#REF!</v>
      </c>
      <c r="N31" s="121" t="e">
        <f>IF(#REF!="","",ROUND(VLOOKUP(#REF!,'[1]DATA INPUT'!$A:$AP,COLUMN('[1]DATA INPUT'!H:H),FALSE),2))</f>
        <v>#REF!</v>
      </c>
      <c r="O31" s="122" t="e">
        <f>IF(#REF!="","",VLOOKUP(#REF!,'[1]DATA INPUT'!$A:$AP,COLUMN('[1]DATA INPUT'!I:I),FALSE))</f>
        <v>#REF!</v>
      </c>
    </row>
    <row r="32" spans="1:26" s="123" customFormat="1" ht="38.1" customHeight="1">
      <c r="A32" s="109" t="e">
        <f>IF(#REF!="","",A31+1)</f>
        <v>#REF!</v>
      </c>
      <c r="B32" s="110" t="e">
        <f>IF(#REF!="","",VLOOKUP(#REF!,'[1]DATA INPUT'!$A:$AP,COLUMN('[1]DATA INPUT'!B:B),FALSE))</f>
        <v>#REF!</v>
      </c>
      <c r="C32" s="111" t="e">
        <f>IF(#REF!="","",VLOOKUP(#REF!,'[1]DATA INPUT'!$A:$AP,COLUMN('[1]DATA INPUT'!C:C),FALSE))</f>
        <v>#REF!</v>
      </c>
      <c r="D32" s="112" t="e">
        <f>IF(#REF!="","",IF(LEFT(VLOOKUP(#REF!,'[1]DATA INPUT'!$A:$AP,COLUMN('[1]DATA INPUT'!E:E),FALSE),1)&lt;&gt;"",VLOOKUP(#REF!,'[1]DATA INPUT'!$A:$AP,COLUMN('[1]DATA INPUT'!E:E),FALSE),"N/A"))</f>
        <v>#REF!</v>
      </c>
      <c r="E32" s="113" t="e">
        <f>IF(#REF!="","",VLOOKUP(#REF!,'[1]DATA INPUT'!$A:$AP,COLUMN('[1]DATA INPUT'!Q:Q),FALSE))</f>
        <v>#REF!</v>
      </c>
      <c r="F32" s="114" t="e">
        <f>IF(#REF!="","",VLOOKUP(#REF!,'[1]DATA INPUT'!$A:$AP,COLUMN('[1]DATA INPUT'!K:K),FALSE))</f>
        <v>#REF!</v>
      </c>
      <c r="G32" s="114" t="str">
        <f t="shared" ca="1" si="0"/>
        <v/>
      </c>
      <c r="H32" s="116" t="e">
        <f>IF(#REF!="","",VLOOKUP(#REF!,'[1]DATA INPUT'!$A:$AP,COLUMN('[1]DATA INPUT'!F:F),FALSE))</f>
        <v>#REF!</v>
      </c>
      <c r="I32" s="116" t="e">
        <f>IF(#REF!="","",VLOOKUP(#REF!,'[1]DATA INPUT'!$A:$AP,COLUMN('[1]DATA INPUT'!L:L),FALSE))</f>
        <v>#REF!</v>
      </c>
      <c r="J32" s="117" t="e">
        <f>IF(#REF!="","",VLOOKUP(#REF!,'[1]DATA INPUT'!$A:$AP,COLUMN('[1]DATA INPUT'!P:P),FALSE))</f>
        <v>#REF!</v>
      </c>
      <c r="K32" s="118" t="str">
        <f ca="1">IFERROR(K31+MATCH(L32,OFFSET('[1]DATA INPUT'!$T$1,K31,0,100000),0),"")</f>
        <v/>
      </c>
      <c r="L32" s="119" t="str">
        <f>IF(COUNTIF($L$16:L31,#REF!)&lt;$N$2,#REF!,"")</f>
        <v/>
      </c>
      <c r="M32" s="120" t="e">
        <f>IF(#REF!="","",VLOOKUP(#REF!,'[1]DATA INPUT'!$A:$AP,COLUMN('[1]DATA INPUT'!G:G),FALSE))</f>
        <v>#REF!</v>
      </c>
      <c r="N32" s="121" t="e">
        <f>IF(#REF!="","",ROUND(VLOOKUP(#REF!,'[1]DATA INPUT'!$A:$AP,COLUMN('[1]DATA INPUT'!H:H),FALSE),2))</f>
        <v>#REF!</v>
      </c>
      <c r="O32" s="122" t="e">
        <f>IF(#REF!="","",VLOOKUP(#REF!,'[1]DATA INPUT'!$A:$AP,COLUMN('[1]DATA INPUT'!I:I),FALSE))</f>
        <v>#REF!</v>
      </c>
    </row>
    <row r="33" spans="1:15" s="123" customFormat="1" ht="38.1" customHeight="1">
      <c r="A33" s="109" t="e">
        <f>IF(#REF!="","",A31+1)</f>
        <v>#REF!</v>
      </c>
      <c r="B33" s="110" t="e">
        <f>IF(#REF!="","",VLOOKUP(#REF!,'[1]DATA INPUT'!$A:$AP,COLUMN('[1]DATA INPUT'!B:B),FALSE))</f>
        <v>#REF!</v>
      </c>
      <c r="C33" s="111" t="e">
        <f>IF(#REF!="","",VLOOKUP(#REF!,'[1]DATA INPUT'!$A:$AP,COLUMN('[1]DATA INPUT'!C:C),FALSE))</f>
        <v>#REF!</v>
      </c>
      <c r="D33" s="112" t="e">
        <f>IF(#REF!="","",IF(LEFT(VLOOKUP(#REF!,'[1]DATA INPUT'!$A:$AP,COLUMN('[1]DATA INPUT'!E:E),FALSE),1)&lt;&gt;"",VLOOKUP(#REF!,'[1]DATA INPUT'!$A:$AP,COLUMN('[1]DATA INPUT'!E:E),FALSE),"N/A"))</f>
        <v>#REF!</v>
      </c>
      <c r="E33" s="113" t="e">
        <f>IF(#REF!="","",VLOOKUP(#REF!,'[1]DATA INPUT'!$A:$AP,COLUMN('[1]DATA INPUT'!Q:Q),FALSE))</f>
        <v>#REF!</v>
      </c>
      <c r="F33" s="114" t="e">
        <f>IF(#REF!="","",VLOOKUP(#REF!,'[1]DATA INPUT'!$A:$AP,COLUMN('[1]DATA INPUT'!K:K),FALSE))</f>
        <v>#REF!</v>
      </c>
      <c r="G33" s="114" t="str">
        <f t="shared" ca="1" si="0"/>
        <v/>
      </c>
      <c r="H33" s="116" t="e">
        <f>IF(#REF!="","",VLOOKUP(#REF!,'[1]DATA INPUT'!$A:$AP,COLUMN('[1]DATA INPUT'!F:F),FALSE))</f>
        <v>#REF!</v>
      </c>
      <c r="I33" s="116" t="e">
        <f>IF(#REF!="","",VLOOKUP(#REF!,'[1]DATA INPUT'!$A:$AP,COLUMN('[1]DATA INPUT'!L:L),FALSE))</f>
        <v>#REF!</v>
      </c>
      <c r="J33" s="117" t="e">
        <f>IF(#REF!="","",VLOOKUP(#REF!,'[1]DATA INPUT'!$A:$AP,COLUMN('[1]DATA INPUT'!P:P),FALSE))</f>
        <v>#REF!</v>
      </c>
      <c r="K33" s="118" t="str">
        <f ca="1">IFERROR(K31+MATCH(L33,OFFSET('[1]DATA INPUT'!$T$1,K31,0,100000),0),"")</f>
        <v/>
      </c>
      <c r="L33" s="119" t="str">
        <f>IF(COUNTIF($L$16:L31,#REF!)&lt;$N$2,#REF!,"")</f>
        <v/>
      </c>
      <c r="M33" s="120" t="e">
        <f>IF(#REF!="","",VLOOKUP(#REF!,'[1]DATA INPUT'!$A:$AP,COLUMN('[1]DATA INPUT'!G:G),FALSE))</f>
        <v>#REF!</v>
      </c>
      <c r="N33" s="121" t="e">
        <f>IF(#REF!="","",ROUND(VLOOKUP(#REF!,'[1]DATA INPUT'!$A:$AP,COLUMN('[1]DATA INPUT'!H:H),FALSE),2))</f>
        <v>#REF!</v>
      </c>
      <c r="O33" s="122" t="e">
        <f>IF(#REF!="","",VLOOKUP(#REF!,'[1]DATA INPUT'!$A:$AP,COLUMN('[1]DATA INPUT'!I:I),FALSE))</f>
        <v>#REF!</v>
      </c>
    </row>
    <row r="34" spans="1:15" s="123" customFormat="1" ht="38.1" customHeight="1">
      <c r="A34" s="109" t="e">
        <f>IF(#REF!="","",A33+1)</f>
        <v>#REF!</v>
      </c>
      <c r="B34" s="110" t="e">
        <f>IF(#REF!="","",VLOOKUP(#REF!,'[1]DATA INPUT'!$A:$AP,COLUMN('[1]DATA INPUT'!B:B),FALSE))</f>
        <v>#REF!</v>
      </c>
      <c r="C34" s="111" t="e">
        <f>IF(#REF!="","",VLOOKUP(#REF!,'[1]DATA INPUT'!$A:$AP,COLUMN('[1]DATA INPUT'!C:C),FALSE))</f>
        <v>#REF!</v>
      </c>
      <c r="D34" s="112" t="e">
        <f>IF(#REF!="","",IF(LEFT(VLOOKUP(#REF!,'[1]DATA INPUT'!$A:$AP,COLUMN('[1]DATA INPUT'!E:E),FALSE),1)&lt;&gt;"",VLOOKUP(#REF!,'[1]DATA INPUT'!$A:$AP,COLUMN('[1]DATA INPUT'!E:E),FALSE),"N/A"))</f>
        <v>#REF!</v>
      </c>
      <c r="E34" s="113" t="e">
        <f>IF(#REF!="","",VLOOKUP(#REF!,'[1]DATA INPUT'!$A:$AP,COLUMN('[1]DATA INPUT'!Q:Q),FALSE))</f>
        <v>#REF!</v>
      </c>
      <c r="F34" s="114" t="e">
        <f>IF(#REF!="","",VLOOKUP(#REF!,'[1]DATA INPUT'!$A:$AP,COLUMN('[1]DATA INPUT'!K:K),FALSE))</f>
        <v>#REF!</v>
      </c>
      <c r="G34" s="114" t="str">
        <f t="shared" ca="1" si="0"/>
        <v/>
      </c>
      <c r="H34" s="116" t="e">
        <f>IF(#REF!="","",VLOOKUP(#REF!,'[1]DATA INPUT'!$A:$AP,COLUMN('[1]DATA INPUT'!F:F),FALSE))</f>
        <v>#REF!</v>
      </c>
      <c r="I34" s="116" t="e">
        <f>IF(#REF!="","",VLOOKUP(#REF!,'[1]DATA INPUT'!$A:$AP,COLUMN('[1]DATA INPUT'!L:L),FALSE))</f>
        <v>#REF!</v>
      </c>
      <c r="J34" s="117" t="e">
        <f>IF(#REF!="","",VLOOKUP(#REF!,'[1]DATA INPUT'!$A:$AP,COLUMN('[1]DATA INPUT'!P:P),FALSE))</f>
        <v>#REF!</v>
      </c>
      <c r="K34" s="118" t="str">
        <f ca="1">IFERROR(K33+MATCH(L34,OFFSET('[1]DATA INPUT'!$T$1,K33,0,100000),0),"")</f>
        <v/>
      </c>
      <c r="L34" s="119" t="str">
        <f>IF(COUNTIF($L$16:L33,#REF!)&lt;$N$2,#REF!,"")</f>
        <v/>
      </c>
      <c r="M34" s="120" t="e">
        <f>IF(#REF!="","",VLOOKUP(#REF!,'[1]DATA INPUT'!$A:$AP,COLUMN('[1]DATA INPUT'!G:G),FALSE))</f>
        <v>#REF!</v>
      </c>
      <c r="N34" s="121" t="e">
        <f>IF(#REF!="","",ROUND(VLOOKUP(#REF!,'[1]DATA INPUT'!$A:$AP,COLUMN('[1]DATA INPUT'!H:H),FALSE),2))</f>
        <v>#REF!</v>
      </c>
      <c r="O34" s="122" t="e">
        <f>IF(#REF!="","",VLOOKUP(#REF!,'[1]DATA INPUT'!$A:$AP,COLUMN('[1]DATA INPUT'!I:I),FALSE))</f>
        <v>#REF!</v>
      </c>
    </row>
    <row r="35" spans="1:15" s="123" customFormat="1" ht="38.1" hidden="1" customHeight="1">
      <c r="A35" s="109" t="e">
        <f>IF(#REF!="","",A34+1)</f>
        <v>#REF!</v>
      </c>
      <c r="B35" s="110" t="e">
        <f>IF(#REF!="","",VLOOKUP(#REF!,'[1]DATA INPUT'!$A:$AP,COLUMN('[1]DATA INPUT'!B:B),FALSE))</f>
        <v>#REF!</v>
      </c>
      <c r="C35" s="111" t="e">
        <f>IF(#REF!="","",VLOOKUP(#REF!,'[1]DATA INPUT'!$A:$AP,COLUMN('[1]DATA INPUT'!C:C),FALSE))</f>
        <v>#REF!</v>
      </c>
      <c r="D35" s="112" t="e">
        <f>IF(#REF!="","",IF(LEFT(VLOOKUP(#REF!,'[1]DATA INPUT'!$A:$AP,COLUMN('[1]DATA INPUT'!E:E),FALSE),1)&lt;&gt;"",VLOOKUP(#REF!,'[1]DATA INPUT'!$A:$AP,COLUMN('[1]DATA INPUT'!E:E),FALSE),"N/A"))</f>
        <v>#REF!</v>
      </c>
      <c r="E35" s="113" t="e">
        <f>IF(#REF!="","",VLOOKUP(#REF!,'[1]DATA INPUT'!$A:$AP,COLUMN('[1]DATA INPUT'!Q:Q),FALSE))</f>
        <v>#REF!</v>
      </c>
      <c r="F35" s="114" t="e">
        <f>IF(#REF!="","",VLOOKUP(#REF!,'[1]DATA INPUT'!$A:$AP,COLUMN('[1]DATA INPUT'!K:K),FALSE))</f>
        <v>#REF!</v>
      </c>
      <c r="G35" s="114" t="str">
        <f t="shared" ca="1" si="0"/>
        <v/>
      </c>
      <c r="H35" s="116" t="e">
        <f>IF(#REF!="","",VLOOKUP(#REF!,'[1]DATA INPUT'!$A:$AP,COLUMN('[1]DATA INPUT'!F:F),FALSE))</f>
        <v>#REF!</v>
      </c>
      <c r="I35" s="116" t="e">
        <f>IF(#REF!="","",VLOOKUP(#REF!,'[1]DATA INPUT'!$A:$AP,COLUMN('[1]DATA INPUT'!L:L),FALSE))</f>
        <v>#REF!</v>
      </c>
      <c r="J35" s="117" t="e">
        <f>IF(#REF!="","",VLOOKUP(#REF!,'[1]DATA INPUT'!$A:$AP,COLUMN('[1]DATA INPUT'!P:P),FALSE))</f>
        <v>#REF!</v>
      </c>
      <c r="K35" s="118" t="str">
        <f ca="1">IFERROR(K34+MATCH(L35,OFFSET('[1]DATA INPUT'!$T$1,K34,0,100000),0),"")</f>
        <v/>
      </c>
      <c r="L35" s="119" t="str">
        <f>IF(COUNTIF($L$16:L34,#REF!)&lt;$N$2,#REF!,"")</f>
        <v/>
      </c>
      <c r="M35" s="120" t="e">
        <f>IF(#REF!="","",VLOOKUP(#REF!,'[1]DATA INPUT'!$A:$AP,COLUMN('[1]DATA INPUT'!G:G),FALSE))</f>
        <v>#REF!</v>
      </c>
      <c r="N35" s="121" t="e">
        <f>IF(#REF!="","",ROUND(VLOOKUP(#REF!,'[1]DATA INPUT'!$A:$AP,COLUMN('[1]DATA INPUT'!H:H),FALSE),2))</f>
        <v>#REF!</v>
      </c>
      <c r="O35" s="122" t="e">
        <f>IF(#REF!="","",VLOOKUP(#REF!,'[1]DATA INPUT'!$A:$AP,COLUMN('[1]DATA INPUT'!I:I),FALSE))</f>
        <v>#REF!</v>
      </c>
    </row>
    <row r="36" spans="1:15" s="123" customFormat="1" ht="40" hidden="1" customHeight="1">
      <c r="A36" s="109" t="e">
        <f>IF(#REF!="","",A35+1)</f>
        <v>#REF!</v>
      </c>
      <c r="B36" s="110" t="e">
        <f>IF(#REF!="","",VLOOKUP(#REF!,'[1]DATA INPUT'!$A:$AP,COLUMN('[1]DATA INPUT'!B:B),FALSE))</f>
        <v>#REF!</v>
      </c>
      <c r="C36" s="111" t="e">
        <f>IF(#REF!="","",VLOOKUP(#REF!,'[1]DATA INPUT'!$A:$AP,COLUMN('[1]DATA INPUT'!C:C),FALSE))</f>
        <v>#REF!</v>
      </c>
      <c r="D36" s="112" t="e">
        <f>IF(#REF!="","",IF(LEFT(VLOOKUP(#REF!,'[1]DATA INPUT'!$A:$AP,COLUMN('[1]DATA INPUT'!E:E),FALSE),1)&lt;&gt;"",VLOOKUP(#REF!,'[1]DATA INPUT'!$A:$AP,COLUMN('[1]DATA INPUT'!E:E),FALSE),"N/A"))</f>
        <v>#REF!</v>
      </c>
      <c r="E36" s="113" t="e">
        <f>IF(#REF!="","",VLOOKUP(#REF!,'[1]DATA INPUT'!$A:$AP,COLUMN('[1]DATA INPUT'!Q:Q),FALSE))</f>
        <v>#REF!</v>
      </c>
      <c r="F36" s="114" t="e">
        <f>IF(#REF!="","",VLOOKUP(#REF!,'[1]DATA INPUT'!$A:$AP,COLUMN('[1]DATA INPUT'!K:K),FALSE))</f>
        <v>#REF!</v>
      </c>
      <c r="G36" s="114" t="str">
        <f t="shared" ca="1" si="0"/>
        <v/>
      </c>
      <c r="H36" s="116" t="e">
        <f>IF(#REF!="","",VLOOKUP(#REF!,'[1]DATA INPUT'!$A:$AP,COLUMN('[1]DATA INPUT'!F:F),FALSE))</f>
        <v>#REF!</v>
      </c>
      <c r="I36" s="116" t="e">
        <f>IF(#REF!="","",VLOOKUP(#REF!,'[1]DATA INPUT'!$A:$AP,COLUMN('[1]DATA INPUT'!L:L),FALSE))</f>
        <v>#REF!</v>
      </c>
      <c r="J36" s="117" t="e">
        <f>IF(#REF!="","",VLOOKUP(#REF!,'[1]DATA INPUT'!$A:$AP,COLUMN('[1]DATA INPUT'!P:P),FALSE))</f>
        <v>#REF!</v>
      </c>
      <c r="K36" s="118" t="str">
        <f ca="1">IFERROR(K35+MATCH(L36,OFFSET('[1]DATA INPUT'!$T$1,K35,0,100000),0),"")</f>
        <v/>
      </c>
      <c r="L36" s="119" t="str">
        <f>IF(COUNTIF($L$16:L35,#REF!)&lt;$N$2,#REF!,"")</f>
        <v/>
      </c>
      <c r="M36" s="120" t="e">
        <f>IF(#REF!="","",VLOOKUP(#REF!,'[1]DATA INPUT'!$A:$AP,COLUMN('[1]DATA INPUT'!G:G),FALSE))</f>
        <v>#REF!</v>
      </c>
      <c r="N36" s="121" t="e">
        <f>IF(#REF!="","",ROUND(VLOOKUP(#REF!,'[1]DATA INPUT'!$A:$AP,COLUMN('[1]DATA INPUT'!H:H),FALSE),2))</f>
        <v>#REF!</v>
      </c>
      <c r="O36" s="122" t="e">
        <f>IF(#REF!="","",VLOOKUP(#REF!,'[1]DATA INPUT'!$A:$AP,COLUMN('[1]DATA INPUT'!I:I),FALSE))</f>
        <v>#REF!</v>
      </c>
    </row>
    <row r="37" spans="1:15" s="123" customFormat="1" ht="40" hidden="1" customHeight="1">
      <c r="A37" s="109" t="e">
        <f>IF(#REF!="","",A36+1)</f>
        <v>#REF!</v>
      </c>
      <c r="B37" s="110" t="e">
        <f>IF(#REF!="","",VLOOKUP(#REF!,'[1]DATA INPUT'!$A:$AP,COLUMN('[1]DATA INPUT'!B:B),FALSE))</f>
        <v>#REF!</v>
      </c>
      <c r="C37" s="111" t="e">
        <f>IF(#REF!="","",VLOOKUP(#REF!,'[1]DATA INPUT'!$A:$AP,COLUMN('[1]DATA INPUT'!C:C),FALSE))</f>
        <v>#REF!</v>
      </c>
      <c r="D37" s="112" t="e">
        <f>IF(#REF!="","",IF(LEFT(VLOOKUP(#REF!,'[1]DATA INPUT'!$A:$AP,COLUMN('[1]DATA INPUT'!E:E),FALSE),1)&lt;&gt;"",VLOOKUP(#REF!,'[1]DATA INPUT'!$A:$AP,COLUMN('[1]DATA INPUT'!E:E),FALSE),"N/A"))</f>
        <v>#REF!</v>
      </c>
      <c r="E37" s="113" t="e">
        <f>IF(#REF!="","",VLOOKUP(#REF!,'[1]DATA INPUT'!$A:$AP,COLUMN('[1]DATA INPUT'!Q:Q),FALSE))</f>
        <v>#REF!</v>
      </c>
      <c r="F37" s="114" t="e">
        <f>IF(#REF!="","",VLOOKUP(#REF!,'[1]DATA INPUT'!$A:$AP,COLUMN('[1]DATA INPUT'!K:K),FALSE))</f>
        <v>#REF!</v>
      </c>
      <c r="G37" s="114" t="str">
        <f t="shared" ca="1" si="0"/>
        <v/>
      </c>
      <c r="H37" s="116" t="e">
        <f>IF(#REF!="","",VLOOKUP(#REF!,'[1]DATA INPUT'!$A:$AP,COLUMN('[1]DATA INPUT'!F:F),FALSE))</f>
        <v>#REF!</v>
      </c>
      <c r="I37" s="116" t="e">
        <f>IF(#REF!="","",VLOOKUP(#REF!,'[1]DATA INPUT'!$A:$AP,COLUMN('[1]DATA INPUT'!L:L),FALSE))</f>
        <v>#REF!</v>
      </c>
      <c r="J37" s="117" t="e">
        <f>IF(#REF!="","",VLOOKUP(#REF!,'[1]DATA INPUT'!$A:$AP,COLUMN('[1]DATA INPUT'!P:P),FALSE))</f>
        <v>#REF!</v>
      </c>
      <c r="K37" s="118" t="str">
        <f ca="1">IFERROR(K36+MATCH(L37,OFFSET('[1]DATA INPUT'!$T$1,K36,0,100000),0),"")</f>
        <v/>
      </c>
      <c r="L37" s="119" t="str">
        <f>IF(COUNTIF($L$16:L36,#REF!)&lt;$N$2,#REF!,"")</f>
        <v/>
      </c>
      <c r="M37" s="120" t="e">
        <f>IF(#REF!="","",VLOOKUP(#REF!,'[1]DATA INPUT'!$A:$AP,COLUMN('[1]DATA INPUT'!G:G),FALSE))</f>
        <v>#REF!</v>
      </c>
      <c r="N37" s="121" t="e">
        <f>IF(#REF!="","",ROUND(VLOOKUP(#REF!,'[1]DATA INPUT'!$A:$AP,COLUMN('[1]DATA INPUT'!H:H),FALSE),2))</f>
        <v>#REF!</v>
      </c>
      <c r="O37" s="122" t="e">
        <f>IF(#REF!="","",VLOOKUP(#REF!,'[1]DATA INPUT'!$A:$AP,COLUMN('[1]DATA INPUT'!I:I),FALSE))</f>
        <v>#REF!</v>
      </c>
    </row>
    <row r="38" spans="1:15" s="123" customFormat="1" ht="40" hidden="1" customHeight="1">
      <c r="A38" s="109" t="e">
        <f>IF(#REF!="","",A37+1)</f>
        <v>#REF!</v>
      </c>
      <c r="B38" s="110" t="e">
        <f>IF(#REF!="","",VLOOKUP(#REF!,'[1]DATA INPUT'!$A:$AP,COLUMN('[1]DATA INPUT'!B:B),FALSE))</f>
        <v>#REF!</v>
      </c>
      <c r="C38" s="111" t="e">
        <f>IF(#REF!="","",VLOOKUP(#REF!,'[1]DATA INPUT'!$A:$AP,COLUMN('[1]DATA INPUT'!C:C),FALSE))</f>
        <v>#REF!</v>
      </c>
      <c r="D38" s="112" t="e">
        <f>IF(#REF!="","",IF(LEFT(VLOOKUP(#REF!,'[1]DATA INPUT'!$A:$AP,COLUMN('[1]DATA INPUT'!E:E),FALSE),1)&lt;&gt;"",VLOOKUP(#REF!,'[1]DATA INPUT'!$A:$AP,COLUMN('[1]DATA INPUT'!E:E),FALSE),"N/A"))</f>
        <v>#REF!</v>
      </c>
      <c r="E38" s="113" t="e">
        <f>IF(#REF!="","",VLOOKUP(#REF!,'[1]DATA INPUT'!$A:$AP,COLUMN('[1]DATA INPUT'!Q:Q),FALSE))</f>
        <v>#REF!</v>
      </c>
      <c r="F38" s="114" t="e">
        <f>IF(#REF!="","",VLOOKUP(#REF!,'[1]DATA INPUT'!$A:$AP,COLUMN('[1]DATA INPUT'!K:K),FALSE))</f>
        <v>#REF!</v>
      </c>
      <c r="G38" s="114" t="str">
        <f t="shared" ca="1" si="0"/>
        <v/>
      </c>
      <c r="H38" s="116" t="e">
        <f>IF(#REF!="","",VLOOKUP(#REF!,'[1]DATA INPUT'!$A:$AP,COLUMN('[1]DATA INPUT'!F:F),FALSE))</f>
        <v>#REF!</v>
      </c>
      <c r="I38" s="116" t="e">
        <f>IF(#REF!="","",VLOOKUP(#REF!,'[1]DATA INPUT'!$A:$AP,COLUMN('[1]DATA INPUT'!L:L),FALSE))</f>
        <v>#REF!</v>
      </c>
      <c r="J38" s="117" t="e">
        <f>IF(#REF!="","",VLOOKUP(#REF!,'[1]DATA INPUT'!$A:$AP,COLUMN('[1]DATA INPUT'!P:P),FALSE))</f>
        <v>#REF!</v>
      </c>
      <c r="K38" s="118" t="str">
        <f ca="1">IFERROR(K37+MATCH(L38,OFFSET('[1]DATA INPUT'!$T$1,K37,0,100000),0),"")</f>
        <v/>
      </c>
      <c r="L38" s="119" t="str">
        <f>IF(COUNTIF($L$16:L37,#REF!)&lt;$N$2,#REF!,"")</f>
        <v/>
      </c>
      <c r="M38" s="120" t="e">
        <f>IF(#REF!="","",VLOOKUP(#REF!,'[1]DATA INPUT'!$A:$AP,COLUMN('[1]DATA INPUT'!G:G),FALSE))</f>
        <v>#REF!</v>
      </c>
      <c r="N38" s="121" t="e">
        <f>IF(#REF!="","",ROUND(VLOOKUP(#REF!,'[1]DATA INPUT'!$A:$AP,COLUMN('[1]DATA INPUT'!H:H),FALSE),2))</f>
        <v>#REF!</v>
      </c>
      <c r="O38" s="122" t="e">
        <f>IF(#REF!="","",VLOOKUP(#REF!,'[1]DATA INPUT'!$A:$AP,COLUMN('[1]DATA INPUT'!I:I),FALSE))</f>
        <v>#REF!</v>
      </c>
    </row>
    <row r="39" spans="1:15" s="123" customFormat="1" ht="40" hidden="1" customHeight="1">
      <c r="A39" s="109" t="e">
        <f>IF(#REF!="","",A38+1)</f>
        <v>#REF!</v>
      </c>
      <c r="B39" s="110" t="e">
        <f>IF(#REF!="","",VLOOKUP(#REF!,'[1]DATA INPUT'!$A:$AP,COLUMN('[1]DATA INPUT'!B:B),FALSE))</f>
        <v>#REF!</v>
      </c>
      <c r="C39" s="111" t="e">
        <f>IF(#REF!="","",VLOOKUP(#REF!,'[1]DATA INPUT'!$A:$AP,COLUMN('[1]DATA INPUT'!C:C),FALSE))</f>
        <v>#REF!</v>
      </c>
      <c r="D39" s="112" t="e">
        <f>IF(#REF!="","",IF(LEFT(VLOOKUP(#REF!,'[1]DATA INPUT'!$A:$AP,COLUMN('[1]DATA INPUT'!E:E),FALSE),1)&lt;&gt;"",VLOOKUP(#REF!,'[1]DATA INPUT'!$A:$AP,COLUMN('[1]DATA INPUT'!E:E),FALSE),"N/A"))</f>
        <v>#REF!</v>
      </c>
      <c r="E39" s="113" t="e">
        <f>IF(#REF!="","",VLOOKUP(#REF!,'[1]DATA INPUT'!$A:$AP,COLUMN('[1]DATA INPUT'!Q:Q),FALSE))</f>
        <v>#REF!</v>
      </c>
      <c r="F39" s="114" t="e">
        <f>IF(#REF!="","",VLOOKUP(#REF!,'[1]DATA INPUT'!$A:$AP,COLUMN('[1]DATA INPUT'!K:K),FALSE))</f>
        <v>#REF!</v>
      </c>
      <c r="G39" s="114" t="str">
        <f t="shared" ca="1" si="0"/>
        <v/>
      </c>
      <c r="H39" s="116" t="e">
        <f>IF(#REF!="","",VLOOKUP(#REF!,'[1]DATA INPUT'!$A:$AP,COLUMN('[1]DATA INPUT'!F:F),FALSE))</f>
        <v>#REF!</v>
      </c>
      <c r="I39" s="116" t="e">
        <f>IF(#REF!="","",VLOOKUP(#REF!,'[1]DATA INPUT'!$A:$AP,COLUMN('[1]DATA INPUT'!L:L),FALSE))</f>
        <v>#REF!</v>
      </c>
      <c r="J39" s="117" t="e">
        <f>IF(#REF!="","",VLOOKUP(#REF!,'[1]DATA INPUT'!$A:$AP,COLUMN('[1]DATA INPUT'!P:P),FALSE))</f>
        <v>#REF!</v>
      </c>
      <c r="K39" s="118" t="str">
        <f ca="1">IFERROR(K38+MATCH(L39,OFFSET('[1]DATA INPUT'!$T$1,K38,0,100000),0),"")</f>
        <v/>
      </c>
      <c r="L39" s="119" t="str">
        <f>IF(COUNTIF($L$16:L38,#REF!)&lt;$N$2,#REF!,"")</f>
        <v/>
      </c>
      <c r="M39" s="120" t="e">
        <f>IF(#REF!="","",VLOOKUP(#REF!,'[1]DATA INPUT'!$A:$AP,COLUMN('[1]DATA INPUT'!G:G),FALSE))</f>
        <v>#REF!</v>
      </c>
      <c r="N39" s="121" t="e">
        <f>IF(#REF!="","",ROUND(VLOOKUP(#REF!,'[1]DATA INPUT'!$A:$AP,COLUMN('[1]DATA INPUT'!H:H),FALSE),2))</f>
        <v>#REF!</v>
      </c>
      <c r="O39" s="122" t="e">
        <f>IF(#REF!="","",VLOOKUP(#REF!,'[1]DATA INPUT'!$A:$AP,COLUMN('[1]DATA INPUT'!I:I),FALSE))</f>
        <v>#REF!</v>
      </c>
    </row>
    <row r="40" spans="1:15" s="123" customFormat="1" ht="40" hidden="1" customHeight="1">
      <c r="A40" s="109" t="e">
        <f>IF(#REF!="","",A39+1)</f>
        <v>#REF!</v>
      </c>
      <c r="B40" s="110" t="e">
        <f>IF(#REF!="","",VLOOKUP(#REF!,'[1]DATA INPUT'!$A:$AP,COLUMN('[1]DATA INPUT'!B:B),FALSE))</f>
        <v>#REF!</v>
      </c>
      <c r="C40" s="111" t="e">
        <f>IF(#REF!="","",VLOOKUP(#REF!,'[1]DATA INPUT'!$A:$AP,COLUMN('[1]DATA INPUT'!C:C),FALSE))</f>
        <v>#REF!</v>
      </c>
      <c r="D40" s="112" t="e">
        <f>IF(#REF!="","",IF(LEFT(VLOOKUP(#REF!,'[1]DATA INPUT'!$A:$AP,COLUMN('[1]DATA INPUT'!E:E),FALSE),1)&lt;&gt;"",VLOOKUP(#REF!,'[1]DATA INPUT'!$A:$AP,COLUMN('[1]DATA INPUT'!E:E),FALSE),"N/A"))</f>
        <v>#REF!</v>
      </c>
      <c r="E40" s="113" t="e">
        <f>IF(#REF!="","",VLOOKUP(#REF!,'[1]DATA INPUT'!$A:$AP,COLUMN('[1]DATA INPUT'!Q:Q),FALSE))</f>
        <v>#REF!</v>
      </c>
      <c r="F40" s="114" t="e">
        <f>IF(#REF!="","",VLOOKUP(#REF!,'[1]DATA INPUT'!$A:$AP,COLUMN('[1]DATA INPUT'!K:K),FALSE))</f>
        <v>#REF!</v>
      </c>
      <c r="G40" s="114" t="str">
        <f t="shared" ca="1" si="0"/>
        <v/>
      </c>
      <c r="H40" s="116" t="e">
        <f>IF(#REF!="","",VLOOKUP(#REF!,'[1]DATA INPUT'!$A:$AP,COLUMN('[1]DATA INPUT'!F:F),FALSE))</f>
        <v>#REF!</v>
      </c>
      <c r="I40" s="116" t="e">
        <f>IF(#REF!="","",VLOOKUP(#REF!,'[1]DATA INPUT'!$A:$AP,COLUMN('[1]DATA INPUT'!L:L),FALSE))</f>
        <v>#REF!</v>
      </c>
      <c r="J40" s="117" t="e">
        <f>IF(#REF!="","",VLOOKUP(#REF!,'[1]DATA INPUT'!$A:$AP,COLUMN('[1]DATA INPUT'!P:P),FALSE))</f>
        <v>#REF!</v>
      </c>
      <c r="K40" s="118" t="str">
        <f ca="1">IFERROR(K39+MATCH(L40,OFFSET('[1]DATA INPUT'!$T$1,K39,0,100000),0),"")</f>
        <v/>
      </c>
      <c r="L40" s="119" t="str">
        <f>IF(COUNTIF($L$16:L39,#REF!)&lt;$N$2,#REF!,"")</f>
        <v/>
      </c>
      <c r="M40" s="120" t="e">
        <f>IF(#REF!="","",VLOOKUP(#REF!,'[1]DATA INPUT'!$A:$AP,COLUMN('[1]DATA INPUT'!G:G),FALSE))</f>
        <v>#REF!</v>
      </c>
      <c r="N40" s="121" t="e">
        <f>IF(#REF!="","",ROUND(VLOOKUP(#REF!,'[1]DATA INPUT'!$A:$AP,COLUMN('[1]DATA INPUT'!H:H),FALSE),2))</f>
        <v>#REF!</v>
      </c>
      <c r="O40" s="122" t="e">
        <f>IF(#REF!="","",VLOOKUP(#REF!,'[1]DATA INPUT'!$A:$AP,COLUMN('[1]DATA INPUT'!I:I),FALSE))</f>
        <v>#REF!</v>
      </c>
    </row>
    <row r="41" spans="1:15" s="123" customFormat="1" ht="40" hidden="1" customHeight="1">
      <c r="A41" s="109" t="e">
        <f>IF(#REF!="","",A40+1)</f>
        <v>#REF!</v>
      </c>
      <c r="B41" s="110" t="e">
        <f>IF(#REF!="","",VLOOKUP(#REF!,'[1]DATA INPUT'!$A:$AP,COLUMN('[1]DATA INPUT'!B:B),FALSE))</f>
        <v>#REF!</v>
      </c>
      <c r="C41" s="111" t="e">
        <f>IF(#REF!="","",VLOOKUP(#REF!,'[1]DATA INPUT'!$A:$AP,COLUMN('[1]DATA INPUT'!C:C),FALSE))</f>
        <v>#REF!</v>
      </c>
      <c r="D41" s="112" t="e">
        <f>IF(#REF!="","",IF(LEFT(VLOOKUP(#REF!,'[1]DATA INPUT'!$A:$AP,COLUMN('[1]DATA INPUT'!E:E),FALSE),1)&lt;&gt;"",VLOOKUP(#REF!,'[1]DATA INPUT'!$A:$AP,COLUMN('[1]DATA INPUT'!E:E),FALSE),"N/A"))</f>
        <v>#REF!</v>
      </c>
      <c r="E41" s="113" t="e">
        <f>IF(#REF!="","",VLOOKUP(#REF!,'[1]DATA INPUT'!$A:$AP,COLUMN('[1]DATA INPUT'!Q:Q),FALSE))</f>
        <v>#REF!</v>
      </c>
      <c r="F41" s="114" t="e">
        <f>IF(#REF!="","",VLOOKUP(#REF!,'[1]DATA INPUT'!$A:$AP,COLUMN('[1]DATA INPUT'!K:K),FALSE))</f>
        <v>#REF!</v>
      </c>
      <c r="G41" s="114" t="str">
        <f t="shared" ca="1" si="0"/>
        <v/>
      </c>
      <c r="H41" s="116" t="e">
        <f>IF(#REF!="","",VLOOKUP(#REF!,'[1]DATA INPUT'!$A:$AP,COLUMN('[1]DATA INPUT'!F:F),FALSE))</f>
        <v>#REF!</v>
      </c>
      <c r="I41" s="116" t="e">
        <f>IF(#REF!="","",VLOOKUP(#REF!,'[1]DATA INPUT'!$A:$AP,COLUMN('[1]DATA INPUT'!L:L),FALSE))</f>
        <v>#REF!</v>
      </c>
      <c r="J41" s="117" t="e">
        <f>IF(#REF!="","",VLOOKUP(#REF!,'[1]DATA INPUT'!$A:$AP,COLUMN('[1]DATA INPUT'!P:P),FALSE))</f>
        <v>#REF!</v>
      </c>
      <c r="K41" s="118" t="str">
        <f ca="1">IFERROR(K40+MATCH(L41,OFFSET('[1]DATA INPUT'!$T$1,K40,0,100000),0),"")</f>
        <v/>
      </c>
      <c r="L41" s="119" t="str">
        <f>IF(COUNTIF($L$16:L40,#REF!)&lt;$N$2,#REF!,"")</f>
        <v/>
      </c>
      <c r="M41" s="120" t="e">
        <f>IF(#REF!="","",VLOOKUP(#REF!,'[1]DATA INPUT'!$A:$AP,COLUMN('[1]DATA INPUT'!G:G),FALSE))</f>
        <v>#REF!</v>
      </c>
      <c r="N41" s="121" t="e">
        <f>IF(#REF!="","",ROUND(VLOOKUP(#REF!,'[1]DATA INPUT'!$A:$AP,COLUMN('[1]DATA INPUT'!H:H),FALSE),2))</f>
        <v>#REF!</v>
      </c>
      <c r="O41" s="122" t="e">
        <f>IF(#REF!="","",VLOOKUP(#REF!,'[1]DATA INPUT'!$A:$AP,COLUMN('[1]DATA INPUT'!I:I),FALSE))</f>
        <v>#REF!</v>
      </c>
    </row>
    <row r="42" spans="1:15" s="123" customFormat="1" ht="40" hidden="1" customHeight="1">
      <c r="A42" s="109" t="e">
        <f>IF(#REF!="","",A41+1)</f>
        <v>#REF!</v>
      </c>
      <c r="B42" s="110" t="e">
        <f>IF(#REF!="","",VLOOKUP(#REF!,'[1]DATA INPUT'!$A:$AP,COLUMN('[1]DATA INPUT'!B:B),FALSE))</f>
        <v>#REF!</v>
      </c>
      <c r="C42" s="111" t="e">
        <f>IF(#REF!="","",VLOOKUP(#REF!,'[1]DATA INPUT'!$A:$AP,COLUMN('[1]DATA INPUT'!C:C),FALSE))</f>
        <v>#REF!</v>
      </c>
      <c r="D42" s="112" t="e">
        <f>IF(#REF!="","",IF(LEFT(VLOOKUP(#REF!,'[1]DATA INPUT'!$A:$AP,COLUMN('[1]DATA INPUT'!E:E),FALSE),1)&lt;&gt;"",VLOOKUP(#REF!,'[1]DATA INPUT'!$A:$AP,COLUMN('[1]DATA INPUT'!E:E),FALSE),"N/A"))</f>
        <v>#REF!</v>
      </c>
      <c r="E42" s="113" t="e">
        <f>IF(#REF!="","",VLOOKUP(#REF!,'[1]DATA INPUT'!$A:$AP,COLUMN('[1]DATA INPUT'!Q:Q),FALSE))</f>
        <v>#REF!</v>
      </c>
      <c r="F42" s="114" t="e">
        <f>IF(#REF!="","",VLOOKUP(#REF!,'[1]DATA INPUT'!$A:$AP,COLUMN('[1]DATA INPUT'!K:K),FALSE))</f>
        <v>#REF!</v>
      </c>
      <c r="G42" s="114" t="str">
        <f t="shared" ca="1" si="0"/>
        <v/>
      </c>
      <c r="H42" s="116" t="e">
        <f>IF(#REF!="","",VLOOKUP(#REF!,'[1]DATA INPUT'!$A:$AP,COLUMN('[1]DATA INPUT'!F:F),FALSE))</f>
        <v>#REF!</v>
      </c>
      <c r="I42" s="116" t="e">
        <f>IF(#REF!="","",VLOOKUP(#REF!,'[1]DATA INPUT'!$A:$AP,COLUMN('[1]DATA INPUT'!L:L),FALSE))</f>
        <v>#REF!</v>
      </c>
      <c r="J42" s="117" t="e">
        <f>IF(#REF!="","",VLOOKUP(#REF!,'[1]DATA INPUT'!$A:$AP,COLUMN('[1]DATA INPUT'!P:P),FALSE))</f>
        <v>#REF!</v>
      </c>
      <c r="K42" s="118" t="str">
        <f ca="1">IFERROR(K41+MATCH(L42,OFFSET('[1]DATA INPUT'!$T$1,K41,0,100000),0),"")</f>
        <v/>
      </c>
      <c r="L42" s="119" t="str">
        <f>IF(COUNTIF($L$16:L41,#REF!)&lt;$N$2,#REF!,"")</f>
        <v/>
      </c>
      <c r="M42" s="120" t="e">
        <f>IF(#REF!="","",VLOOKUP(#REF!,'[1]DATA INPUT'!$A:$AP,COLUMN('[1]DATA INPUT'!G:G),FALSE))</f>
        <v>#REF!</v>
      </c>
      <c r="N42" s="121" t="e">
        <f>IF(#REF!="","",ROUND(VLOOKUP(#REF!,'[1]DATA INPUT'!$A:$AP,COLUMN('[1]DATA INPUT'!H:H),FALSE),2))</f>
        <v>#REF!</v>
      </c>
      <c r="O42" s="122" t="e">
        <f>IF(#REF!="","",VLOOKUP(#REF!,'[1]DATA INPUT'!$A:$AP,COLUMN('[1]DATA INPUT'!I:I),FALSE))</f>
        <v>#REF!</v>
      </c>
    </row>
    <row r="43" spans="1:15" s="123" customFormat="1" ht="40" hidden="1" customHeight="1">
      <c r="A43" s="109" t="e">
        <f>IF(#REF!="","",A42+1)</f>
        <v>#REF!</v>
      </c>
      <c r="B43" s="110" t="e">
        <f>IF(#REF!="","",VLOOKUP(#REF!,'[1]DATA INPUT'!$A:$AP,COLUMN('[1]DATA INPUT'!B:B),FALSE))</f>
        <v>#REF!</v>
      </c>
      <c r="C43" s="111" t="e">
        <f>IF(#REF!="","",VLOOKUP(#REF!,'[1]DATA INPUT'!$A:$AP,COLUMN('[1]DATA INPUT'!C:C),FALSE))</f>
        <v>#REF!</v>
      </c>
      <c r="D43" s="112" t="e">
        <f>IF(#REF!="","",IF(LEFT(VLOOKUP(#REF!,'[1]DATA INPUT'!$A:$AP,COLUMN('[1]DATA INPUT'!E:E),FALSE),1)&lt;&gt;"",VLOOKUP(#REF!,'[1]DATA INPUT'!$A:$AP,COLUMN('[1]DATA INPUT'!E:E),FALSE),"N/A"))</f>
        <v>#REF!</v>
      </c>
      <c r="E43" s="113" t="e">
        <f>IF(#REF!="","",VLOOKUP(#REF!,'[1]DATA INPUT'!$A:$AP,COLUMN('[1]DATA INPUT'!Q:Q),FALSE))</f>
        <v>#REF!</v>
      </c>
      <c r="F43" s="114" t="e">
        <f>IF(#REF!="","",VLOOKUP(#REF!,'[1]DATA INPUT'!$A:$AP,COLUMN('[1]DATA INPUT'!K:K),FALSE))</f>
        <v>#REF!</v>
      </c>
      <c r="G43" s="114" t="str">
        <f t="shared" ca="1" si="0"/>
        <v/>
      </c>
      <c r="H43" s="116" t="e">
        <f>IF(#REF!="","",VLOOKUP(#REF!,'[1]DATA INPUT'!$A:$AP,COLUMN('[1]DATA INPUT'!F:F),FALSE))</f>
        <v>#REF!</v>
      </c>
      <c r="I43" s="116" t="e">
        <f>IF(#REF!="","",VLOOKUP(#REF!,'[1]DATA INPUT'!$A:$AP,COLUMN('[1]DATA INPUT'!L:L),FALSE))</f>
        <v>#REF!</v>
      </c>
      <c r="J43" s="117" t="e">
        <f>IF(#REF!="","",VLOOKUP(#REF!,'[1]DATA INPUT'!$A:$AP,COLUMN('[1]DATA INPUT'!P:P),FALSE))</f>
        <v>#REF!</v>
      </c>
      <c r="K43" s="118" t="str">
        <f ca="1">IFERROR(K42+MATCH(L43,OFFSET('[1]DATA INPUT'!$T$1,K42,0,100000),0),"")</f>
        <v/>
      </c>
      <c r="L43" s="119" t="str">
        <f>IF(COUNTIF($L$16:L42,#REF!)&lt;$N$2,#REF!,"")</f>
        <v/>
      </c>
      <c r="M43" s="120" t="e">
        <f>IF(#REF!="","",VLOOKUP(#REF!,'[1]DATA INPUT'!$A:$AP,COLUMN('[1]DATA INPUT'!G:G),FALSE))</f>
        <v>#REF!</v>
      </c>
      <c r="N43" s="121" t="e">
        <f>IF(#REF!="","",ROUND(VLOOKUP(#REF!,'[1]DATA INPUT'!$A:$AP,COLUMN('[1]DATA INPUT'!H:H),FALSE),2))</f>
        <v>#REF!</v>
      </c>
      <c r="O43" s="122" t="e">
        <f>IF(#REF!="","",VLOOKUP(#REF!,'[1]DATA INPUT'!$A:$AP,COLUMN('[1]DATA INPUT'!I:I),FALSE))</f>
        <v>#REF!</v>
      </c>
    </row>
    <row r="44" spans="1:15" s="123" customFormat="1" ht="40" hidden="1" customHeight="1">
      <c r="A44" s="109" t="e">
        <f>IF(#REF!="","",A43+1)</f>
        <v>#REF!</v>
      </c>
      <c r="B44" s="110" t="e">
        <f>IF(#REF!="","",VLOOKUP(#REF!,'[1]DATA INPUT'!$A:$AP,COLUMN('[1]DATA INPUT'!B:B),FALSE))</f>
        <v>#REF!</v>
      </c>
      <c r="C44" s="111" t="e">
        <f>IF(#REF!="","",VLOOKUP(#REF!,'[1]DATA INPUT'!$A:$AP,COLUMN('[1]DATA INPUT'!C:C),FALSE))</f>
        <v>#REF!</v>
      </c>
      <c r="D44" s="112" t="e">
        <f>IF(#REF!="","",IF(LEFT(VLOOKUP(#REF!,'[1]DATA INPUT'!$A:$AP,COLUMN('[1]DATA INPUT'!E:E),FALSE),1)&lt;&gt;"",VLOOKUP(#REF!,'[1]DATA INPUT'!$A:$AP,COLUMN('[1]DATA INPUT'!E:E),FALSE),"N/A"))</f>
        <v>#REF!</v>
      </c>
      <c r="E44" s="113" t="e">
        <f>IF(#REF!="","",VLOOKUP(#REF!,'[1]DATA INPUT'!$A:$AP,COLUMN('[1]DATA INPUT'!Q:Q),FALSE))</f>
        <v>#REF!</v>
      </c>
      <c r="F44" s="114" t="e">
        <f>IF(#REF!="","",VLOOKUP(#REF!,'[1]DATA INPUT'!$A:$AP,COLUMN('[1]DATA INPUT'!K:K),FALSE))</f>
        <v>#REF!</v>
      </c>
      <c r="G44" s="114" t="str">
        <f t="shared" ca="1" si="0"/>
        <v/>
      </c>
      <c r="H44" s="116" t="e">
        <f>IF(#REF!="","",VLOOKUP(#REF!,'[1]DATA INPUT'!$A:$AP,COLUMN('[1]DATA INPUT'!F:F),FALSE))</f>
        <v>#REF!</v>
      </c>
      <c r="I44" s="116" t="e">
        <f>IF(#REF!="","",VLOOKUP(#REF!,'[1]DATA INPUT'!$A:$AP,COLUMN('[1]DATA INPUT'!L:L),FALSE))</f>
        <v>#REF!</v>
      </c>
      <c r="J44" s="117" t="e">
        <f>IF(#REF!="","",VLOOKUP(#REF!,'[1]DATA INPUT'!$A:$AP,COLUMN('[1]DATA INPUT'!P:P),FALSE))</f>
        <v>#REF!</v>
      </c>
      <c r="K44" s="118" t="str">
        <f ca="1">IFERROR(K43+MATCH(L44,OFFSET('[1]DATA INPUT'!$T$1,K43,0,100000),0),"")</f>
        <v/>
      </c>
      <c r="L44" s="119" t="str">
        <f>IF(COUNTIF($L$16:L43,#REF!)&lt;$N$2,#REF!,"")</f>
        <v/>
      </c>
      <c r="M44" s="120" t="e">
        <f>IF(#REF!="","",VLOOKUP(#REF!,'[1]DATA INPUT'!$A:$AP,COLUMN('[1]DATA INPUT'!G:G),FALSE))</f>
        <v>#REF!</v>
      </c>
      <c r="N44" s="121" t="e">
        <f>IF(#REF!="","",ROUND(VLOOKUP(#REF!,'[1]DATA INPUT'!$A:$AP,COLUMN('[1]DATA INPUT'!H:H),FALSE),2))</f>
        <v>#REF!</v>
      </c>
      <c r="O44" s="122" t="e">
        <f>IF(#REF!="","",VLOOKUP(#REF!,'[1]DATA INPUT'!$A:$AP,COLUMN('[1]DATA INPUT'!I:I),FALSE))</f>
        <v>#REF!</v>
      </c>
    </row>
    <row r="45" spans="1:15" s="123" customFormat="1" ht="40" hidden="1" customHeight="1">
      <c r="A45" s="109" t="e">
        <f>IF(#REF!="","",A44+1)</f>
        <v>#REF!</v>
      </c>
      <c r="B45" s="110" t="e">
        <f>IF(#REF!="","",VLOOKUP(#REF!,'[1]DATA INPUT'!$A:$AP,COLUMN('[1]DATA INPUT'!B:B),FALSE))</f>
        <v>#REF!</v>
      </c>
      <c r="C45" s="111" t="e">
        <f>IF(#REF!="","",VLOOKUP(#REF!,'[1]DATA INPUT'!$A:$AP,COLUMN('[1]DATA INPUT'!C:C),FALSE))</f>
        <v>#REF!</v>
      </c>
      <c r="D45" s="112" t="e">
        <f>IF(#REF!="","",IF(LEFT(VLOOKUP(#REF!,'[1]DATA INPUT'!$A:$AP,COLUMN('[1]DATA INPUT'!E:E),FALSE),1)&lt;&gt;"",VLOOKUP(#REF!,'[1]DATA INPUT'!$A:$AP,COLUMN('[1]DATA INPUT'!E:E),FALSE),"N/A"))</f>
        <v>#REF!</v>
      </c>
      <c r="E45" s="113" t="e">
        <f>IF(#REF!="","",VLOOKUP(#REF!,'[1]DATA INPUT'!$A:$AP,COLUMN('[1]DATA INPUT'!Q:Q),FALSE))</f>
        <v>#REF!</v>
      </c>
      <c r="F45" s="114" t="e">
        <f>IF(#REF!="","",VLOOKUP(#REF!,'[1]DATA INPUT'!$A:$AP,COLUMN('[1]DATA INPUT'!K:K),FALSE))</f>
        <v>#REF!</v>
      </c>
      <c r="G45" s="114" t="str">
        <f t="shared" ca="1" si="0"/>
        <v/>
      </c>
      <c r="H45" s="116" t="e">
        <f>IF(#REF!="","",VLOOKUP(#REF!,'[1]DATA INPUT'!$A:$AP,COLUMN('[1]DATA INPUT'!F:F),FALSE))</f>
        <v>#REF!</v>
      </c>
      <c r="I45" s="116" t="e">
        <f>IF(#REF!="","",VLOOKUP(#REF!,'[1]DATA INPUT'!$A:$AP,COLUMN('[1]DATA INPUT'!L:L),FALSE))</f>
        <v>#REF!</v>
      </c>
      <c r="J45" s="117" t="e">
        <f>IF(#REF!="","",VLOOKUP(#REF!,'[1]DATA INPUT'!$A:$AP,COLUMN('[1]DATA INPUT'!P:P),FALSE))</f>
        <v>#REF!</v>
      </c>
      <c r="K45" s="118" t="str">
        <f ca="1">IFERROR(K44+MATCH(L45,OFFSET('[1]DATA INPUT'!$T$1,K44,0,100000),0),"")</f>
        <v/>
      </c>
      <c r="L45" s="119" t="str">
        <f>IF(COUNTIF($L$16:L44,#REF!)&lt;$N$2,#REF!,"")</f>
        <v/>
      </c>
      <c r="M45" s="120" t="e">
        <f>IF(#REF!="","",VLOOKUP(#REF!,'[1]DATA INPUT'!$A:$AP,COLUMN('[1]DATA INPUT'!G:G),FALSE))</f>
        <v>#REF!</v>
      </c>
      <c r="N45" s="121" t="e">
        <f>IF(#REF!="","",ROUND(VLOOKUP(#REF!,'[1]DATA INPUT'!$A:$AP,COLUMN('[1]DATA INPUT'!H:H),FALSE),2))</f>
        <v>#REF!</v>
      </c>
      <c r="O45" s="122" t="e">
        <f>IF(#REF!="","",VLOOKUP(#REF!,'[1]DATA INPUT'!$A:$AP,COLUMN('[1]DATA INPUT'!I:I),FALSE))</f>
        <v>#REF!</v>
      </c>
    </row>
    <row r="46" spans="1:15" s="123" customFormat="1" ht="40" hidden="1" customHeight="1">
      <c r="A46" s="109" t="e">
        <f>IF(#REF!="","",A45+1)</f>
        <v>#REF!</v>
      </c>
      <c r="B46" s="110" t="e">
        <f>IF(#REF!="","",VLOOKUP(#REF!,'[1]DATA INPUT'!$A:$AP,COLUMN('[1]DATA INPUT'!B:B),FALSE))</f>
        <v>#REF!</v>
      </c>
      <c r="C46" s="111" t="e">
        <f>IF(#REF!="","",VLOOKUP(#REF!,'[1]DATA INPUT'!$A:$AP,COLUMN('[1]DATA INPUT'!C:C),FALSE))</f>
        <v>#REF!</v>
      </c>
      <c r="D46" s="112" t="e">
        <f>IF(#REF!="","",IF(LEFT(VLOOKUP(#REF!,'[1]DATA INPUT'!$A:$AP,COLUMN('[1]DATA INPUT'!E:E),FALSE),1)&lt;&gt;"",VLOOKUP(#REF!,'[1]DATA INPUT'!$A:$AP,COLUMN('[1]DATA INPUT'!E:E),FALSE),"N/A"))</f>
        <v>#REF!</v>
      </c>
      <c r="E46" s="113" t="e">
        <f>IF(#REF!="","",VLOOKUP(#REF!,'[1]DATA INPUT'!$A:$AP,COLUMN('[1]DATA INPUT'!Q:Q),FALSE))</f>
        <v>#REF!</v>
      </c>
      <c r="F46" s="114" t="e">
        <f>IF(#REF!="","",VLOOKUP(#REF!,'[1]DATA INPUT'!$A:$AP,COLUMN('[1]DATA INPUT'!K:K),FALSE))</f>
        <v>#REF!</v>
      </c>
      <c r="G46" s="114" t="str">
        <f t="shared" ca="1" si="0"/>
        <v/>
      </c>
      <c r="H46" s="116" t="e">
        <f>IF(#REF!="","",VLOOKUP(#REF!,'[1]DATA INPUT'!$A:$AP,COLUMN('[1]DATA INPUT'!F:F),FALSE))</f>
        <v>#REF!</v>
      </c>
      <c r="I46" s="116" t="e">
        <f>IF(#REF!="","",VLOOKUP(#REF!,'[1]DATA INPUT'!$A:$AP,COLUMN('[1]DATA INPUT'!L:L),FALSE))</f>
        <v>#REF!</v>
      </c>
      <c r="J46" s="117" t="e">
        <f>IF(#REF!="","",VLOOKUP(#REF!,'[1]DATA INPUT'!$A:$AP,COLUMN('[1]DATA INPUT'!P:P),FALSE))</f>
        <v>#REF!</v>
      </c>
      <c r="K46" s="118" t="str">
        <f ca="1">IFERROR(K45+MATCH(L46,OFFSET('[1]DATA INPUT'!$T$1,K45,0,100000),0),"")</f>
        <v/>
      </c>
      <c r="L46" s="119" t="str">
        <f>IF(COUNTIF($L$16:L45,#REF!)&lt;$N$2,#REF!,"")</f>
        <v/>
      </c>
      <c r="M46" s="120" t="e">
        <f>IF(#REF!="","",VLOOKUP(#REF!,'[1]DATA INPUT'!$A:$AP,COLUMN('[1]DATA INPUT'!G:G),FALSE))</f>
        <v>#REF!</v>
      </c>
      <c r="N46" s="121" t="e">
        <f>IF(#REF!="","",ROUND(VLOOKUP(#REF!,'[1]DATA INPUT'!$A:$AP,COLUMN('[1]DATA INPUT'!H:H),FALSE),2))</f>
        <v>#REF!</v>
      </c>
      <c r="O46" s="122" t="e">
        <f>IF(#REF!="","",VLOOKUP(#REF!,'[1]DATA INPUT'!$A:$AP,COLUMN('[1]DATA INPUT'!I:I),FALSE))</f>
        <v>#REF!</v>
      </c>
    </row>
    <row r="47" spans="1:15" s="123" customFormat="1" ht="40" hidden="1" customHeight="1">
      <c r="A47" s="109" t="e">
        <f>IF(#REF!="","",A46+1)</f>
        <v>#REF!</v>
      </c>
      <c r="B47" s="110" t="e">
        <f>IF(#REF!="","",VLOOKUP(#REF!,'[1]DATA INPUT'!$A:$AP,COLUMN('[1]DATA INPUT'!B:B),FALSE))</f>
        <v>#REF!</v>
      </c>
      <c r="C47" s="111" t="e">
        <f>IF(#REF!="","",VLOOKUP(#REF!,'[1]DATA INPUT'!$A:$AP,COLUMN('[1]DATA INPUT'!C:C),FALSE))</f>
        <v>#REF!</v>
      </c>
      <c r="D47" s="112" t="e">
        <f>IF(#REF!="","",IF(LEFT(VLOOKUP(#REF!,'[1]DATA INPUT'!$A:$AP,COLUMN('[1]DATA INPUT'!E:E),FALSE),1)&lt;&gt;"",VLOOKUP(#REF!,'[1]DATA INPUT'!$A:$AP,COLUMN('[1]DATA INPUT'!E:E),FALSE),"N/A"))</f>
        <v>#REF!</v>
      </c>
      <c r="E47" s="113" t="e">
        <f>IF(#REF!="","",VLOOKUP(#REF!,'[1]DATA INPUT'!$A:$AP,COLUMN('[1]DATA INPUT'!Q:Q),FALSE))</f>
        <v>#REF!</v>
      </c>
      <c r="F47" s="114" t="e">
        <f>IF(#REF!="","",VLOOKUP(#REF!,'[1]DATA INPUT'!$A:$AP,COLUMN('[1]DATA INPUT'!K:K),FALSE))</f>
        <v>#REF!</v>
      </c>
      <c r="G47" s="114" t="str">
        <f t="shared" ca="1" si="0"/>
        <v/>
      </c>
      <c r="H47" s="116" t="e">
        <f>IF(#REF!="","",VLOOKUP(#REF!,'[1]DATA INPUT'!$A:$AP,COLUMN('[1]DATA INPUT'!F:F),FALSE))</f>
        <v>#REF!</v>
      </c>
      <c r="I47" s="116" t="e">
        <f>IF(#REF!="","",VLOOKUP(#REF!,'[1]DATA INPUT'!$A:$AP,COLUMN('[1]DATA INPUT'!L:L),FALSE))</f>
        <v>#REF!</v>
      </c>
      <c r="J47" s="117" t="e">
        <f>IF(#REF!="","",VLOOKUP(#REF!,'[1]DATA INPUT'!$A:$AP,COLUMN('[1]DATA INPUT'!P:P),FALSE))</f>
        <v>#REF!</v>
      </c>
      <c r="K47" s="118" t="str">
        <f ca="1">IFERROR(K46+MATCH(L47,OFFSET('[1]DATA INPUT'!$T$1,K46,0,100000),0),"")</f>
        <v/>
      </c>
      <c r="L47" s="119" t="str">
        <f>IF(COUNTIF($L$16:L46,#REF!)&lt;$N$2,#REF!,"")</f>
        <v/>
      </c>
      <c r="M47" s="120" t="e">
        <f>IF(#REF!="","",VLOOKUP(#REF!,'[1]DATA INPUT'!$A:$AP,COLUMN('[1]DATA INPUT'!G:G),FALSE))</f>
        <v>#REF!</v>
      </c>
      <c r="N47" s="121" t="e">
        <f>IF(#REF!="","",ROUND(VLOOKUP(#REF!,'[1]DATA INPUT'!$A:$AP,COLUMN('[1]DATA INPUT'!H:H),FALSE),2))</f>
        <v>#REF!</v>
      </c>
      <c r="O47" s="122" t="e">
        <f>IF(#REF!="","",VLOOKUP(#REF!,'[1]DATA INPUT'!$A:$AP,COLUMN('[1]DATA INPUT'!I:I),FALSE))</f>
        <v>#REF!</v>
      </c>
    </row>
    <row r="48" spans="1:15" s="123" customFormat="1" ht="40" hidden="1" customHeight="1">
      <c r="A48" s="109" t="e">
        <f>IF(#REF!="","",A47+1)</f>
        <v>#REF!</v>
      </c>
      <c r="B48" s="110" t="e">
        <f>IF(#REF!="","",VLOOKUP(#REF!,'[1]DATA INPUT'!$A:$AP,COLUMN('[1]DATA INPUT'!B:B),FALSE))</f>
        <v>#REF!</v>
      </c>
      <c r="C48" s="111" t="e">
        <f>IF(#REF!="","",VLOOKUP(#REF!,'[1]DATA INPUT'!$A:$AP,COLUMN('[1]DATA INPUT'!C:C),FALSE))</f>
        <v>#REF!</v>
      </c>
      <c r="D48" s="112" t="e">
        <f>IF(#REF!="","",IF(LEFT(VLOOKUP(#REF!,'[1]DATA INPUT'!$A:$AP,COLUMN('[1]DATA INPUT'!E:E),FALSE),1)&lt;&gt;"",VLOOKUP(#REF!,'[1]DATA INPUT'!$A:$AP,COLUMN('[1]DATA INPUT'!E:E),FALSE),"N/A"))</f>
        <v>#REF!</v>
      </c>
      <c r="E48" s="113" t="e">
        <f>IF(#REF!="","",VLOOKUP(#REF!,'[1]DATA INPUT'!$A:$AP,COLUMN('[1]DATA INPUT'!Q:Q),FALSE))</f>
        <v>#REF!</v>
      </c>
      <c r="F48" s="114" t="e">
        <f>IF(#REF!="","",VLOOKUP(#REF!,'[1]DATA INPUT'!$A:$AP,COLUMN('[1]DATA INPUT'!K:K),FALSE))</f>
        <v>#REF!</v>
      </c>
      <c r="G48" s="114" t="str">
        <f t="shared" ca="1" si="0"/>
        <v/>
      </c>
      <c r="H48" s="116" t="e">
        <f>IF(#REF!="","",VLOOKUP(#REF!,'[1]DATA INPUT'!$A:$AP,COLUMN('[1]DATA INPUT'!F:F),FALSE))</f>
        <v>#REF!</v>
      </c>
      <c r="I48" s="116" t="e">
        <f>IF(#REF!="","",VLOOKUP(#REF!,'[1]DATA INPUT'!$A:$AP,COLUMN('[1]DATA INPUT'!L:L),FALSE))</f>
        <v>#REF!</v>
      </c>
      <c r="J48" s="117" t="e">
        <f>IF(#REF!="","",VLOOKUP(#REF!,'[1]DATA INPUT'!$A:$AP,COLUMN('[1]DATA INPUT'!P:P),FALSE))</f>
        <v>#REF!</v>
      </c>
      <c r="K48" s="118" t="str">
        <f ca="1">IFERROR(K47+MATCH(L48,OFFSET('[1]DATA INPUT'!$T$1,K47,0,100000),0),"")</f>
        <v/>
      </c>
      <c r="L48" s="119" t="str">
        <f>IF(COUNTIF($L$16:L47,#REF!)&lt;$N$2,#REF!,"")</f>
        <v/>
      </c>
      <c r="M48" s="120" t="e">
        <f>IF(#REF!="","",VLOOKUP(#REF!,'[1]DATA INPUT'!$A:$AP,COLUMN('[1]DATA INPUT'!G:G),FALSE))</f>
        <v>#REF!</v>
      </c>
      <c r="N48" s="121" t="e">
        <f>IF(#REF!="","",ROUND(VLOOKUP(#REF!,'[1]DATA INPUT'!$A:$AP,COLUMN('[1]DATA INPUT'!H:H),FALSE),2))</f>
        <v>#REF!</v>
      </c>
      <c r="O48" s="122" t="e">
        <f>IF(#REF!="","",VLOOKUP(#REF!,'[1]DATA INPUT'!$A:$AP,COLUMN('[1]DATA INPUT'!I:I),FALSE))</f>
        <v>#REF!</v>
      </c>
    </row>
    <row r="49" spans="1:24" s="123" customFormat="1" ht="40" hidden="1" customHeight="1">
      <c r="A49" s="109" t="e">
        <f>IF(#REF!="","",A48+1)</f>
        <v>#REF!</v>
      </c>
      <c r="B49" s="110" t="e">
        <f>IF(#REF!="","",VLOOKUP(#REF!,'[1]DATA INPUT'!$A:$AP,COLUMN('[1]DATA INPUT'!B:B),FALSE))</f>
        <v>#REF!</v>
      </c>
      <c r="C49" s="111" t="e">
        <f>IF(#REF!="","",VLOOKUP(#REF!,'[1]DATA INPUT'!$A:$AP,COLUMN('[1]DATA INPUT'!C:C),FALSE))</f>
        <v>#REF!</v>
      </c>
      <c r="D49" s="112" t="e">
        <f>IF(#REF!="","",IF(LEFT(VLOOKUP(#REF!,'[1]DATA INPUT'!$A:$AP,COLUMN('[1]DATA INPUT'!E:E),FALSE),1)&lt;&gt;"",VLOOKUP(#REF!,'[1]DATA INPUT'!$A:$AP,COLUMN('[1]DATA INPUT'!E:E),FALSE),"N/A"))</f>
        <v>#REF!</v>
      </c>
      <c r="E49" s="113" t="e">
        <f>IF(#REF!="","",VLOOKUP(#REF!,'[1]DATA INPUT'!$A:$AP,COLUMN('[1]DATA INPUT'!Q:Q),FALSE))</f>
        <v>#REF!</v>
      </c>
      <c r="F49" s="114" t="e">
        <f>IF(#REF!="","",VLOOKUP(#REF!,'[1]DATA INPUT'!$A:$AP,COLUMN('[1]DATA INPUT'!K:K),FALSE))</f>
        <v>#REF!</v>
      </c>
      <c r="G49" s="114" t="str">
        <f t="shared" ca="1" si="0"/>
        <v/>
      </c>
      <c r="H49" s="116" t="e">
        <f>IF(#REF!="","",VLOOKUP(#REF!,'[1]DATA INPUT'!$A:$AP,COLUMN('[1]DATA INPUT'!F:F),FALSE))</f>
        <v>#REF!</v>
      </c>
      <c r="I49" s="116" t="e">
        <f>IF(#REF!="","",VLOOKUP(#REF!,'[1]DATA INPUT'!$A:$AP,COLUMN('[1]DATA INPUT'!L:L),FALSE))</f>
        <v>#REF!</v>
      </c>
      <c r="J49" s="117" t="e">
        <f>IF(#REF!="","",VLOOKUP(#REF!,'[1]DATA INPUT'!$A:$AP,COLUMN('[1]DATA INPUT'!P:P),FALSE))</f>
        <v>#REF!</v>
      </c>
      <c r="K49" s="118" t="str">
        <f ca="1">IFERROR(K48+MATCH(L49,OFFSET('[1]DATA INPUT'!$T$1,K48,0,100000),0),"")</f>
        <v/>
      </c>
      <c r="L49" s="119" t="str">
        <f>IF(COUNTIF($L$16:L48,#REF!)&lt;$N$2,#REF!,"")</f>
        <v/>
      </c>
      <c r="M49" s="120" t="e">
        <f>IF(#REF!="","",VLOOKUP(#REF!,'[1]DATA INPUT'!$A:$AP,COLUMN('[1]DATA INPUT'!G:G),FALSE))</f>
        <v>#REF!</v>
      </c>
      <c r="N49" s="121" t="e">
        <f>IF(#REF!="","",ROUND(VLOOKUP(#REF!,'[1]DATA INPUT'!$A:$AP,COLUMN('[1]DATA INPUT'!H:H),FALSE),2))</f>
        <v>#REF!</v>
      </c>
      <c r="O49" s="122" t="e">
        <f>IF(#REF!="","",VLOOKUP(#REF!,'[1]DATA INPUT'!$A:$AP,COLUMN('[1]DATA INPUT'!I:I),FALSE))</f>
        <v>#REF!</v>
      </c>
    </row>
    <row r="50" spans="1:24" s="123" customFormat="1" ht="40" hidden="1" customHeight="1">
      <c r="A50" s="109" t="e">
        <f>IF(#REF!="","",A49+1)</f>
        <v>#REF!</v>
      </c>
      <c r="B50" s="110" t="e">
        <f>IF(#REF!="","",VLOOKUP(#REF!,'[1]DATA INPUT'!$A:$AP,COLUMN('[1]DATA INPUT'!B:B),FALSE))</f>
        <v>#REF!</v>
      </c>
      <c r="C50" s="111" t="e">
        <f>IF(#REF!="","",VLOOKUP(#REF!,'[1]DATA INPUT'!$A:$AP,COLUMN('[1]DATA INPUT'!C:C),FALSE))</f>
        <v>#REF!</v>
      </c>
      <c r="D50" s="112" t="e">
        <f>IF(#REF!="","",IF(LEFT(VLOOKUP(#REF!,'[1]DATA INPUT'!$A:$AP,COLUMN('[1]DATA INPUT'!E:E),FALSE),1)&lt;&gt;"",VLOOKUP(#REF!,'[1]DATA INPUT'!$A:$AP,COLUMN('[1]DATA INPUT'!E:E),FALSE),"N/A"))</f>
        <v>#REF!</v>
      </c>
      <c r="E50" s="113" t="e">
        <f>IF(#REF!="","",VLOOKUP(#REF!,'[1]DATA INPUT'!$A:$AP,COLUMN('[1]DATA INPUT'!Q:Q),FALSE))</f>
        <v>#REF!</v>
      </c>
      <c r="F50" s="114" t="e">
        <f>IF(#REF!="","",VLOOKUP(#REF!,'[1]DATA INPUT'!$A:$AP,COLUMN('[1]DATA INPUT'!K:K),FALSE))</f>
        <v>#REF!</v>
      </c>
      <c r="G50" s="114" t="str">
        <f t="shared" ca="1" si="0"/>
        <v/>
      </c>
      <c r="H50" s="116" t="e">
        <f>IF(#REF!="","",VLOOKUP(#REF!,'[1]DATA INPUT'!$A:$AP,COLUMN('[1]DATA INPUT'!F:F),FALSE))</f>
        <v>#REF!</v>
      </c>
      <c r="I50" s="116" t="e">
        <f>IF(#REF!="","",VLOOKUP(#REF!,'[1]DATA INPUT'!$A:$AP,COLUMN('[1]DATA INPUT'!L:L),FALSE))</f>
        <v>#REF!</v>
      </c>
      <c r="J50" s="117" t="e">
        <f>IF(#REF!="","",VLOOKUP(#REF!,'[1]DATA INPUT'!$A:$AP,COLUMN('[1]DATA INPUT'!P:P),FALSE))</f>
        <v>#REF!</v>
      </c>
      <c r="K50" s="118" t="str">
        <f ca="1">IFERROR(K49+MATCH(L50,OFFSET('[1]DATA INPUT'!$T$1,K49,0,100000),0),"")</f>
        <v/>
      </c>
      <c r="L50" s="119" t="str">
        <f>IF(COUNTIF($L$16:L49,#REF!)&lt;$N$2,#REF!,"")</f>
        <v/>
      </c>
      <c r="M50" s="120" t="e">
        <f>IF(#REF!="","",VLOOKUP(#REF!,'[1]DATA INPUT'!$A:$AP,COLUMN('[1]DATA INPUT'!G:G),FALSE))</f>
        <v>#REF!</v>
      </c>
      <c r="N50" s="121" t="e">
        <f>IF(#REF!="","",ROUND(VLOOKUP(#REF!,'[1]DATA INPUT'!$A:$AP,COLUMN('[1]DATA INPUT'!H:H),FALSE),2))</f>
        <v>#REF!</v>
      </c>
      <c r="O50" s="122" t="e">
        <f>IF(#REF!="","",VLOOKUP(#REF!,'[1]DATA INPUT'!$A:$AP,COLUMN('[1]DATA INPUT'!I:I),FALSE))</f>
        <v>#REF!</v>
      </c>
    </row>
    <row r="51" spans="1:24" s="123" customFormat="1" ht="40" hidden="1" customHeight="1">
      <c r="A51" s="109" t="e">
        <f>IF(#REF!="","",A50+1)</f>
        <v>#REF!</v>
      </c>
      <c r="B51" s="110" t="e">
        <f>IF(#REF!="","",VLOOKUP(#REF!,'[1]DATA INPUT'!$A:$AP,COLUMN('[1]DATA INPUT'!B:B),FALSE))</f>
        <v>#REF!</v>
      </c>
      <c r="C51" s="111" t="e">
        <f>IF(#REF!="","",VLOOKUP(#REF!,'[1]DATA INPUT'!$A:$AP,COLUMN('[1]DATA INPUT'!C:C),FALSE))</f>
        <v>#REF!</v>
      </c>
      <c r="D51" s="112" t="e">
        <f>IF(#REF!="","",IF(LEFT(VLOOKUP(#REF!,'[1]DATA INPUT'!$A:$AP,COLUMN('[1]DATA INPUT'!E:E),FALSE),1)&lt;&gt;"",VLOOKUP(#REF!,'[1]DATA INPUT'!$A:$AP,COLUMN('[1]DATA INPUT'!E:E),FALSE),"N/A"))</f>
        <v>#REF!</v>
      </c>
      <c r="E51" s="113" t="e">
        <f>IF(#REF!="","",VLOOKUP(#REF!,'[1]DATA INPUT'!$A:$AP,COLUMN('[1]DATA INPUT'!Q:Q),FALSE))</f>
        <v>#REF!</v>
      </c>
      <c r="F51" s="114" t="e">
        <f>IF(#REF!="","",VLOOKUP(#REF!,'[1]DATA INPUT'!$A:$AP,COLUMN('[1]DATA INPUT'!K:K),FALSE))</f>
        <v>#REF!</v>
      </c>
      <c r="G51" s="114" t="str">
        <f t="shared" ca="1" si="0"/>
        <v/>
      </c>
      <c r="H51" s="116" t="e">
        <f>IF(#REF!="","",VLOOKUP(#REF!,'[1]DATA INPUT'!$A:$AP,COLUMN('[1]DATA INPUT'!F:F),FALSE))</f>
        <v>#REF!</v>
      </c>
      <c r="I51" s="116" t="e">
        <f>IF(#REF!="","",VLOOKUP(#REF!,'[1]DATA INPUT'!$A:$AP,COLUMN('[1]DATA INPUT'!L:L),FALSE))</f>
        <v>#REF!</v>
      </c>
      <c r="J51" s="117" t="e">
        <f>IF(#REF!="","",VLOOKUP(#REF!,'[1]DATA INPUT'!$A:$AP,COLUMN('[1]DATA INPUT'!P:P),FALSE))</f>
        <v>#REF!</v>
      </c>
      <c r="K51" s="118" t="str">
        <f ca="1">IFERROR(K50+MATCH(L51,OFFSET('[1]DATA INPUT'!$T$1,K50,0,100000),0),"")</f>
        <v/>
      </c>
      <c r="L51" s="119" t="str">
        <f>IF(COUNTIF($L$16:L50,#REF!)&lt;$N$2,#REF!,"")</f>
        <v/>
      </c>
      <c r="M51" s="120" t="e">
        <f>IF(#REF!="","",VLOOKUP(#REF!,'[1]DATA INPUT'!$A:$AP,COLUMN('[1]DATA INPUT'!G:G),FALSE))</f>
        <v>#REF!</v>
      </c>
      <c r="N51" s="121" t="e">
        <f>IF(#REF!="","",ROUND(VLOOKUP(#REF!,'[1]DATA INPUT'!$A:$AP,COLUMN('[1]DATA INPUT'!H:H),FALSE),2))</f>
        <v>#REF!</v>
      </c>
      <c r="O51" s="122" t="e">
        <f>IF(#REF!="","",VLOOKUP(#REF!,'[1]DATA INPUT'!$A:$AP,COLUMN('[1]DATA INPUT'!I:I),FALSE))</f>
        <v>#REF!</v>
      </c>
    </row>
    <row r="52" spans="1:24" s="123" customFormat="1" ht="40" hidden="1" customHeight="1">
      <c r="A52" s="109" t="e">
        <f>IF(#REF!="","",A51+1)</f>
        <v>#REF!</v>
      </c>
      <c r="B52" s="110" t="e">
        <f>IF(#REF!="","",VLOOKUP(#REF!,'[1]DATA INPUT'!$A:$AP,COLUMN('[1]DATA INPUT'!B:B),FALSE))</f>
        <v>#REF!</v>
      </c>
      <c r="C52" s="111" t="e">
        <f>IF(#REF!="","",VLOOKUP(#REF!,'[1]DATA INPUT'!$A:$AP,COLUMN('[1]DATA INPUT'!C:C),FALSE))</f>
        <v>#REF!</v>
      </c>
      <c r="D52" s="112" t="e">
        <f>IF(#REF!="","",IF(LEFT(VLOOKUP(#REF!,'[1]DATA INPUT'!$A:$AP,COLUMN('[1]DATA INPUT'!E:E),FALSE),1)&lt;&gt;"",VLOOKUP(#REF!,'[1]DATA INPUT'!$A:$AP,COLUMN('[1]DATA INPUT'!E:E),FALSE),"N/A"))</f>
        <v>#REF!</v>
      </c>
      <c r="E52" s="113" t="e">
        <f>IF(#REF!="","",VLOOKUP(#REF!,'[1]DATA INPUT'!$A:$AP,COLUMN('[1]DATA INPUT'!Q:Q),FALSE))</f>
        <v>#REF!</v>
      </c>
      <c r="F52" s="114" t="e">
        <f>IF(#REF!="","",VLOOKUP(#REF!,'[1]DATA INPUT'!$A:$AP,COLUMN('[1]DATA INPUT'!K:K),FALSE))</f>
        <v>#REF!</v>
      </c>
      <c r="G52" s="114" t="str">
        <f t="shared" ca="1" si="0"/>
        <v/>
      </c>
      <c r="H52" s="116" t="e">
        <f>IF(#REF!="","",VLOOKUP(#REF!,'[1]DATA INPUT'!$A:$AP,COLUMN('[1]DATA INPUT'!F:F),FALSE))</f>
        <v>#REF!</v>
      </c>
      <c r="I52" s="116" t="e">
        <f>IF(#REF!="","",VLOOKUP(#REF!,'[1]DATA INPUT'!$A:$AP,COLUMN('[1]DATA INPUT'!L:L),FALSE))</f>
        <v>#REF!</v>
      </c>
      <c r="J52" s="117" t="e">
        <f>IF(#REF!="","",VLOOKUP(#REF!,'[1]DATA INPUT'!$A:$AP,COLUMN('[1]DATA INPUT'!P:P),FALSE))</f>
        <v>#REF!</v>
      </c>
      <c r="K52" s="118" t="str">
        <f ca="1">IFERROR(K51+MATCH(L52,OFFSET('[1]DATA INPUT'!$T$1,K51,0,100000),0),"")</f>
        <v/>
      </c>
      <c r="L52" s="119" t="str">
        <f>IF(COUNTIF($L$16:L51,#REF!)&lt;$N$2,#REF!,"")</f>
        <v/>
      </c>
      <c r="M52" s="120" t="e">
        <f>IF(#REF!="","",VLOOKUP(#REF!,'[1]DATA INPUT'!$A:$AP,COLUMN('[1]DATA INPUT'!G:G),FALSE))</f>
        <v>#REF!</v>
      </c>
      <c r="N52" s="121" t="e">
        <f>IF(#REF!="","",ROUND(VLOOKUP(#REF!,'[1]DATA INPUT'!$A:$AP,COLUMN('[1]DATA INPUT'!H:H),FALSE),2))</f>
        <v>#REF!</v>
      </c>
      <c r="O52" s="122" t="e">
        <f>IF(#REF!="","",VLOOKUP(#REF!,'[1]DATA INPUT'!$A:$AP,COLUMN('[1]DATA INPUT'!I:I),FALSE))</f>
        <v>#REF!</v>
      </c>
    </row>
    <row r="53" spans="1:24" s="123" customFormat="1" ht="40" hidden="1" customHeight="1">
      <c r="A53" s="109" t="e">
        <f>IF(#REF!="","",A52+1)</f>
        <v>#REF!</v>
      </c>
      <c r="B53" s="110" t="e">
        <f>IF(#REF!="","",VLOOKUP(#REF!,'[1]DATA INPUT'!$A:$AP,COLUMN('[1]DATA INPUT'!B:B),FALSE))</f>
        <v>#REF!</v>
      </c>
      <c r="C53" s="111" t="e">
        <f>IF(#REF!="","",VLOOKUP(#REF!,'[1]DATA INPUT'!$A:$AP,COLUMN('[1]DATA INPUT'!C:C),FALSE))</f>
        <v>#REF!</v>
      </c>
      <c r="D53" s="112" t="e">
        <f>IF(#REF!="","",IF(LEFT(VLOOKUP(#REF!,'[1]DATA INPUT'!$A:$AP,COLUMN('[1]DATA INPUT'!E:E),FALSE),1)&lt;&gt;"",VLOOKUP(#REF!,'[1]DATA INPUT'!$A:$AP,COLUMN('[1]DATA INPUT'!E:E),FALSE),"N/A"))</f>
        <v>#REF!</v>
      </c>
      <c r="E53" s="113" t="e">
        <f>IF(#REF!="","",VLOOKUP(#REF!,'[1]DATA INPUT'!$A:$AP,COLUMN('[1]DATA INPUT'!Q:Q),FALSE))</f>
        <v>#REF!</v>
      </c>
      <c r="F53" s="114" t="e">
        <f>IF(#REF!="","",VLOOKUP(#REF!,'[1]DATA INPUT'!$A:$AP,COLUMN('[1]DATA INPUT'!K:K),FALSE))</f>
        <v>#REF!</v>
      </c>
      <c r="G53" s="114" t="str">
        <f t="shared" ca="1" si="0"/>
        <v/>
      </c>
      <c r="H53" s="116" t="e">
        <f>IF(#REF!="","",VLOOKUP(#REF!,'[1]DATA INPUT'!$A:$AP,COLUMN('[1]DATA INPUT'!F:F),FALSE))</f>
        <v>#REF!</v>
      </c>
      <c r="I53" s="116" t="e">
        <f>IF(#REF!="","",VLOOKUP(#REF!,'[1]DATA INPUT'!$A:$AP,COLUMN('[1]DATA INPUT'!L:L),FALSE))</f>
        <v>#REF!</v>
      </c>
      <c r="J53" s="117" t="e">
        <f>IF(#REF!="","",VLOOKUP(#REF!,'[1]DATA INPUT'!$A:$AP,COLUMN('[1]DATA INPUT'!P:P),FALSE))</f>
        <v>#REF!</v>
      </c>
      <c r="K53" s="118" t="str">
        <f ca="1">IFERROR(K52+MATCH(L53,OFFSET('[1]DATA INPUT'!$T$1,K52,0,100000),0),"")</f>
        <v/>
      </c>
      <c r="L53" s="119" t="str">
        <f>IF(COUNTIF($L$16:L52,#REF!)&lt;$N$2,#REF!,"")</f>
        <v/>
      </c>
      <c r="M53" s="120" t="e">
        <f>IF(#REF!="","",VLOOKUP(#REF!,'[1]DATA INPUT'!$A:$AP,COLUMN('[1]DATA INPUT'!G:G),FALSE))</f>
        <v>#REF!</v>
      </c>
      <c r="N53" s="121" t="e">
        <f>IF(#REF!="","",ROUND(VLOOKUP(#REF!,'[1]DATA INPUT'!$A:$AP,COLUMN('[1]DATA INPUT'!H:H),FALSE),2))</f>
        <v>#REF!</v>
      </c>
      <c r="O53" s="122" t="e">
        <f>IF(#REF!="","",VLOOKUP(#REF!,'[1]DATA INPUT'!$A:$AP,COLUMN('[1]DATA INPUT'!I:I),FALSE))</f>
        <v>#REF!</v>
      </c>
    </row>
    <row r="54" spans="1:24" s="123" customFormat="1" ht="40" hidden="1" customHeight="1">
      <c r="A54" s="109" t="e">
        <f>IF(#REF!="","",A53+1)</f>
        <v>#REF!</v>
      </c>
      <c r="B54" s="110" t="e">
        <f>IF(#REF!="","",VLOOKUP(#REF!,'[1]DATA INPUT'!$A:$AP,COLUMN('[1]DATA INPUT'!B:B),FALSE))</f>
        <v>#REF!</v>
      </c>
      <c r="C54" s="111" t="e">
        <f>IF(#REF!="","",VLOOKUP(#REF!,'[1]DATA INPUT'!$A:$AP,COLUMN('[1]DATA INPUT'!C:C),FALSE))</f>
        <v>#REF!</v>
      </c>
      <c r="D54" s="112" t="e">
        <f>IF(#REF!="","",IF(LEFT(VLOOKUP(#REF!,'[1]DATA INPUT'!$A:$AP,COLUMN('[1]DATA INPUT'!E:E),FALSE),1)&lt;&gt;"",VLOOKUP(#REF!,'[1]DATA INPUT'!$A:$AP,COLUMN('[1]DATA INPUT'!E:E),FALSE),"N/A"))</f>
        <v>#REF!</v>
      </c>
      <c r="E54" s="113" t="e">
        <f>IF(#REF!="","",VLOOKUP(#REF!,'[1]DATA INPUT'!$A:$AP,COLUMN('[1]DATA INPUT'!Q:Q),FALSE))</f>
        <v>#REF!</v>
      </c>
      <c r="F54" s="114" t="e">
        <f>IF(#REF!="","",VLOOKUP(#REF!,'[1]DATA INPUT'!$A:$AP,COLUMN('[1]DATA INPUT'!K:K),FALSE))</f>
        <v>#REF!</v>
      </c>
      <c r="G54" s="114" t="str">
        <f t="shared" ca="1" si="0"/>
        <v/>
      </c>
      <c r="H54" s="116" t="e">
        <f>IF(#REF!="","",VLOOKUP(#REF!,'[1]DATA INPUT'!$A:$AP,COLUMN('[1]DATA INPUT'!F:F),FALSE))</f>
        <v>#REF!</v>
      </c>
      <c r="I54" s="116" t="e">
        <f>IF(#REF!="","",VLOOKUP(#REF!,'[1]DATA INPUT'!$A:$AP,COLUMN('[1]DATA INPUT'!L:L),FALSE))</f>
        <v>#REF!</v>
      </c>
      <c r="J54" s="117" t="e">
        <f>IF(#REF!="","",VLOOKUP(#REF!,'[1]DATA INPUT'!$A:$AP,COLUMN('[1]DATA INPUT'!P:P),FALSE))</f>
        <v>#REF!</v>
      </c>
      <c r="K54" s="118" t="str">
        <f ca="1">IFERROR(K53+MATCH(L54,OFFSET('[1]DATA INPUT'!$T$1,K53,0,100000),0),"")</f>
        <v/>
      </c>
      <c r="L54" s="119" t="str">
        <f>IF(COUNTIF($L$16:L53,#REF!)&lt;$N$2,#REF!,"")</f>
        <v/>
      </c>
      <c r="M54" s="120" t="e">
        <f>IF(#REF!="","",VLOOKUP(#REF!,'[1]DATA INPUT'!$A:$AP,COLUMN('[1]DATA INPUT'!G:G),FALSE))</f>
        <v>#REF!</v>
      </c>
      <c r="N54" s="121" t="e">
        <f>IF(#REF!="","",ROUND(VLOOKUP(#REF!,'[1]DATA INPUT'!$A:$AP,COLUMN('[1]DATA INPUT'!H:H),FALSE),2))</f>
        <v>#REF!</v>
      </c>
      <c r="O54" s="122" t="e">
        <f>IF(#REF!="","",VLOOKUP(#REF!,'[1]DATA INPUT'!$A:$AP,COLUMN('[1]DATA INPUT'!I:I),FALSE))</f>
        <v>#REF!</v>
      </c>
    </row>
    <row r="55" spans="1:24" s="123" customFormat="1" ht="40" hidden="1" customHeight="1">
      <c r="A55" s="109" t="e">
        <f>IF(#REF!="","",A54+1)</f>
        <v>#REF!</v>
      </c>
      <c r="B55" s="110" t="e">
        <f>IF(#REF!="","",VLOOKUP(#REF!,'[1]DATA INPUT'!$A:$AP,COLUMN('[1]DATA INPUT'!B:B),FALSE))</f>
        <v>#REF!</v>
      </c>
      <c r="C55" s="111" t="e">
        <f>IF(#REF!="","",VLOOKUP(#REF!,'[1]DATA INPUT'!$A:$AP,COLUMN('[1]DATA INPUT'!C:C),FALSE))</f>
        <v>#REF!</v>
      </c>
      <c r="D55" s="112" t="e">
        <f>IF(#REF!="","",IF(LEFT(VLOOKUP(#REF!,'[1]DATA INPUT'!$A:$AP,COLUMN('[1]DATA INPUT'!E:E),FALSE),1)&lt;&gt;"",VLOOKUP(#REF!,'[1]DATA INPUT'!$A:$AP,COLUMN('[1]DATA INPUT'!E:E),FALSE),"N/A"))</f>
        <v>#REF!</v>
      </c>
      <c r="E55" s="113" t="e">
        <f>IF(#REF!="","",VLOOKUP(#REF!,'[1]DATA INPUT'!$A:$AP,COLUMN('[1]DATA INPUT'!Q:Q),FALSE))</f>
        <v>#REF!</v>
      </c>
      <c r="F55" s="114" t="e">
        <f>IF(#REF!="","",VLOOKUP(#REF!,'[1]DATA INPUT'!$A:$AP,COLUMN('[1]DATA INPUT'!K:K),FALSE))</f>
        <v>#REF!</v>
      </c>
      <c r="G55" s="114" t="str">
        <f t="shared" ca="1" si="0"/>
        <v/>
      </c>
      <c r="H55" s="116" t="e">
        <f>IF(#REF!="","",VLOOKUP(#REF!,'[1]DATA INPUT'!$A:$AP,COLUMN('[1]DATA INPUT'!F:F),FALSE))</f>
        <v>#REF!</v>
      </c>
      <c r="I55" s="116" t="e">
        <f>IF(#REF!="","",VLOOKUP(#REF!,'[1]DATA INPUT'!$A:$AP,COLUMN('[1]DATA INPUT'!L:L),FALSE))</f>
        <v>#REF!</v>
      </c>
      <c r="J55" s="117" t="e">
        <f>IF(#REF!="","",VLOOKUP(#REF!,'[1]DATA INPUT'!$A:$AP,COLUMN('[1]DATA INPUT'!P:P),FALSE))</f>
        <v>#REF!</v>
      </c>
      <c r="K55" s="118" t="str">
        <f ca="1">IFERROR(K54+MATCH(L55,OFFSET('[1]DATA INPUT'!$T$1,K54,0,100000),0),"")</f>
        <v/>
      </c>
      <c r="L55" s="119" t="str">
        <f>IF(COUNTIF($L$16:L54,#REF!)&lt;$N$2,#REF!,"")</f>
        <v/>
      </c>
      <c r="M55" s="120" t="e">
        <f>IF(#REF!="","",VLOOKUP(#REF!,'[1]DATA INPUT'!$A:$AP,COLUMN('[1]DATA INPUT'!G:G),FALSE))</f>
        <v>#REF!</v>
      </c>
      <c r="N55" s="121" t="e">
        <f>IF(#REF!="","",ROUND(VLOOKUP(#REF!,'[1]DATA INPUT'!$A:$AP,COLUMN('[1]DATA INPUT'!H:H),FALSE),2))</f>
        <v>#REF!</v>
      </c>
      <c r="O55" s="122" t="e">
        <f>IF(#REF!="","",VLOOKUP(#REF!,'[1]DATA INPUT'!$A:$AP,COLUMN('[1]DATA INPUT'!I:I),FALSE))</f>
        <v>#REF!</v>
      </c>
    </row>
    <row r="56" spans="1:24" s="123" customFormat="1" ht="40" hidden="1" customHeight="1">
      <c r="A56" s="109" t="e">
        <f>IF(#REF!="","",A55+1)</f>
        <v>#REF!</v>
      </c>
      <c r="B56" s="110" t="e">
        <f>IF(#REF!="","",VLOOKUP(#REF!,'[1]DATA INPUT'!$A:$AP,COLUMN('[1]DATA INPUT'!B:B),FALSE))</f>
        <v>#REF!</v>
      </c>
      <c r="C56" s="111" t="e">
        <f>IF(#REF!="","",VLOOKUP(#REF!,'[1]DATA INPUT'!$A:$AP,COLUMN('[1]DATA INPUT'!C:C),FALSE))</f>
        <v>#REF!</v>
      </c>
      <c r="D56" s="112" t="e">
        <f>IF(#REF!="","",IF(LEFT(VLOOKUP(#REF!,'[1]DATA INPUT'!$A:$AP,COLUMN('[1]DATA INPUT'!E:E),FALSE),1)&lt;&gt;"",VLOOKUP(#REF!,'[1]DATA INPUT'!$A:$AP,COLUMN('[1]DATA INPUT'!E:E),FALSE),"N/A"))</f>
        <v>#REF!</v>
      </c>
      <c r="E56" s="113" t="e">
        <f>IF(#REF!="","",VLOOKUP(#REF!,'[1]DATA INPUT'!$A:$AP,COLUMN('[1]DATA INPUT'!Q:Q),FALSE))</f>
        <v>#REF!</v>
      </c>
      <c r="F56" s="114" t="e">
        <f>IF(#REF!="","",VLOOKUP(#REF!,'[1]DATA INPUT'!$A:$AP,COLUMN('[1]DATA INPUT'!K:K),FALSE))</f>
        <v>#REF!</v>
      </c>
      <c r="G56" s="114" t="str">
        <f t="shared" ca="1" si="0"/>
        <v/>
      </c>
      <c r="H56" s="116" t="e">
        <f>IF(#REF!="","",VLOOKUP(#REF!,'[1]DATA INPUT'!$A:$AP,COLUMN('[1]DATA INPUT'!F:F),FALSE))</f>
        <v>#REF!</v>
      </c>
      <c r="I56" s="116" t="e">
        <f>IF(#REF!="","",VLOOKUP(#REF!,'[1]DATA INPUT'!$A:$AP,COLUMN('[1]DATA INPUT'!L:L),FALSE))</f>
        <v>#REF!</v>
      </c>
      <c r="J56" s="117" t="e">
        <f>IF(#REF!="","",VLOOKUP(#REF!,'[1]DATA INPUT'!$A:$AP,COLUMN('[1]DATA INPUT'!P:P),FALSE))</f>
        <v>#REF!</v>
      </c>
      <c r="K56" s="118" t="str">
        <f ca="1">IFERROR(K55+MATCH(L56,OFFSET('[1]DATA INPUT'!$T$1,K55,0,100000),0),"")</f>
        <v/>
      </c>
      <c r="L56" s="119" t="str">
        <f>IF(COUNTIF($L$16:L55,#REF!)&lt;$N$2,#REF!,"")</f>
        <v/>
      </c>
      <c r="M56" s="120" t="e">
        <f>IF(#REF!="","",VLOOKUP(#REF!,'[1]DATA INPUT'!$A:$AP,COLUMN('[1]DATA INPUT'!G:G),FALSE))</f>
        <v>#REF!</v>
      </c>
      <c r="N56" s="121" t="e">
        <f>IF(#REF!="","",ROUND(VLOOKUP(#REF!,'[1]DATA INPUT'!$A:$AP,COLUMN('[1]DATA INPUT'!H:H),FALSE),2))</f>
        <v>#REF!</v>
      </c>
      <c r="O56" s="122" t="e">
        <f>IF(#REF!="","",VLOOKUP(#REF!,'[1]DATA INPUT'!$A:$AP,COLUMN('[1]DATA INPUT'!I:I),FALSE))</f>
        <v>#REF!</v>
      </c>
    </row>
    <row r="57" spans="1:24" s="123" customFormat="1" ht="40" hidden="1" customHeight="1">
      <c r="A57" s="109" t="e">
        <f>IF(#REF!="","",A56+1)</f>
        <v>#REF!</v>
      </c>
      <c r="B57" s="110" t="e">
        <f>IF(#REF!="","",VLOOKUP(#REF!,'[1]DATA INPUT'!$A:$AP,COLUMN('[1]DATA INPUT'!B:B),FALSE))</f>
        <v>#REF!</v>
      </c>
      <c r="C57" s="111" t="e">
        <f>IF(#REF!="","",VLOOKUP(#REF!,'[1]DATA INPUT'!$A:$AP,COLUMN('[1]DATA INPUT'!C:C),FALSE))</f>
        <v>#REF!</v>
      </c>
      <c r="D57" s="112" t="e">
        <f>IF(#REF!="","",IF(LEFT(VLOOKUP(#REF!,'[1]DATA INPUT'!$A:$AP,COLUMN('[1]DATA INPUT'!E:E),FALSE),1)&lt;&gt;"",VLOOKUP(#REF!,'[1]DATA INPUT'!$A:$AP,COLUMN('[1]DATA INPUT'!E:E),FALSE),"N/A"))</f>
        <v>#REF!</v>
      </c>
      <c r="E57" s="113" t="e">
        <f>IF(#REF!="","",VLOOKUP(#REF!,'[1]DATA INPUT'!$A:$AP,COLUMN('[1]DATA INPUT'!Q:Q),FALSE))</f>
        <v>#REF!</v>
      </c>
      <c r="F57" s="114" t="e">
        <f>IF(#REF!="","",VLOOKUP(#REF!,'[1]DATA INPUT'!$A:$AP,COLUMN('[1]DATA INPUT'!K:K),FALSE))</f>
        <v>#REF!</v>
      </c>
      <c r="G57" s="114" t="str">
        <f t="shared" ca="1" si="0"/>
        <v/>
      </c>
      <c r="H57" s="116" t="e">
        <f>IF(#REF!="","",VLOOKUP(#REF!,'[1]DATA INPUT'!$A:$AP,COLUMN('[1]DATA INPUT'!F:F),FALSE))</f>
        <v>#REF!</v>
      </c>
      <c r="I57" s="116" t="e">
        <f>IF(#REF!="","",VLOOKUP(#REF!,'[1]DATA INPUT'!$A:$AP,COLUMN('[1]DATA INPUT'!L:L),FALSE))</f>
        <v>#REF!</v>
      </c>
      <c r="J57" s="117" t="e">
        <f>IF(#REF!="","",VLOOKUP(#REF!,'[1]DATA INPUT'!$A:$AP,COLUMN('[1]DATA INPUT'!P:P),FALSE))</f>
        <v>#REF!</v>
      </c>
      <c r="K57" s="118" t="str">
        <f ca="1">IFERROR(K56+MATCH(L57,OFFSET('[1]DATA INPUT'!$T$1,K56,0,100000),0),"")</f>
        <v/>
      </c>
      <c r="L57" s="119" t="str">
        <f>IF(COUNTIF($L$16:L56,#REF!)&lt;$N$2,#REF!,"")</f>
        <v/>
      </c>
      <c r="M57" s="120" t="e">
        <f>IF(#REF!="","",VLOOKUP(#REF!,'[1]DATA INPUT'!$A:$AP,COLUMN('[1]DATA INPUT'!G:G),FALSE))</f>
        <v>#REF!</v>
      </c>
      <c r="N57" s="121" t="e">
        <f>IF(#REF!="","",ROUND(VLOOKUP(#REF!,'[1]DATA INPUT'!$A:$AP,COLUMN('[1]DATA INPUT'!H:H),FALSE),2))</f>
        <v>#REF!</v>
      </c>
      <c r="O57" s="122" t="e">
        <f>IF(#REF!="","",VLOOKUP(#REF!,'[1]DATA INPUT'!$A:$AP,COLUMN('[1]DATA INPUT'!I:I),FALSE))</f>
        <v>#REF!</v>
      </c>
      <c r="Q57" s="128" t="s">
        <v>50</v>
      </c>
      <c r="R57" s="129"/>
      <c r="S57" s="129"/>
      <c r="T57" s="129"/>
      <c r="U57" s="129"/>
      <c r="V57" s="129"/>
      <c r="W57" s="129"/>
      <c r="X57" s="130"/>
    </row>
    <row r="58" spans="1:24" s="123" customFormat="1" ht="40" hidden="1" customHeight="1">
      <c r="A58" s="109" t="e">
        <f>IF(#REF!="","",A57+1)</f>
        <v>#REF!</v>
      </c>
      <c r="B58" s="110" t="e">
        <f>IF(#REF!="","",VLOOKUP(#REF!,'[1]DATA INPUT'!$A:$AP,COLUMN('[1]DATA INPUT'!B:B),FALSE))</f>
        <v>#REF!</v>
      </c>
      <c r="C58" s="111" t="e">
        <f>IF(#REF!="","",VLOOKUP(#REF!,'[1]DATA INPUT'!$A:$AP,COLUMN('[1]DATA INPUT'!C:C),FALSE))</f>
        <v>#REF!</v>
      </c>
      <c r="D58" s="112" t="e">
        <f>IF(#REF!="","",IF(LEFT(VLOOKUP(#REF!,'[1]DATA INPUT'!$A:$AP,COLUMN('[1]DATA INPUT'!E:E),FALSE),1)&lt;&gt;"",VLOOKUP(#REF!,'[1]DATA INPUT'!$A:$AP,COLUMN('[1]DATA INPUT'!E:E),FALSE),"N/A"))</f>
        <v>#REF!</v>
      </c>
      <c r="E58" s="113" t="e">
        <f>IF(#REF!="","",VLOOKUP(#REF!,'[1]DATA INPUT'!$A:$AP,COLUMN('[1]DATA INPUT'!Q:Q),FALSE))</f>
        <v>#REF!</v>
      </c>
      <c r="F58" s="114" t="e">
        <f>IF(#REF!="","",VLOOKUP(#REF!,'[1]DATA INPUT'!$A:$AP,COLUMN('[1]DATA INPUT'!K:K),FALSE))</f>
        <v>#REF!</v>
      </c>
      <c r="G58" s="114" t="str">
        <f t="shared" ca="1" si="0"/>
        <v/>
      </c>
      <c r="H58" s="116" t="e">
        <f>IF(#REF!="","",VLOOKUP(#REF!,'[1]DATA INPUT'!$A:$AP,COLUMN('[1]DATA INPUT'!F:F),FALSE))</f>
        <v>#REF!</v>
      </c>
      <c r="I58" s="116" t="e">
        <f>IF(#REF!="","",VLOOKUP(#REF!,'[1]DATA INPUT'!$A:$AP,COLUMN('[1]DATA INPUT'!L:L),FALSE))</f>
        <v>#REF!</v>
      </c>
      <c r="J58" s="117" t="e">
        <f>IF(#REF!="","",VLOOKUP(#REF!,'[1]DATA INPUT'!$A:$AP,COLUMN('[1]DATA INPUT'!P:P),FALSE))</f>
        <v>#REF!</v>
      </c>
      <c r="K58" s="118" t="str">
        <f ca="1">IFERROR(K57+MATCH(L58,OFFSET('[1]DATA INPUT'!$T$1,K57,0,100000),0),"")</f>
        <v/>
      </c>
      <c r="L58" s="119" t="str">
        <f>IF(COUNTIF($L$16:L57,#REF!)&lt;$N$2,#REF!,"")</f>
        <v/>
      </c>
      <c r="M58" s="120" t="e">
        <f>IF(#REF!="","",VLOOKUP(#REF!,'[1]DATA INPUT'!$A:$AP,COLUMN('[1]DATA INPUT'!G:G),FALSE))</f>
        <v>#REF!</v>
      </c>
      <c r="N58" s="121" t="e">
        <f>IF(#REF!="","",ROUND(VLOOKUP(#REF!,'[1]DATA INPUT'!$A:$AP,COLUMN('[1]DATA INPUT'!H:H),FALSE),2))</f>
        <v>#REF!</v>
      </c>
      <c r="O58" s="122" t="e">
        <f>IF(#REF!="","",VLOOKUP(#REF!,'[1]DATA INPUT'!$A:$AP,COLUMN('[1]DATA INPUT'!I:I),FALSE))</f>
        <v>#REF!</v>
      </c>
    </row>
    <row r="59" spans="1:24" s="123" customFormat="1" ht="40" hidden="1" customHeight="1">
      <c r="A59" s="109" t="e">
        <f>IF(#REF!="","",A58+1)</f>
        <v>#REF!</v>
      </c>
      <c r="B59" s="110" t="e">
        <f>IF(#REF!="","",VLOOKUP(#REF!,'[1]DATA INPUT'!$A:$AP,COLUMN('[1]DATA INPUT'!B:B),FALSE))</f>
        <v>#REF!</v>
      </c>
      <c r="C59" s="111" t="e">
        <f>IF(#REF!="","",VLOOKUP(#REF!,'[1]DATA INPUT'!$A:$AP,COLUMN('[1]DATA INPUT'!C:C),FALSE))</f>
        <v>#REF!</v>
      </c>
      <c r="D59" s="112" t="e">
        <f>IF(#REF!="","",IF(LEFT(VLOOKUP(#REF!,'[1]DATA INPUT'!$A:$AP,COLUMN('[1]DATA INPUT'!E:E),FALSE),1)&lt;&gt;"",VLOOKUP(#REF!,'[1]DATA INPUT'!$A:$AP,COLUMN('[1]DATA INPUT'!E:E),FALSE),"N/A"))</f>
        <v>#REF!</v>
      </c>
      <c r="E59" s="113" t="e">
        <f>IF(#REF!="","",VLOOKUP(#REF!,'[1]DATA INPUT'!$A:$AP,COLUMN('[1]DATA INPUT'!Q:Q),FALSE))</f>
        <v>#REF!</v>
      </c>
      <c r="F59" s="114" t="e">
        <f>IF(#REF!="","",VLOOKUP(#REF!,'[1]DATA INPUT'!$A:$AP,COLUMN('[1]DATA INPUT'!K:K),FALSE))</f>
        <v>#REF!</v>
      </c>
      <c r="G59" s="114" t="str">
        <f t="shared" ca="1" si="0"/>
        <v/>
      </c>
      <c r="H59" s="116" t="e">
        <f>IF(#REF!="","",VLOOKUP(#REF!,'[1]DATA INPUT'!$A:$AP,COLUMN('[1]DATA INPUT'!F:F),FALSE))</f>
        <v>#REF!</v>
      </c>
      <c r="I59" s="116" t="e">
        <f>IF(#REF!="","",VLOOKUP(#REF!,'[1]DATA INPUT'!$A:$AP,COLUMN('[1]DATA INPUT'!L:L),FALSE))</f>
        <v>#REF!</v>
      </c>
      <c r="J59" s="117" t="e">
        <f>IF(#REF!="","",VLOOKUP(#REF!,'[1]DATA INPUT'!$A:$AP,COLUMN('[1]DATA INPUT'!P:P),FALSE))</f>
        <v>#REF!</v>
      </c>
      <c r="K59" s="118" t="str">
        <f ca="1">IFERROR(K58+MATCH(L59,OFFSET('[1]DATA INPUT'!$T$1,K58,0,100000),0),"")</f>
        <v/>
      </c>
      <c r="L59" s="119" t="str">
        <f>IF(COUNTIF($L$16:L58,#REF!)&lt;$N$2,#REF!,"")</f>
        <v/>
      </c>
      <c r="M59" s="120" t="e">
        <f>IF(#REF!="","",VLOOKUP(#REF!,'[1]DATA INPUT'!$A:$AP,COLUMN('[1]DATA INPUT'!G:G),FALSE))</f>
        <v>#REF!</v>
      </c>
      <c r="N59" s="121" t="e">
        <f>IF(#REF!="","",ROUND(VLOOKUP(#REF!,'[1]DATA INPUT'!$A:$AP,COLUMN('[1]DATA INPUT'!H:H),FALSE),2))</f>
        <v>#REF!</v>
      </c>
      <c r="O59" s="122" t="e">
        <f>IF(#REF!="","",VLOOKUP(#REF!,'[1]DATA INPUT'!$A:$AP,COLUMN('[1]DATA INPUT'!I:I),FALSE))</f>
        <v>#REF!</v>
      </c>
    </row>
    <row r="60" spans="1:24" s="123" customFormat="1" ht="40" hidden="1" customHeight="1">
      <c r="A60" s="109" t="e">
        <f>IF(#REF!="","",A59+1)</f>
        <v>#REF!</v>
      </c>
      <c r="B60" s="110" t="e">
        <f>IF(#REF!="","",VLOOKUP(#REF!,'[1]DATA INPUT'!$A:$AP,COLUMN('[1]DATA INPUT'!B:B),FALSE))</f>
        <v>#REF!</v>
      </c>
      <c r="C60" s="111" t="e">
        <f>IF(#REF!="","",VLOOKUP(#REF!,'[1]DATA INPUT'!$A:$AP,COLUMN('[1]DATA INPUT'!C:C),FALSE))</f>
        <v>#REF!</v>
      </c>
      <c r="D60" s="112" t="e">
        <f>IF(#REF!="","",IF(LEFT(VLOOKUP(#REF!,'[1]DATA INPUT'!$A:$AP,COLUMN('[1]DATA INPUT'!E:E),FALSE),1)&lt;&gt;"",VLOOKUP(#REF!,'[1]DATA INPUT'!$A:$AP,COLUMN('[1]DATA INPUT'!E:E),FALSE),"N/A"))</f>
        <v>#REF!</v>
      </c>
      <c r="E60" s="113" t="e">
        <f>IF(#REF!="","",VLOOKUP(#REF!,'[1]DATA INPUT'!$A:$AP,COLUMN('[1]DATA INPUT'!Q:Q),FALSE))</f>
        <v>#REF!</v>
      </c>
      <c r="F60" s="114" t="e">
        <f>IF(#REF!="","",VLOOKUP(#REF!,'[1]DATA INPUT'!$A:$AP,COLUMN('[1]DATA INPUT'!K:K),FALSE))</f>
        <v>#REF!</v>
      </c>
      <c r="G60" s="114" t="str">
        <f t="shared" ca="1" si="0"/>
        <v/>
      </c>
      <c r="H60" s="116" t="e">
        <f>IF(#REF!="","",VLOOKUP(#REF!,'[1]DATA INPUT'!$A:$AP,COLUMN('[1]DATA INPUT'!F:F),FALSE))</f>
        <v>#REF!</v>
      </c>
      <c r="I60" s="116" t="e">
        <f>IF(#REF!="","",VLOOKUP(#REF!,'[1]DATA INPUT'!$A:$AP,COLUMN('[1]DATA INPUT'!L:L),FALSE))</f>
        <v>#REF!</v>
      </c>
      <c r="J60" s="117" t="e">
        <f>IF(#REF!="","",VLOOKUP(#REF!,'[1]DATA INPUT'!$A:$AP,COLUMN('[1]DATA INPUT'!P:P),FALSE))</f>
        <v>#REF!</v>
      </c>
      <c r="K60" s="118" t="str">
        <f ca="1">IFERROR(K59+MATCH(L60,OFFSET('[1]DATA INPUT'!$T$1,K59,0,100000),0),"")</f>
        <v/>
      </c>
      <c r="L60" s="119" t="str">
        <f>IF(COUNTIF($L$16:L59,#REF!)&lt;$N$2,#REF!,"")</f>
        <v/>
      </c>
      <c r="M60" s="120" t="e">
        <f>IF(#REF!="","",VLOOKUP(#REF!,'[1]DATA INPUT'!$A:$AP,COLUMN('[1]DATA INPUT'!G:G),FALSE))</f>
        <v>#REF!</v>
      </c>
      <c r="N60" s="121" t="e">
        <f>IF(#REF!="","",ROUND(VLOOKUP(#REF!,'[1]DATA INPUT'!$A:$AP,COLUMN('[1]DATA INPUT'!H:H),FALSE),2))</f>
        <v>#REF!</v>
      </c>
      <c r="O60" s="122" t="e">
        <f>IF(#REF!="","",VLOOKUP(#REF!,'[1]DATA INPUT'!$A:$AP,COLUMN('[1]DATA INPUT'!I:I),FALSE))</f>
        <v>#REF!</v>
      </c>
    </row>
    <row r="61" spans="1:24" s="123" customFormat="1" ht="40" hidden="1" customHeight="1">
      <c r="A61" s="109" t="e">
        <f>IF(#REF!="","",A60+1)</f>
        <v>#REF!</v>
      </c>
      <c r="B61" s="110" t="e">
        <f>IF(#REF!="","",VLOOKUP(#REF!,'[1]DATA INPUT'!$A:$AP,COLUMN('[1]DATA INPUT'!B:B),FALSE))</f>
        <v>#REF!</v>
      </c>
      <c r="C61" s="111" t="e">
        <f>IF(#REF!="","",VLOOKUP(#REF!,'[1]DATA INPUT'!$A:$AP,COLUMN('[1]DATA INPUT'!C:C),FALSE))</f>
        <v>#REF!</v>
      </c>
      <c r="D61" s="112" t="e">
        <f>IF(#REF!="","",IF(LEFT(VLOOKUP(#REF!,'[1]DATA INPUT'!$A:$AP,COLUMN('[1]DATA INPUT'!E:E),FALSE),1)&lt;&gt;"",VLOOKUP(#REF!,'[1]DATA INPUT'!$A:$AP,COLUMN('[1]DATA INPUT'!E:E),FALSE),"N/A"))</f>
        <v>#REF!</v>
      </c>
      <c r="E61" s="113" t="e">
        <f>IF(#REF!="","",VLOOKUP(#REF!,'[1]DATA INPUT'!$A:$AP,COLUMN('[1]DATA INPUT'!Q:Q),FALSE))</f>
        <v>#REF!</v>
      </c>
      <c r="F61" s="114" t="e">
        <f>IF(#REF!="","",VLOOKUP(#REF!,'[1]DATA INPUT'!$A:$AP,COLUMN('[1]DATA INPUT'!K:K),FALSE))</f>
        <v>#REF!</v>
      </c>
      <c r="G61" s="114" t="str">
        <f t="shared" ca="1" si="0"/>
        <v/>
      </c>
      <c r="H61" s="116" t="e">
        <f>IF(#REF!="","",VLOOKUP(#REF!,'[1]DATA INPUT'!$A:$AP,COLUMN('[1]DATA INPUT'!F:F),FALSE))</f>
        <v>#REF!</v>
      </c>
      <c r="I61" s="116" t="e">
        <f>IF(#REF!="","",VLOOKUP(#REF!,'[1]DATA INPUT'!$A:$AP,COLUMN('[1]DATA INPUT'!L:L),FALSE))</f>
        <v>#REF!</v>
      </c>
      <c r="J61" s="117" t="e">
        <f>IF(#REF!="","",VLOOKUP(#REF!,'[1]DATA INPUT'!$A:$AP,COLUMN('[1]DATA INPUT'!P:P),FALSE))</f>
        <v>#REF!</v>
      </c>
      <c r="K61" s="118" t="str">
        <f ca="1">IFERROR(K60+MATCH(L61,OFFSET('[1]DATA INPUT'!$T$1,K60,0,100000),0),"")</f>
        <v/>
      </c>
      <c r="L61" s="119" t="str">
        <f>IF(COUNTIF($L$16:L60,#REF!)&lt;$N$2,#REF!,"")</f>
        <v/>
      </c>
      <c r="M61" s="120" t="e">
        <f>IF(#REF!="","",VLOOKUP(#REF!,'[1]DATA INPUT'!$A:$AP,COLUMN('[1]DATA INPUT'!G:G),FALSE))</f>
        <v>#REF!</v>
      </c>
      <c r="N61" s="121" t="e">
        <f>IF(#REF!="","",ROUND(VLOOKUP(#REF!,'[1]DATA INPUT'!$A:$AP,COLUMN('[1]DATA INPUT'!H:H),FALSE),2))</f>
        <v>#REF!</v>
      </c>
      <c r="O61" s="122" t="e">
        <f>IF(#REF!="","",VLOOKUP(#REF!,'[1]DATA INPUT'!$A:$AP,COLUMN('[1]DATA INPUT'!I:I),FALSE))</f>
        <v>#REF!</v>
      </c>
    </row>
    <row r="62" spans="1:24" s="123" customFormat="1" ht="40" hidden="1" customHeight="1">
      <c r="A62" s="109" t="e">
        <f>IF(#REF!="","",A61+1)</f>
        <v>#REF!</v>
      </c>
      <c r="B62" s="110" t="e">
        <f>IF(#REF!="","",VLOOKUP(#REF!,'[1]DATA INPUT'!$A:$AP,COLUMN('[1]DATA INPUT'!B:B),FALSE))</f>
        <v>#REF!</v>
      </c>
      <c r="C62" s="111" t="e">
        <f>IF(#REF!="","",VLOOKUP(#REF!,'[1]DATA INPUT'!$A:$AP,COLUMN('[1]DATA INPUT'!C:C),FALSE))</f>
        <v>#REF!</v>
      </c>
      <c r="D62" s="112" t="e">
        <f>IF(#REF!="","",IF(LEFT(VLOOKUP(#REF!,'[1]DATA INPUT'!$A:$AP,COLUMN('[1]DATA INPUT'!E:E),FALSE),1)&lt;&gt;"",VLOOKUP(#REF!,'[1]DATA INPUT'!$A:$AP,COLUMN('[1]DATA INPUT'!E:E),FALSE),"N/A"))</f>
        <v>#REF!</v>
      </c>
      <c r="E62" s="113" t="e">
        <f>IF(#REF!="","",VLOOKUP(#REF!,'[1]DATA INPUT'!$A:$AP,COLUMN('[1]DATA INPUT'!Q:Q),FALSE))</f>
        <v>#REF!</v>
      </c>
      <c r="F62" s="114" t="e">
        <f>IF(#REF!="","",VLOOKUP(#REF!,'[1]DATA INPUT'!$A:$AP,COLUMN('[1]DATA INPUT'!K:K),FALSE))</f>
        <v>#REF!</v>
      </c>
      <c r="G62" s="114" t="str">
        <f t="shared" ca="1" si="0"/>
        <v/>
      </c>
      <c r="H62" s="116" t="e">
        <f>IF(#REF!="","",VLOOKUP(#REF!,'[1]DATA INPUT'!$A:$AP,COLUMN('[1]DATA INPUT'!F:F),FALSE))</f>
        <v>#REF!</v>
      </c>
      <c r="I62" s="116" t="e">
        <f>IF(#REF!="","",VLOOKUP(#REF!,'[1]DATA INPUT'!$A:$AP,COLUMN('[1]DATA INPUT'!L:L),FALSE))</f>
        <v>#REF!</v>
      </c>
      <c r="J62" s="117" t="e">
        <f>IF(#REF!="","",VLOOKUP(#REF!,'[1]DATA INPUT'!$A:$AP,COLUMN('[1]DATA INPUT'!P:P),FALSE))</f>
        <v>#REF!</v>
      </c>
      <c r="K62" s="118" t="str">
        <f ca="1">IFERROR(K61+MATCH(L62,OFFSET('[1]DATA INPUT'!$T$1,K61,0,100000),0),"")</f>
        <v/>
      </c>
      <c r="L62" s="119" t="str">
        <f>IF(COUNTIF($L$16:L61,#REF!)&lt;$N$2,#REF!,"")</f>
        <v/>
      </c>
      <c r="M62" s="120" t="e">
        <f>IF(#REF!="","",VLOOKUP(#REF!,'[1]DATA INPUT'!$A:$AP,COLUMN('[1]DATA INPUT'!G:G),FALSE))</f>
        <v>#REF!</v>
      </c>
      <c r="N62" s="121" t="e">
        <f>IF(#REF!="","",ROUND(VLOOKUP(#REF!,'[1]DATA INPUT'!$A:$AP,COLUMN('[1]DATA INPUT'!H:H),FALSE),2))</f>
        <v>#REF!</v>
      </c>
      <c r="O62" s="122" t="e">
        <f>IF(#REF!="","",VLOOKUP(#REF!,'[1]DATA INPUT'!$A:$AP,COLUMN('[1]DATA INPUT'!I:I),FALSE))</f>
        <v>#REF!</v>
      </c>
      <c r="Q62" s="2" t="s">
        <v>47</v>
      </c>
    </row>
    <row r="63" spans="1:24" s="123" customFormat="1" ht="40" hidden="1" customHeight="1">
      <c r="A63" s="109" t="e">
        <f>IF(#REF!="","",A62+1)</f>
        <v>#REF!</v>
      </c>
      <c r="B63" s="110" t="e">
        <f>IF(#REF!="","",VLOOKUP(#REF!,'[1]DATA INPUT'!$A:$AP,COLUMN('[1]DATA INPUT'!B:B),FALSE))</f>
        <v>#REF!</v>
      </c>
      <c r="C63" s="111" t="e">
        <f>IF(#REF!="","",VLOOKUP(#REF!,'[1]DATA INPUT'!$A:$AP,COLUMN('[1]DATA INPUT'!C:C),FALSE))</f>
        <v>#REF!</v>
      </c>
      <c r="D63" s="112" t="e">
        <f>IF(#REF!="","",IF(LEFT(VLOOKUP(#REF!,'[1]DATA INPUT'!$A:$AP,COLUMN('[1]DATA INPUT'!E:E),FALSE),1)&lt;&gt;"",VLOOKUP(#REF!,'[1]DATA INPUT'!$A:$AP,COLUMN('[1]DATA INPUT'!E:E),FALSE),"N/A"))</f>
        <v>#REF!</v>
      </c>
      <c r="E63" s="113" t="e">
        <f>IF(#REF!="","",VLOOKUP(#REF!,'[1]DATA INPUT'!$A:$AP,COLUMN('[1]DATA INPUT'!Q:Q),FALSE))</f>
        <v>#REF!</v>
      </c>
      <c r="F63" s="114" t="e">
        <f>IF(#REF!="","",VLOOKUP(#REF!,'[1]DATA INPUT'!$A:$AP,COLUMN('[1]DATA INPUT'!K:K),FALSE))</f>
        <v>#REF!</v>
      </c>
      <c r="G63" s="114" t="str">
        <f t="shared" ca="1" si="0"/>
        <v/>
      </c>
      <c r="H63" s="116" t="e">
        <f>IF(#REF!="","",VLOOKUP(#REF!,'[1]DATA INPUT'!$A:$AP,COLUMN('[1]DATA INPUT'!F:F),FALSE))</f>
        <v>#REF!</v>
      </c>
      <c r="I63" s="116" t="e">
        <f>IF(#REF!="","",VLOOKUP(#REF!,'[1]DATA INPUT'!$A:$AP,COLUMN('[1]DATA INPUT'!L:L),FALSE))</f>
        <v>#REF!</v>
      </c>
      <c r="J63" s="117" t="e">
        <f>IF(#REF!="","",VLOOKUP(#REF!,'[1]DATA INPUT'!$A:$AP,COLUMN('[1]DATA INPUT'!P:P),FALSE))</f>
        <v>#REF!</v>
      </c>
      <c r="K63" s="118" t="str">
        <f ca="1">IFERROR(K62+MATCH(L63,OFFSET('[1]DATA INPUT'!$T$1,K62,0,100000),0),"")</f>
        <v/>
      </c>
      <c r="L63" s="119" t="str">
        <f>IF(COUNTIF($L$16:L62,#REF!)&lt;$N$2,#REF!,"")</f>
        <v/>
      </c>
      <c r="M63" s="120" t="e">
        <f>IF(#REF!="","",VLOOKUP(#REF!,'[1]DATA INPUT'!$A:$AP,COLUMN('[1]DATA INPUT'!G:G),FALSE))</f>
        <v>#REF!</v>
      </c>
      <c r="N63" s="121" t="e">
        <f>IF(#REF!="","",ROUND(VLOOKUP(#REF!,'[1]DATA INPUT'!$A:$AP,COLUMN('[1]DATA INPUT'!H:H),FALSE),2))</f>
        <v>#REF!</v>
      </c>
      <c r="O63" s="122" t="e">
        <f>IF(#REF!="","",VLOOKUP(#REF!,'[1]DATA INPUT'!$A:$AP,COLUMN('[1]DATA INPUT'!I:I),FALSE))</f>
        <v>#REF!</v>
      </c>
      <c r="Q63" s="2" t="s">
        <v>48</v>
      </c>
    </row>
    <row r="64" spans="1:24" s="123" customFormat="1" ht="40" hidden="1" customHeight="1">
      <c r="A64" s="109" t="e">
        <f>IF(#REF!="","",A63+1)</f>
        <v>#REF!</v>
      </c>
      <c r="B64" s="110" t="e">
        <f>IF(#REF!="","",VLOOKUP(#REF!,'[1]DATA INPUT'!$A:$AP,COLUMN('[1]DATA INPUT'!B:B),FALSE))</f>
        <v>#REF!</v>
      </c>
      <c r="C64" s="111" t="e">
        <f>IF(#REF!="","",VLOOKUP(#REF!,'[1]DATA INPUT'!$A:$AP,COLUMN('[1]DATA INPUT'!C:C),FALSE))</f>
        <v>#REF!</v>
      </c>
      <c r="D64" s="112" t="e">
        <f>IF(#REF!="","",IF(LEFT(VLOOKUP(#REF!,'[1]DATA INPUT'!$A:$AP,COLUMN('[1]DATA INPUT'!E:E),FALSE),1)&lt;&gt;"",VLOOKUP(#REF!,'[1]DATA INPUT'!$A:$AP,COLUMN('[1]DATA INPUT'!E:E),FALSE),"N/A"))</f>
        <v>#REF!</v>
      </c>
      <c r="E64" s="113" t="e">
        <f>IF(#REF!="","",VLOOKUP(#REF!,'[1]DATA INPUT'!$A:$AP,COLUMN('[1]DATA INPUT'!Q:Q),FALSE))</f>
        <v>#REF!</v>
      </c>
      <c r="F64" s="114" t="e">
        <f>IF(#REF!="","",VLOOKUP(#REF!,'[1]DATA INPUT'!$A:$AP,COLUMN('[1]DATA INPUT'!K:K),FALSE))</f>
        <v>#REF!</v>
      </c>
      <c r="G64" s="114" t="str">
        <f t="shared" ca="1" si="0"/>
        <v/>
      </c>
      <c r="H64" s="116" t="e">
        <f>IF(#REF!="","",VLOOKUP(#REF!,'[1]DATA INPUT'!$A:$AP,COLUMN('[1]DATA INPUT'!F:F),FALSE))</f>
        <v>#REF!</v>
      </c>
      <c r="I64" s="116" t="e">
        <f>IF(#REF!="","",VLOOKUP(#REF!,'[1]DATA INPUT'!$A:$AP,COLUMN('[1]DATA INPUT'!L:L),FALSE))</f>
        <v>#REF!</v>
      </c>
      <c r="J64" s="117" t="e">
        <f>IF(#REF!="","",VLOOKUP(#REF!,'[1]DATA INPUT'!$A:$AP,COLUMN('[1]DATA INPUT'!P:P),FALSE))</f>
        <v>#REF!</v>
      </c>
      <c r="K64" s="118" t="str">
        <f ca="1">IFERROR(K63+MATCH(L64,OFFSET('[1]DATA INPUT'!$T$1,K63,0,100000),0),"")</f>
        <v/>
      </c>
      <c r="L64" s="119" t="str">
        <f>IF(COUNTIF($L$16:L63,#REF!)&lt;$N$2,#REF!,"")</f>
        <v/>
      </c>
      <c r="M64" s="120" t="e">
        <f>IF(#REF!="","",VLOOKUP(#REF!,'[1]DATA INPUT'!$A:$AP,COLUMN('[1]DATA INPUT'!G:G),FALSE))</f>
        <v>#REF!</v>
      </c>
      <c r="N64" s="121" t="e">
        <f>IF(#REF!="","",ROUND(VLOOKUP(#REF!,'[1]DATA INPUT'!$A:$AP,COLUMN('[1]DATA INPUT'!H:H),FALSE),2))</f>
        <v>#REF!</v>
      </c>
      <c r="O64" s="122" t="e">
        <f>IF(#REF!="","",VLOOKUP(#REF!,'[1]DATA INPUT'!$A:$AP,COLUMN('[1]DATA INPUT'!I:I),FALSE))</f>
        <v>#REF!</v>
      </c>
      <c r="Q64" s="2" t="s">
        <v>49</v>
      </c>
    </row>
    <row r="65" spans="1:17" s="123" customFormat="1" ht="40" hidden="1" customHeight="1">
      <c r="A65" s="109" t="e">
        <f>IF(#REF!="","",A64+1)</f>
        <v>#REF!</v>
      </c>
      <c r="B65" s="110" t="e">
        <f>IF(#REF!="","",VLOOKUP(#REF!,'[1]DATA INPUT'!$A:$AP,COLUMN('[1]DATA INPUT'!B:B),FALSE))</f>
        <v>#REF!</v>
      </c>
      <c r="C65" s="111" t="e">
        <f>IF(#REF!="","",VLOOKUP(#REF!,'[1]DATA INPUT'!$A:$AP,COLUMN('[1]DATA INPUT'!C:C),FALSE))</f>
        <v>#REF!</v>
      </c>
      <c r="D65" s="112" t="e">
        <f>IF(#REF!="","",IF(LEFT(VLOOKUP(#REF!,'[1]DATA INPUT'!$A:$AP,COLUMN('[1]DATA INPUT'!E:E),FALSE),1)&lt;&gt;"",VLOOKUP(#REF!,'[1]DATA INPUT'!$A:$AP,COLUMN('[1]DATA INPUT'!E:E),FALSE),"N/A"))</f>
        <v>#REF!</v>
      </c>
      <c r="E65" s="113" t="e">
        <f>IF(#REF!="","",VLOOKUP(#REF!,'[1]DATA INPUT'!$A:$AP,COLUMN('[1]DATA INPUT'!Q:Q),FALSE))</f>
        <v>#REF!</v>
      </c>
      <c r="F65" s="114" t="e">
        <f>IF(#REF!="","",VLOOKUP(#REF!,'[1]DATA INPUT'!$A:$AP,COLUMN('[1]DATA INPUT'!K:K),FALSE))</f>
        <v>#REF!</v>
      </c>
      <c r="G65" s="114" t="str">
        <f t="shared" ca="1" si="0"/>
        <v/>
      </c>
      <c r="H65" s="116" t="e">
        <f>IF(#REF!="","",VLOOKUP(#REF!,'[1]DATA INPUT'!$A:$AP,COLUMN('[1]DATA INPUT'!F:F),FALSE))</f>
        <v>#REF!</v>
      </c>
      <c r="I65" s="116" t="e">
        <f>IF(#REF!="","",VLOOKUP(#REF!,'[1]DATA INPUT'!$A:$AP,COLUMN('[1]DATA INPUT'!L:L),FALSE))</f>
        <v>#REF!</v>
      </c>
      <c r="J65" s="117" t="e">
        <f>IF(#REF!="","",VLOOKUP(#REF!,'[1]DATA INPUT'!$A:$AP,COLUMN('[1]DATA INPUT'!P:P),FALSE))</f>
        <v>#REF!</v>
      </c>
      <c r="K65" s="118" t="str">
        <f ca="1">IFERROR(K64+MATCH(L65,OFFSET('[1]DATA INPUT'!$T$1,K64,0,100000),0),"")</f>
        <v/>
      </c>
      <c r="L65" s="119" t="str">
        <f>IF(COUNTIF($L$16:L64,#REF!)&lt;$N$2,#REF!,"")</f>
        <v/>
      </c>
      <c r="M65" s="120" t="e">
        <f>IF(#REF!="","",VLOOKUP(#REF!,'[1]DATA INPUT'!$A:$AP,COLUMN('[1]DATA INPUT'!G:G),FALSE))</f>
        <v>#REF!</v>
      </c>
      <c r="N65" s="121" t="e">
        <f>IF(#REF!="","",ROUND(VLOOKUP(#REF!,'[1]DATA INPUT'!$A:$AP,COLUMN('[1]DATA INPUT'!H:H),FALSE),2))</f>
        <v>#REF!</v>
      </c>
      <c r="O65" s="122" t="e">
        <f>IF(#REF!="","",VLOOKUP(#REF!,'[1]DATA INPUT'!$A:$AP,COLUMN('[1]DATA INPUT'!I:I),FALSE))</f>
        <v>#REF!</v>
      </c>
    </row>
    <row r="66" spans="1:17" s="123" customFormat="1" ht="40" hidden="1" customHeight="1">
      <c r="A66" s="109" t="e">
        <f>IF(#REF!="","",A65+1)</f>
        <v>#REF!</v>
      </c>
      <c r="B66" s="110" t="e">
        <f>IF(#REF!="","",VLOOKUP(#REF!,'[1]DATA INPUT'!$A:$AP,COLUMN('[1]DATA INPUT'!B:B),FALSE))</f>
        <v>#REF!</v>
      </c>
      <c r="C66" s="111" t="e">
        <f>IF(#REF!="","",VLOOKUP(#REF!,'[1]DATA INPUT'!$A:$AP,COLUMN('[1]DATA INPUT'!C:C),FALSE))</f>
        <v>#REF!</v>
      </c>
      <c r="D66" s="112" t="e">
        <f>IF(#REF!="","",IF(LEFT(VLOOKUP(#REF!,'[1]DATA INPUT'!$A:$AP,COLUMN('[1]DATA INPUT'!E:E),FALSE),1)&lt;&gt;"",VLOOKUP(#REF!,'[1]DATA INPUT'!$A:$AP,COLUMN('[1]DATA INPUT'!E:E),FALSE),"N/A"))</f>
        <v>#REF!</v>
      </c>
      <c r="E66" s="113" t="e">
        <f>IF(#REF!="","",VLOOKUP(#REF!,'[1]DATA INPUT'!$A:$AP,COLUMN('[1]DATA INPUT'!Q:Q),FALSE))</f>
        <v>#REF!</v>
      </c>
      <c r="F66" s="114" t="e">
        <f>IF(#REF!="","",VLOOKUP(#REF!,'[1]DATA INPUT'!$A:$AP,COLUMN('[1]DATA INPUT'!K:K),FALSE))</f>
        <v>#REF!</v>
      </c>
      <c r="G66" s="114" t="str">
        <f t="shared" ca="1" si="0"/>
        <v/>
      </c>
      <c r="H66" s="116" t="e">
        <f>IF(#REF!="","",VLOOKUP(#REF!,'[1]DATA INPUT'!$A:$AP,COLUMN('[1]DATA INPUT'!F:F),FALSE))</f>
        <v>#REF!</v>
      </c>
      <c r="I66" s="116" t="e">
        <f>IF(#REF!="","",VLOOKUP(#REF!,'[1]DATA INPUT'!$A:$AP,COLUMN('[1]DATA INPUT'!L:L),FALSE))</f>
        <v>#REF!</v>
      </c>
      <c r="J66" s="117" t="e">
        <f>IF(#REF!="","",VLOOKUP(#REF!,'[1]DATA INPUT'!$A:$AP,COLUMN('[1]DATA INPUT'!P:P),FALSE))</f>
        <v>#REF!</v>
      </c>
      <c r="K66" s="118" t="str">
        <f ca="1">IFERROR(K65+MATCH(L66,OFFSET('[1]DATA INPUT'!$T$1,K65,0,100000),0),"")</f>
        <v/>
      </c>
      <c r="L66" s="119" t="str">
        <f>IF(COUNTIF($L$16:L65,#REF!)&lt;$N$2,#REF!,"")</f>
        <v/>
      </c>
      <c r="M66" s="120" t="e">
        <f>IF(#REF!="","",VLOOKUP(#REF!,'[1]DATA INPUT'!$A:$AP,COLUMN('[1]DATA INPUT'!G:G),FALSE))</f>
        <v>#REF!</v>
      </c>
      <c r="N66" s="121" t="e">
        <f>IF(#REF!="","",ROUND(VLOOKUP(#REF!,'[1]DATA INPUT'!$A:$AP,COLUMN('[1]DATA INPUT'!H:H),FALSE),2))</f>
        <v>#REF!</v>
      </c>
      <c r="O66" s="122" t="e">
        <f>IF(#REF!="","",VLOOKUP(#REF!,'[1]DATA INPUT'!$A:$AP,COLUMN('[1]DATA INPUT'!I:I),FALSE))</f>
        <v>#REF!</v>
      </c>
    </row>
    <row r="67" spans="1:17" s="123" customFormat="1" ht="30" hidden="1" customHeight="1">
      <c r="A67" s="109" t="e">
        <f>IF(#REF!="","",A66+1)</f>
        <v>#REF!</v>
      </c>
      <c r="B67" s="110" t="e">
        <f>IF(#REF!="","",VLOOKUP(#REF!,'[1]DATA INPUT'!$A:$AP,COLUMN('[1]DATA INPUT'!B:B),FALSE))</f>
        <v>#REF!</v>
      </c>
      <c r="C67" s="111" t="e">
        <f>IF(#REF!="","",VLOOKUP(#REF!,'[1]DATA INPUT'!$A:$AP,COLUMN('[1]DATA INPUT'!C:C),FALSE))</f>
        <v>#REF!</v>
      </c>
      <c r="D67" s="112" t="e">
        <f>IF(#REF!="","",IF(LEFT(VLOOKUP(#REF!,'[1]DATA INPUT'!$A:$AP,COLUMN('[1]DATA INPUT'!E:E),FALSE),1)&lt;&gt;"",VLOOKUP(#REF!,'[1]DATA INPUT'!$A:$AP,COLUMN('[1]DATA INPUT'!E:E),FALSE),"N/A"))</f>
        <v>#REF!</v>
      </c>
      <c r="E67" s="113" t="e">
        <f>IF(#REF!="","",VLOOKUP(#REF!,'[1]DATA INPUT'!$A:$AP,COLUMN('[1]DATA INPUT'!Q:Q),FALSE))</f>
        <v>#REF!</v>
      </c>
      <c r="F67" s="114" t="e">
        <f>IF(#REF!="","",VLOOKUP(#REF!,'[1]DATA INPUT'!$A:$AP,COLUMN('[1]DATA INPUT'!K:K),FALSE))</f>
        <v>#REF!</v>
      </c>
      <c r="G67" s="114" t="str">
        <f t="shared" ca="1" si="0"/>
        <v/>
      </c>
      <c r="H67" s="116" t="e">
        <f>IF(#REF!="","",VLOOKUP(#REF!,'[1]DATA INPUT'!$A:$AP,COLUMN('[1]DATA INPUT'!F:F),FALSE))</f>
        <v>#REF!</v>
      </c>
      <c r="I67" s="116" t="e">
        <f>IF(#REF!="","",VLOOKUP(#REF!,'[1]DATA INPUT'!$A:$AP,COLUMN('[1]DATA INPUT'!L:L),FALSE))</f>
        <v>#REF!</v>
      </c>
      <c r="J67" s="117" t="e">
        <f>IF(#REF!="","",VLOOKUP(#REF!,'[1]DATA INPUT'!$A:$AP,COLUMN('[1]DATA INPUT'!P:P),FALSE))</f>
        <v>#REF!</v>
      </c>
      <c r="K67" s="118" t="str">
        <f ca="1">IFERROR(K66+MATCH(L67,OFFSET('[1]DATA INPUT'!$T$1,K66,0,100000),0),"")</f>
        <v/>
      </c>
      <c r="L67" s="119" t="str">
        <f>IF(COUNTIF($L$16:L66,#REF!)&lt;$N$2,#REF!,"")</f>
        <v/>
      </c>
      <c r="M67" s="120" t="e">
        <f>IF(#REF!="","",VLOOKUP(#REF!,'[1]DATA INPUT'!$A:$AP,COLUMN('[1]DATA INPUT'!G:G),FALSE))</f>
        <v>#REF!</v>
      </c>
      <c r="N67" s="121" t="e">
        <f>IF(#REF!="","",ROUND(VLOOKUP(#REF!,'[1]DATA INPUT'!$A:$AP,COLUMN('[1]DATA INPUT'!H:H),FALSE),2))</f>
        <v>#REF!</v>
      </c>
      <c r="O67" s="122" t="e">
        <f>IF(#REF!="","",VLOOKUP(#REF!,'[1]DATA INPUT'!$A:$AP,COLUMN('[1]DATA INPUT'!I:I),FALSE))</f>
        <v>#REF!</v>
      </c>
    </row>
    <row r="68" spans="1:17" s="123" customFormat="1" ht="30" hidden="1" customHeight="1">
      <c r="A68" s="109" t="e">
        <f>IF(#REF!="","",A67+1)</f>
        <v>#REF!</v>
      </c>
      <c r="B68" s="110" t="e">
        <f>IF(#REF!="","",VLOOKUP(#REF!,'[1]DATA INPUT'!$A:$AP,COLUMN('[1]DATA INPUT'!B:B),FALSE))</f>
        <v>#REF!</v>
      </c>
      <c r="C68" s="111" t="e">
        <f>IF(#REF!="","",VLOOKUP(#REF!,'[1]DATA INPUT'!$A:$AP,COLUMN('[1]DATA INPUT'!C:C),FALSE))</f>
        <v>#REF!</v>
      </c>
      <c r="D68" s="112" t="e">
        <f>IF(#REF!="","",IF(LEFT(VLOOKUP(#REF!,'[1]DATA INPUT'!$A:$AP,COLUMN('[1]DATA INPUT'!E:E),FALSE),1)&lt;&gt;"",VLOOKUP(#REF!,'[1]DATA INPUT'!$A:$AP,COLUMN('[1]DATA INPUT'!E:E),FALSE),"N/A"))</f>
        <v>#REF!</v>
      </c>
      <c r="E68" s="113" t="e">
        <f>IF(#REF!="","",VLOOKUP(#REF!,'[1]DATA INPUT'!$A:$AP,COLUMN('[1]DATA INPUT'!Q:Q),FALSE))</f>
        <v>#REF!</v>
      </c>
      <c r="F68" s="114" t="e">
        <f>IF(#REF!="","",VLOOKUP(#REF!,'[1]DATA INPUT'!$A:$AP,COLUMN('[1]DATA INPUT'!K:K),FALSE))</f>
        <v>#REF!</v>
      </c>
      <c r="G68" s="114" t="str">
        <f t="shared" ca="1" si="0"/>
        <v/>
      </c>
      <c r="H68" s="116" t="e">
        <f>IF(#REF!="","",VLOOKUP(#REF!,'[1]DATA INPUT'!$A:$AP,COLUMN('[1]DATA INPUT'!F:F),FALSE))</f>
        <v>#REF!</v>
      </c>
      <c r="I68" s="116" t="e">
        <f>IF(#REF!="","",VLOOKUP(#REF!,'[1]DATA INPUT'!$A:$AP,COLUMN('[1]DATA INPUT'!L:L),FALSE))</f>
        <v>#REF!</v>
      </c>
      <c r="J68" s="117" t="e">
        <f>IF(#REF!="","",VLOOKUP(#REF!,'[1]DATA INPUT'!$A:$AP,COLUMN('[1]DATA INPUT'!P:P),FALSE))</f>
        <v>#REF!</v>
      </c>
      <c r="K68" s="118" t="str">
        <f ca="1">IFERROR(K67+MATCH(L68,OFFSET('[1]DATA INPUT'!$T$1,K67,0,100000),0),"")</f>
        <v/>
      </c>
      <c r="L68" s="119" t="str">
        <f>IF(COUNTIF($L$16:L67,#REF!)&lt;$N$2,#REF!,"")</f>
        <v/>
      </c>
      <c r="M68" s="120" t="e">
        <f>IF(#REF!="","",VLOOKUP(#REF!,'[1]DATA INPUT'!$A:$AP,COLUMN('[1]DATA INPUT'!G:G),FALSE))</f>
        <v>#REF!</v>
      </c>
      <c r="N68" s="121" t="e">
        <f>IF(#REF!="","",ROUND(VLOOKUP(#REF!,'[1]DATA INPUT'!$A:$AP,COLUMN('[1]DATA INPUT'!H:H),FALSE),2))</f>
        <v>#REF!</v>
      </c>
      <c r="O68" s="122" t="e">
        <f>IF(#REF!="","",VLOOKUP(#REF!,'[1]DATA INPUT'!$A:$AP,COLUMN('[1]DATA INPUT'!I:I),FALSE))</f>
        <v>#REF!</v>
      </c>
    </row>
    <row r="69" spans="1:17" s="123" customFormat="1" ht="30.75" hidden="1" customHeight="1">
      <c r="A69" s="109" t="e">
        <f>IF(#REF!="","",A68+1)</f>
        <v>#REF!</v>
      </c>
      <c r="B69" s="110" t="e">
        <f>IF(#REF!="","",VLOOKUP(#REF!,'[1]DATA INPUT'!$A:$AP,COLUMN('[1]DATA INPUT'!B:B),FALSE))</f>
        <v>#REF!</v>
      </c>
      <c r="C69" s="111" t="e">
        <f>IF(#REF!="","",VLOOKUP(#REF!,'[1]DATA INPUT'!$A:$AP,COLUMN('[1]DATA INPUT'!C:C),FALSE))</f>
        <v>#REF!</v>
      </c>
      <c r="D69" s="112" t="e">
        <f>IF(#REF!="","",IF(LEFT(VLOOKUP(#REF!,'[1]DATA INPUT'!$A:$AP,COLUMN('[1]DATA INPUT'!E:E),FALSE),1)&lt;&gt;"",VLOOKUP(#REF!,'[1]DATA INPUT'!$A:$AP,COLUMN('[1]DATA INPUT'!E:E),FALSE),"N/A"))</f>
        <v>#REF!</v>
      </c>
      <c r="E69" s="113" t="e">
        <f>IF(#REF!="","",VLOOKUP(#REF!,'[1]DATA INPUT'!$A:$AP,COLUMN('[1]DATA INPUT'!Q:Q),FALSE))</f>
        <v>#REF!</v>
      </c>
      <c r="F69" s="114" t="e">
        <f>IF(#REF!="","",VLOOKUP(#REF!,'[1]DATA INPUT'!$A:$AP,COLUMN('[1]DATA INPUT'!K:K),FALSE))</f>
        <v>#REF!</v>
      </c>
      <c r="G69" s="114" t="str">
        <f t="shared" ca="1" si="0"/>
        <v/>
      </c>
      <c r="H69" s="116" t="e">
        <f>IF(#REF!="","",VLOOKUP(#REF!,'[1]DATA INPUT'!$A:$AP,COLUMN('[1]DATA INPUT'!F:F),FALSE))</f>
        <v>#REF!</v>
      </c>
      <c r="I69" s="116" t="e">
        <f>IF(#REF!="","",VLOOKUP(#REF!,'[1]DATA INPUT'!$A:$AP,COLUMN('[1]DATA INPUT'!L:L),FALSE))</f>
        <v>#REF!</v>
      </c>
      <c r="J69" s="117" t="e">
        <f>IF(#REF!="","",VLOOKUP(#REF!,'[1]DATA INPUT'!$A:$AP,COLUMN('[1]DATA INPUT'!P:P),FALSE))</f>
        <v>#REF!</v>
      </c>
      <c r="K69" s="118" t="str">
        <f ca="1">IFERROR(K68+MATCH(L69,OFFSET('[1]DATA INPUT'!$T$1,K68,0,100000),0),"")</f>
        <v/>
      </c>
      <c r="L69" s="119" t="str">
        <f>IF(COUNTIF($L$16:L68,#REF!)&lt;$N$2,#REF!,"")</f>
        <v/>
      </c>
      <c r="M69" s="120" t="e">
        <f>IF(#REF!="","",VLOOKUP(#REF!,'[1]DATA INPUT'!$A:$AP,COLUMN('[1]DATA INPUT'!G:G),FALSE))</f>
        <v>#REF!</v>
      </c>
      <c r="N69" s="121" t="e">
        <f>IF(#REF!="","",ROUND(VLOOKUP(#REF!,'[1]DATA INPUT'!$A:$AP,COLUMN('[1]DATA INPUT'!H:H),FALSE),2))</f>
        <v>#REF!</v>
      </c>
      <c r="O69" s="122" t="e">
        <f>IF(#REF!="","",VLOOKUP(#REF!,'[1]DATA INPUT'!$A:$AP,COLUMN('[1]DATA INPUT'!I:I),FALSE))</f>
        <v>#REF!</v>
      </c>
    </row>
    <row r="70" spans="1:17" s="123" customFormat="1" ht="45" customHeight="1">
      <c r="A70" s="131" t="s">
        <v>51</v>
      </c>
      <c r="B70" s="132"/>
      <c r="C70" s="132"/>
      <c r="D70" s="132"/>
      <c r="E70" s="132"/>
      <c r="F70" s="132"/>
      <c r="G70" s="132"/>
      <c r="H70" s="132"/>
      <c r="I70" s="132"/>
      <c r="J70" s="133"/>
      <c r="K70" s="118" t="str">
        <f ca="1">IFERROR(#REF!+MATCH(L70,OFFSET('[1]DATA INPUT'!$T$1,#REF!,0,100000),0),"")</f>
        <v/>
      </c>
      <c r="L70" s="119" t="str">
        <f>IF(COUNTIF($L$16:L69,#REF!)&lt;$N$2,#REF!,"")</f>
        <v/>
      </c>
      <c r="M70" s="120" t="e">
        <f>IF(#REF!="","",VLOOKUP(#REF!,'[1]DATA INPUT'!$A:$AP,COLUMN('[1]DATA INPUT'!G:G),FALSE))</f>
        <v>#REF!</v>
      </c>
      <c r="N70" s="134" t="e">
        <f>IF(#REF!="","",ROUND(VLOOKUP(#REF!,'[1]DATA INPUT'!$A:$AP,COLUMN('[1]DATA INPUT'!H:H),FALSE),2))</f>
        <v>#REF!</v>
      </c>
      <c r="O70" s="135" t="e">
        <f>IF(#REF!="","",VLOOKUP(#REF!,'[1]DATA INPUT'!$A:$AP,COLUMN('[1]DATA INPUT'!I:I),FALSE))</f>
        <v>#REF!</v>
      </c>
    </row>
    <row r="71" spans="1:17" s="149" customFormat="1" ht="30.75" customHeight="1">
      <c r="A71" s="136" t="s">
        <v>52</v>
      </c>
      <c r="B71" s="137"/>
      <c r="C71" s="138"/>
      <c r="D71" s="139" t="s">
        <v>53</v>
      </c>
      <c r="E71" s="140"/>
      <c r="F71" s="138"/>
      <c r="G71" s="141" t="s">
        <v>54</v>
      </c>
      <c r="H71" s="141"/>
      <c r="I71" s="142"/>
      <c r="J71" s="143"/>
      <c r="K71" s="144"/>
      <c r="L71" s="145"/>
      <c r="M71" s="145"/>
      <c r="N71" s="146" t="s">
        <v>55</v>
      </c>
      <c r="O71" s="147" t="s">
        <v>56</v>
      </c>
      <c r="P71" s="147"/>
      <c r="Q71" s="148" t="s">
        <v>57</v>
      </c>
    </row>
    <row r="72" spans="1:17" s="149" customFormat="1" ht="14.25" customHeight="1">
      <c r="A72" s="150" t="s">
        <v>58</v>
      </c>
      <c r="B72" s="151"/>
      <c r="C72" s="152"/>
      <c r="D72" s="153" t="s">
        <v>58</v>
      </c>
      <c r="E72" s="154"/>
      <c r="F72" s="152"/>
      <c r="G72" s="151" t="s">
        <v>58</v>
      </c>
      <c r="H72" s="151"/>
      <c r="I72" s="154"/>
      <c r="J72" s="152"/>
      <c r="K72" s="144"/>
      <c r="L72" s="145"/>
      <c r="M72" s="145"/>
      <c r="N72" s="146" t="s">
        <v>59</v>
      </c>
      <c r="O72" s="147" t="s">
        <v>60</v>
      </c>
      <c r="P72" s="147"/>
      <c r="Q72" s="148" t="s">
        <v>61</v>
      </c>
    </row>
    <row r="73" spans="1:17" s="149" customFormat="1" ht="20.25" customHeight="1">
      <c r="A73" s="155" t="str">
        <f>IFERROR(VLOOKUP(K73, N:Q, 2, FALSE), "Không tìm thấy")</f>
        <v>DINH VAN HIEU</v>
      </c>
      <c r="B73" s="156"/>
      <c r="C73" s="157"/>
      <c r="D73" s="155" t="str">
        <f>A73</f>
        <v>DINH VAN HIEU</v>
      </c>
      <c r="E73" s="156"/>
      <c r="F73" s="158"/>
      <c r="G73" s="155" t="s">
        <v>62</v>
      </c>
      <c r="H73" s="156"/>
      <c r="I73" s="156"/>
      <c r="J73" s="158"/>
      <c r="K73" s="146" t="s">
        <v>63</v>
      </c>
      <c r="L73" s="145" t="e">
        <f>VLOOKUP(#REF!,'[1]DATA INPUT'!$A:$AP,COLUMN('[1]DATA INPUT'!R:R),FALSE)</f>
        <v>#REF!</v>
      </c>
      <c r="M73" s="145"/>
      <c r="N73" s="146" t="s">
        <v>64</v>
      </c>
      <c r="O73" s="147" t="s">
        <v>65</v>
      </c>
      <c r="P73" s="147"/>
      <c r="Q73" s="159" t="s">
        <v>66</v>
      </c>
    </row>
    <row r="74" spans="1:17" s="149" customFormat="1" ht="39" customHeight="1">
      <c r="A74" s="160" t="s">
        <v>67</v>
      </c>
      <c r="B74" s="161"/>
      <c r="C74" s="162"/>
      <c r="D74" s="163" t="s">
        <v>67</v>
      </c>
      <c r="E74" s="164"/>
      <c r="F74" s="162"/>
      <c r="G74" s="151" t="s">
        <v>67</v>
      </c>
      <c r="H74" s="151"/>
      <c r="I74" s="154"/>
      <c r="J74" s="152"/>
      <c r="K74" s="144"/>
      <c r="L74" s="145"/>
      <c r="M74" s="145"/>
      <c r="N74" s="146" t="s">
        <v>68</v>
      </c>
      <c r="O74" s="147" t="s">
        <v>69</v>
      </c>
      <c r="P74" s="147"/>
      <c r="Q74" s="148" t="s">
        <v>70</v>
      </c>
    </row>
    <row r="75" spans="1:17" s="149" customFormat="1" ht="20.25" customHeight="1">
      <c r="A75" s="165" t="str">
        <f>"Tel: " &amp; IFERROR(VLOOKUP(K73, N:Q, 4, FALSE), "Không tìm thấy")</f>
        <v xml:space="preserve">Tel: 0522.726.688 </v>
      </c>
      <c r="B75" s="166"/>
      <c r="C75" s="167"/>
      <c r="D75" s="165" t="str">
        <f>A75</f>
        <v xml:space="preserve">Tel: 0522.726.688 </v>
      </c>
      <c r="E75" s="166"/>
      <c r="F75" s="167"/>
      <c r="G75" s="151"/>
      <c r="H75" s="151"/>
      <c r="I75" s="154"/>
      <c r="J75" s="152"/>
      <c r="K75" s="144"/>
      <c r="L75" s="145"/>
      <c r="M75" s="145"/>
      <c r="N75" s="146" t="s">
        <v>71</v>
      </c>
      <c r="O75" s="147" t="s">
        <v>72</v>
      </c>
      <c r="P75" s="147"/>
      <c r="Q75" s="168">
        <v>919198789</v>
      </c>
    </row>
    <row r="76" spans="1:17" s="169" customFormat="1" ht="27" customHeight="1">
      <c r="A76" s="170" t="e">
        <f>"Date/Ngày:   " &amp;TEXT(H5,"dd.mm.yyyy")</f>
        <v>#REF!</v>
      </c>
      <c r="B76" s="171"/>
      <c r="C76" s="172"/>
      <c r="D76" s="173" t="e">
        <f>A76</f>
        <v>#REF!</v>
      </c>
      <c r="E76" s="174"/>
      <c r="F76" s="175"/>
      <c r="G76" s="176" t="e">
        <f>"Date/Ngày:   " &amp;TEXT(H7,"dd.mm.yyyy")</f>
        <v>#REF!</v>
      </c>
      <c r="H76" s="176"/>
      <c r="I76" s="177"/>
      <c r="J76" s="178"/>
      <c r="K76" s="179"/>
      <c r="L76" s="179"/>
      <c r="N76" s="146" t="s">
        <v>73</v>
      </c>
      <c r="O76" s="180" t="s">
        <v>74</v>
      </c>
      <c r="P76" s="180"/>
      <c r="Q76" s="148" t="s">
        <v>75</v>
      </c>
    </row>
    <row r="77" spans="1:17" ht="15.6">
      <c r="N77" s="181" t="s">
        <v>77</v>
      </c>
      <c r="O77" s="182" t="s">
        <v>78</v>
      </c>
      <c r="P77" s="182"/>
      <c r="Q77" s="168" t="s">
        <v>79</v>
      </c>
    </row>
    <row r="78" spans="1:17" ht="15.6">
      <c r="N78" s="181" t="s">
        <v>80</v>
      </c>
      <c r="O78" s="182" t="s">
        <v>81</v>
      </c>
      <c r="P78" s="182"/>
      <c r="Q78" s="148" t="s">
        <v>76</v>
      </c>
    </row>
    <row r="79" spans="1:17" ht="17.7">
      <c r="A79" s="2" t="s">
        <v>82</v>
      </c>
      <c r="N79" s="181" t="s">
        <v>83</v>
      </c>
      <c r="O79" s="182" t="s">
        <v>84</v>
      </c>
      <c r="P79" s="182"/>
      <c r="Q79" s="148">
        <v>854171835</v>
      </c>
    </row>
    <row r="80" spans="1:17" ht="15.6">
      <c r="N80" s="181" t="s">
        <v>85</v>
      </c>
      <c r="O80" s="182" t="s">
        <v>86</v>
      </c>
      <c r="P80" s="182"/>
      <c r="Q80" s="148" t="s">
        <v>87</v>
      </c>
    </row>
    <row r="81" spans="14:17" ht="15.6">
      <c r="N81" s="181" t="s">
        <v>88</v>
      </c>
      <c r="O81" s="182" t="s">
        <v>89</v>
      </c>
      <c r="P81" s="182"/>
      <c r="Q81" s="148" t="s">
        <v>90</v>
      </c>
    </row>
    <row r="82" spans="14:17" ht="15.6">
      <c r="N82" s="181" t="s">
        <v>91</v>
      </c>
      <c r="O82" s="182" t="s">
        <v>92</v>
      </c>
      <c r="P82" s="182"/>
      <c r="Q82" s="148" t="s">
        <v>93</v>
      </c>
    </row>
    <row r="83" spans="14:17" ht="15.6">
      <c r="N83" s="181" t="s">
        <v>94</v>
      </c>
      <c r="O83" s="182" t="s">
        <v>95</v>
      </c>
      <c r="P83" s="182"/>
      <c r="Q83" s="148" t="s">
        <v>96</v>
      </c>
    </row>
    <row r="84" spans="14:17" ht="15.6">
      <c r="N84" s="181" t="s">
        <v>97</v>
      </c>
      <c r="O84" s="182" t="s">
        <v>98</v>
      </c>
      <c r="P84" s="182"/>
      <c r="Q84" s="148" t="s">
        <v>99</v>
      </c>
    </row>
    <row r="85" spans="14:17" ht="15.6">
      <c r="N85" s="181" t="s">
        <v>100</v>
      </c>
      <c r="O85" s="182" t="s">
        <v>101</v>
      </c>
      <c r="P85" s="182"/>
      <c r="Q85" s="184" t="s">
        <v>102</v>
      </c>
    </row>
    <row r="86" spans="14:17" ht="15.6">
      <c r="N86" s="181" t="s">
        <v>103</v>
      </c>
      <c r="O86" s="182" t="s">
        <v>104</v>
      </c>
      <c r="P86" s="182"/>
      <c r="Q86" s="159" t="s">
        <v>105</v>
      </c>
    </row>
    <row r="87" spans="14:17" ht="15.6">
      <c r="N87" s="181" t="s">
        <v>63</v>
      </c>
      <c r="O87" s="182" t="s">
        <v>106</v>
      </c>
      <c r="P87" s="182"/>
      <c r="Q87" s="183" t="s">
        <v>107</v>
      </c>
    </row>
    <row r="88" spans="14:17" ht="15.6">
      <c r="N88" s="181" t="s">
        <v>108</v>
      </c>
      <c r="O88" s="182" t="s">
        <v>109</v>
      </c>
      <c r="P88" s="182"/>
      <c r="Q88" s="185" t="s">
        <v>110</v>
      </c>
    </row>
    <row r="89" spans="14:17" ht="15.6">
      <c r="N89" s="186"/>
      <c r="O89" s="186"/>
      <c r="P89" s="186"/>
      <c r="Q89" s="186"/>
    </row>
  </sheetData>
  <mergeCells count="35">
    <mergeCell ref="A76:B76"/>
    <mergeCell ref="G76:H76"/>
    <mergeCell ref="A73:B73"/>
    <mergeCell ref="D73:F73"/>
    <mergeCell ref="G73:J73"/>
    <mergeCell ref="A74:B74"/>
    <mergeCell ref="G74:H74"/>
    <mergeCell ref="G75:H75"/>
    <mergeCell ref="Q57:X57"/>
    <mergeCell ref="A70:J70"/>
    <mergeCell ref="A71:B71"/>
    <mergeCell ref="G71:H71"/>
    <mergeCell ref="A72:B72"/>
    <mergeCell ref="G72:H72"/>
    <mergeCell ref="A12:B12"/>
    <mergeCell ref="C12:E12"/>
    <mergeCell ref="C13:E13"/>
    <mergeCell ref="F13:H13"/>
    <mergeCell ref="A15:H15"/>
    <mergeCell ref="T17:Z17"/>
    <mergeCell ref="G7:G8"/>
    <mergeCell ref="H7:J8"/>
    <mergeCell ref="C8:E8"/>
    <mergeCell ref="A10:B10"/>
    <mergeCell ref="C10:E10"/>
    <mergeCell ref="A11:B11"/>
    <mergeCell ref="C11:E11"/>
    <mergeCell ref="C1:G1"/>
    <mergeCell ref="C2:G2"/>
    <mergeCell ref="A3:F3"/>
    <mergeCell ref="H3:J4"/>
    <mergeCell ref="A4:F4"/>
    <mergeCell ref="G5:G6"/>
    <mergeCell ref="H5:J6"/>
    <mergeCell ref="A6:E6"/>
  </mergeCells>
  <pageMargins left="0.78740157480314965" right="0.39370078740157483" top="0.39370078740157483" bottom="0.47244094488188981" header="0" footer="0.31496062992125984"/>
  <pageSetup paperSize="9" scale="55" orientation="portrait" copies="2" r:id="rId1"/>
  <headerFooter scaleWithDoc="0" alignWithMargins="0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REQUEST</vt:lpstr>
      <vt:lpstr>REQUEST!Print_Area</vt:lpstr>
      <vt:lpstr>REQUEST!Print_Titles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Lưu Nguyễn</dc:creator>
  <cp:lastModifiedBy>Lưu Nguyễn</cp:lastModifiedBy>
  <cp:lastPrinted>2026-03-07T07:21:13Z</cp:lastPrinted>
  <dcterms:created xsi:type="dcterms:W3CDTF">2026-03-07T07:20:43Z</dcterms:created>
  <dcterms:modified xsi:type="dcterms:W3CDTF">2026-03-07T07:21:33Z</dcterms:modified>
</cp:coreProperties>
</file>